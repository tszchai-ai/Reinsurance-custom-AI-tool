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fung\Desktop\Research\CAS grant AI\sample templates\broker testing\"/>
    </mc:Choice>
  </mc:AlternateContent>
  <xr:revisionPtr revIDLastSave="0" documentId="13_ncr:1_{8C7CE86F-960F-4E0F-BD9F-5BAAE8624FE2}" xr6:coauthVersionLast="47" xr6:coauthVersionMax="47" xr10:uidLastSave="{00000000-0000-0000-0000-000000000000}"/>
  <bookViews>
    <workbookView xWindow="-120" yWindow="-120" windowWidth="29040" windowHeight="15720" tabRatio="768" firstSheet="1" activeTab="3" xr2:uid="{00000000-000D-0000-FFFF-FFFF00000000}"/>
  </bookViews>
  <sheets>
    <sheet name="Intro" sheetId="1" r:id="rId1"/>
    <sheet name="WP by State &amp; Segment" sheetId="2" r:id="rId2"/>
    <sheet name="Large Claims (subline 1)" sheetId="3" r:id="rId3"/>
    <sheet name="Large Claims (subline 2)" sheetId="10" r:id="rId4"/>
    <sheet name="Large Claims (subline 3)" sheetId="11" r:id="rId5"/>
    <sheet name="Rate Change (subline 1)" sheetId="5" r:id="rId6"/>
    <sheet name="Rate Change (subline 2)" sheetId="12" r:id="rId7"/>
    <sheet name="Rate Change (subline 3)" sheetId="13" r:id="rId8"/>
    <sheet name="Limit Profile (in-force)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F118" i="2" l="1"/>
  <c r="K173" i="2" s="1"/>
  <c r="K63" i="2"/>
  <c r="D40" i="7"/>
  <c r="D39" i="7"/>
  <c r="D38" i="7"/>
  <c r="D37" i="7"/>
  <c r="D36" i="7"/>
  <c r="D35" i="7"/>
  <c r="D31" i="7"/>
  <c r="D30" i="7"/>
  <c r="D29" i="7"/>
  <c r="D28" i="7"/>
  <c r="D27" i="7"/>
  <c r="D26" i="7"/>
  <c r="D22" i="7"/>
  <c r="D21" i="7"/>
  <c r="D20" i="7"/>
  <c r="D19" i="7"/>
  <c r="D18" i="7"/>
  <c r="D17" i="7"/>
  <c r="K224" i="2"/>
  <c r="J224" i="2"/>
  <c r="I224" i="2"/>
  <c r="H224" i="2"/>
  <c r="G224" i="2"/>
  <c r="F224" i="2"/>
  <c r="E224" i="2"/>
  <c r="D224" i="2"/>
  <c r="C224" i="2"/>
  <c r="B224" i="2"/>
  <c r="F169" i="2"/>
  <c r="E169" i="2"/>
  <c r="D169" i="2"/>
  <c r="C169" i="2"/>
  <c r="B169" i="2"/>
  <c r="K114" i="2"/>
  <c r="J114" i="2"/>
  <c r="I114" i="2"/>
  <c r="H114" i="2"/>
  <c r="G114" i="2"/>
  <c r="F114" i="2"/>
  <c r="E114" i="2"/>
  <c r="D114" i="2"/>
  <c r="C114" i="2"/>
  <c r="B114" i="2"/>
  <c r="K57" i="2"/>
  <c r="J57" i="2"/>
  <c r="I57" i="2"/>
  <c r="H57" i="2"/>
  <c r="G57" i="2"/>
  <c r="K56" i="2"/>
  <c r="J56" i="2"/>
  <c r="I56" i="2"/>
  <c r="H56" i="2"/>
  <c r="G56" i="2"/>
  <c r="K55" i="2"/>
  <c r="J55" i="2"/>
  <c r="I55" i="2"/>
  <c r="H55" i="2"/>
  <c r="G55" i="2"/>
  <c r="K54" i="2"/>
  <c r="J54" i="2"/>
  <c r="I54" i="2"/>
  <c r="H54" i="2"/>
  <c r="G54" i="2"/>
  <c r="K53" i="2"/>
  <c r="J53" i="2"/>
  <c r="I53" i="2"/>
  <c r="H53" i="2"/>
  <c r="G53" i="2"/>
  <c r="K52" i="2"/>
  <c r="J52" i="2"/>
  <c r="I52" i="2"/>
  <c r="H52" i="2"/>
  <c r="G52" i="2"/>
  <c r="K51" i="2"/>
  <c r="J51" i="2"/>
  <c r="I51" i="2"/>
  <c r="H51" i="2"/>
  <c r="G51" i="2"/>
  <c r="K50" i="2"/>
  <c r="J50" i="2"/>
  <c r="I50" i="2"/>
  <c r="H50" i="2"/>
  <c r="G50" i="2"/>
  <c r="K49" i="2"/>
  <c r="J49" i="2"/>
  <c r="I49" i="2"/>
  <c r="H49" i="2"/>
  <c r="G49" i="2"/>
  <c r="K48" i="2"/>
  <c r="J48" i="2"/>
  <c r="I48" i="2"/>
  <c r="H48" i="2"/>
  <c r="G48" i="2"/>
  <c r="K47" i="2"/>
  <c r="J47" i="2"/>
  <c r="I47" i="2"/>
  <c r="H47" i="2"/>
  <c r="G47" i="2"/>
  <c r="K46" i="2"/>
  <c r="J46" i="2"/>
  <c r="I46" i="2"/>
  <c r="H46" i="2"/>
  <c r="G46" i="2"/>
  <c r="K45" i="2"/>
  <c r="J45" i="2"/>
  <c r="I45" i="2"/>
  <c r="H45" i="2"/>
  <c r="G45" i="2"/>
  <c r="K44" i="2"/>
  <c r="J44" i="2"/>
  <c r="I44" i="2"/>
  <c r="H44" i="2"/>
  <c r="G44" i="2"/>
  <c r="K43" i="2"/>
  <c r="J43" i="2"/>
  <c r="I43" i="2"/>
  <c r="H43" i="2"/>
  <c r="G43" i="2"/>
  <c r="K42" i="2"/>
  <c r="J42" i="2"/>
  <c r="I42" i="2"/>
  <c r="H42" i="2"/>
  <c r="G42" i="2"/>
  <c r="K41" i="2"/>
  <c r="J41" i="2"/>
  <c r="I41" i="2"/>
  <c r="H41" i="2"/>
  <c r="G41" i="2"/>
  <c r="K40" i="2"/>
  <c r="J40" i="2"/>
  <c r="I40" i="2"/>
  <c r="H40" i="2"/>
  <c r="G40" i="2"/>
  <c r="K39" i="2"/>
  <c r="J39" i="2"/>
  <c r="I39" i="2"/>
  <c r="H39" i="2"/>
  <c r="G39" i="2"/>
  <c r="K38" i="2"/>
  <c r="J38" i="2"/>
  <c r="I38" i="2"/>
  <c r="H38" i="2"/>
  <c r="G38" i="2"/>
  <c r="K37" i="2"/>
  <c r="J37" i="2"/>
  <c r="I37" i="2"/>
  <c r="H37" i="2"/>
  <c r="G37" i="2"/>
  <c r="K36" i="2"/>
  <c r="J36" i="2"/>
  <c r="I36" i="2"/>
  <c r="H36" i="2"/>
  <c r="G36" i="2"/>
  <c r="K35" i="2"/>
  <c r="J35" i="2"/>
  <c r="I35" i="2"/>
  <c r="H35" i="2"/>
  <c r="G35" i="2"/>
  <c r="K34" i="2"/>
  <c r="J34" i="2"/>
  <c r="I34" i="2"/>
  <c r="H34" i="2"/>
  <c r="G34" i="2"/>
  <c r="K33" i="2"/>
  <c r="J33" i="2"/>
  <c r="I33" i="2"/>
  <c r="H33" i="2"/>
  <c r="G33" i="2"/>
  <c r="K32" i="2"/>
  <c r="J32" i="2"/>
  <c r="I32" i="2"/>
  <c r="H32" i="2"/>
  <c r="G32" i="2"/>
  <c r="K31" i="2"/>
  <c r="J31" i="2"/>
  <c r="I31" i="2"/>
  <c r="H31" i="2"/>
  <c r="G31" i="2"/>
  <c r="K30" i="2"/>
  <c r="J30" i="2"/>
  <c r="I30" i="2"/>
  <c r="H30" i="2"/>
  <c r="G30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4" i="2"/>
  <c r="J24" i="2"/>
  <c r="I24" i="2"/>
  <c r="H24" i="2"/>
  <c r="G24" i="2"/>
  <c r="K23" i="2"/>
  <c r="J23" i="2"/>
  <c r="I23" i="2"/>
  <c r="H23" i="2"/>
  <c r="G23" i="2"/>
  <c r="K22" i="2"/>
  <c r="J22" i="2"/>
  <c r="I22" i="2"/>
  <c r="H22" i="2"/>
  <c r="G22" i="2"/>
  <c r="K21" i="2"/>
  <c r="J21" i="2"/>
  <c r="I21" i="2"/>
  <c r="H21" i="2"/>
  <c r="G21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7" i="2"/>
  <c r="J17" i="2"/>
  <c r="I17" i="2"/>
  <c r="H17" i="2"/>
  <c r="G17" i="2"/>
  <c r="K16" i="2"/>
  <c r="J16" i="2"/>
  <c r="I16" i="2"/>
  <c r="H16" i="2"/>
  <c r="G16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11" i="2"/>
  <c r="J11" i="2"/>
  <c r="I11" i="2"/>
  <c r="H11" i="2"/>
  <c r="G11" i="2"/>
  <c r="K10" i="2"/>
  <c r="J10" i="2"/>
  <c r="I10" i="2"/>
  <c r="H10" i="2"/>
  <c r="G10" i="2"/>
  <c r="K9" i="2"/>
  <c r="J9" i="2"/>
  <c r="I9" i="2"/>
  <c r="H9" i="2"/>
  <c r="G9" i="2"/>
  <c r="K8" i="2"/>
  <c r="J8" i="2"/>
  <c r="H8" i="2"/>
  <c r="G8" i="2"/>
  <c r="I8" i="2"/>
  <c r="A4" i="13"/>
  <c r="A2" i="13"/>
  <c r="A1" i="13"/>
  <c r="A4" i="12"/>
  <c r="A2" i="12"/>
  <c r="A1" i="12"/>
  <c r="A4" i="11"/>
  <c r="A2" i="11"/>
  <c r="A1" i="11"/>
  <c r="A4" i="10"/>
  <c r="A2" i="10"/>
  <c r="A1" i="10"/>
  <c r="A3" i="2"/>
  <c r="A3" i="11" s="1"/>
  <c r="A8" i="1"/>
  <c r="B6" i="1"/>
  <c r="K58" i="2" l="1"/>
  <c r="G58" i="2"/>
  <c r="H58" i="2"/>
  <c r="J58" i="2"/>
  <c r="I58" i="2"/>
  <c r="A3" i="12"/>
  <c r="A3" i="13"/>
  <c r="A3" i="10"/>
  <c r="C8" i="7"/>
  <c r="C9" i="7"/>
  <c r="C10" i="7"/>
  <c r="C11" i="7"/>
  <c r="C12" i="7"/>
  <c r="C13" i="7"/>
  <c r="B9" i="7"/>
  <c r="B10" i="7"/>
  <c r="B11" i="7"/>
  <c r="B12" i="7"/>
  <c r="B13" i="7"/>
  <c r="B8" i="7"/>
  <c r="A8" i="7"/>
  <c r="A9" i="7" s="1"/>
  <c r="A10" i="7" s="1"/>
  <c r="A11" i="7" s="1"/>
  <c r="A12" i="7" s="1"/>
  <c r="A36" i="7"/>
  <c r="A37" i="7" s="1"/>
  <c r="A38" i="7" s="1"/>
  <c r="A39" i="7" s="1"/>
  <c r="A4" i="7"/>
  <c r="A3" i="7"/>
  <c r="A2" i="7"/>
  <c r="A1" i="7"/>
  <c r="A4" i="5"/>
  <c r="A3" i="5"/>
  <c r="A2" i="5"/>
  <c r="A1" i="5"/>
  <c r="A4" i="3"/>
  <c r="A3" i="3"/>
  <c r="A2" i="3"/>
  <c r="A1" i="3"/>
  <c r="A27" i="7"/>
  <c r="A28" i="7" s="1"/>
  <c r="A29" i="7" s="1"/>
  <c r="A30" i="7" s="1"/>
  <c r="A17" i="7"/>
  <c r="A18" i="7" s="1"/>
  <c r="A19" i="7" s="1"/>
  <c r="A20" i="7" s="1"/>
  <c r="A21" i="7" s="1"/>
  <c r="C173" i="2"/>
  <c r="D173" i="2" s="1"/>
  <c r="E173" i="2" s="1"/>
  <c r="F173" i="2" s="1"/>
  <c r="G173" i="2" s="1"/>
  <c r="H173" i="2" s="1"/>
  <c r="I173" i="2" s="1"/>
  <c r="J173" i="2" s="1"/>
  <c r="E118" i="2"/>
  <c r="C63" i="2"/>
  <c r="D63" i="2" s="1"/>
  <c r="E63" i="2" s="1"/>
  <c r="F63" i="2" s="1"/>
  <c r="G63" i="2" s="1"/>
  <c r="H63" i="2" s="1"/>
  <c r="I63" i="2" s="1"/>
  <c r="J63" i="2" s="1"/>
  <c r="F57" i="2"/>
  <c r="E57" i="2"/>
  <c r="D57" i="2"/>
  <c r="C57" i="2"/>
  <c r="B57" i="2"/>
  <c r="F56" i="2"/>
  <c r="E56" i="2"/>
  <c r="D56" i="2"/>
  <c r="C56" i="2"/>
  <c r="B56" i="2"/>
  <c r="F55" i="2"/>
  <c r="E55" i="2"/>
  <c r="D55" i="2"/>
  <c r="C55" i="2"/>
  <c r="B55" i="2"/>
  <c r="F54" i="2"/>
  <c r="E54" i="2"/>
  <c r="D54" i="2"/>
  <c r="C54" i="2"/>
  <c r="B54" i="2"/>
  <c r="F53" i="2"/>
  <c r="E53" i="2"/>
  <c r="D53" i="2"/>
  <c r="C53" i="2"/>
  <c r="B53" i="2"/>
  <c r="F52" i="2"/>
  <c r="E52" i="2"/>
  <c r="D52" i="2"/>
  <c r="C52" i="2"/>
  <c r="B52" i="2"/>
  <c r="F51" i="2"/>
  <c r="E51" i="2"/>
  <c r="D51" i="2"/>
  <c r="C51" i="2"/>
  <c r="B51" i="2"/>
  <c r="F50" i="2"/>
  <c r="E50" i="2"/>
  <c r="D50" i="2"/>
  <c r="C50" i="2"/>
  <c r="B50" i="2"/>
  <c r="F49" i="2"/>
  <c r="E49" i="2"/>
  <c r="D49" i="2"/>
  <c r="C49" i="2"/>
  <c r="B49" i="2"/>
  <c r="F48" i="2"/>
  <c r="E48" i="2"/>
  <c r="D48" i="2"/>
  <c r="C48" i="2"/>
  <c r="B48" i="2"/>
  <c r="F47" i="2"/>
  <c r="E47" i="2"/>
  <c r="D47" i="2"/>
  <c r="C47" i="2"/>
  <c r="B47" i="2"/>
  <c r="F46" i="2"/>
  <c r="E46" i="2"/>
  <c r="D46" i="2"/>
  <c r="C46" i="2"/>
  <c r="B46" i="2"/>
  <c r="F45" i="2"/>
  <c r="E45" i="2"/>
  <c r="D45" i="2"/>
  <c r="C45" i="2"/>
  <c r="B45" i="2"/>
  <c r="F44" i="2"/>
  <c r="E44" i="2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F38" i="2"/>
  <c r="E38" i="2"/>
  <c r="D38" i="2"/>
  <c r="C38" i="2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33" i="2"/>
  <c r="E33" i="2"/>
  <c r="D33" i="2"/>
  <c r="C33" i="2"/>
  <c r="B33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D7" i="2"/>
  <c r="E7" i="2" s="1"/>
  <c r="F7" i="2" s="1"/>
  <c r="G7" i="2" s="1"/>
  <c r="H7" i="2" s="1"/>
  <c r="I7" i="2" s="1"/>
  <c r="J7" i="2" s="1"/>
  <c r="C7" i="2"/>
  <c r="D9" i="7" l="1"/>
  <c r="D13" i="7"/>
  <c r="D12" i="7"/>
  <c r="D8" i="7"/>
  <c r="D11" i="7"/>
  <c r="D10" i="7"/>
  <c r="C58" i="2"/>
  <c r="F58" i="2"/>
  <c r="D58" i="2"/>
  <c r="E58" i="2"/>
  <c r="B58" i="2"/>
</calcChain>
</file>

<file path=xl/sharedStrings.xml><?xml version="1.0" encoding="utf-8"?>
<sst xmlns="http://schemas.openxmlformats.org/spreadsheetml/2006/main" count="6948" uniqueCount="2657">
  <si>
    <t>In recent years we have already seen meaningful improvements such as:</t>
  </si>
  <si>
    <t>Umbrella XOL Structure</t>
  </si>
  <si>
    <t>Retention &amp; Limit:</t>
  </si>
  <si>
    <t>10% broker B; 5% on reinstatements</t>
  </si>
  <si>
    <t>Insurer NJ Umbrella</t>
  </si>
  <si>
    <t>Umbrella Excess of Loss reinsurance program</t>
  </si>
  <si>
    <t>Combined Umbrella Historical Written premium by state</t>
  </si>
  <si>
    <t>State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</si>
  <si>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</si>
  <si>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</si>
  <si>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</si>
  <si>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</si>
  <si>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</si>
  <si>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</si>
  <si>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</si>
  <si>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</si>
  <si>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</si>
  <si>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</si>
  <si>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</si>
  <si>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</si>
  <si>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</si>
  <si>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</si>
  <si>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</si>
  <si>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</si>
  <si>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</si>
  <si>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</si>
  <si>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</si>
  <si>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</si>
  <si>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</si>
  <si>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</si>
  <si>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</si>
  <si>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</si>
  <si>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</si>
  <si>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</si>
  <si>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</si>
  <si>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</si>
  <si>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</si>
  <si>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</si>
  <si>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</si>
  <si>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</si>
  <si>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</si>
  <si>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</si>
  <si>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</si>
  <si>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</si>
  <si>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</si>
  <si>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</si>
  <si>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</si>
  <si>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</si>
  <si>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</si>
  <si>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</si>
  <si>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</si>
  <si>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</si>
  <si>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</si>
  <si>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</si>
  <si>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</si>
  <si>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</si>
  <si>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</si>
  <si>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</si>
  <si>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Total</t>
  </si>
  <si>
    <t>(1) Premium is by Calendar Year unless stated</t>
  </si>
  <si>
    <t>Legacy Subline1 Historical Written Premium by State</t>
  </si>
  <si>
    <t>subline2 Historical Written Premium by State</t>
  </si>
  <si>
    <t>Legacy subline3 Historical Written Premium by State</t>
  </si>
  <si>
    <t>Claim Number</t>
  </si>
  <si>
    <t>Policy Number</t>
  </si>
  <si>
    <t>Company Name</t>
  </si>
  <si>
    <t>Claim Status</t>
  </si>
  <si>
    <t>Policy Eff Date</t>
  </si>
  <si>
    <t>Loss State</t>
  </si>
  <si>
    <t>Umbrella Limit</t>
  </si>
  <si>
    <t>Accident Date</t>
  </si>
  <si>
    <t>Accident Year</t>
  </si>
  <si>
    <t>ANO</t>
  </si>
  <si>
    <t>DCC</t>
  </si>
  <si>
    <t>Paid Loss</t>
  </si>
  <si>
    <t>Reserve Change</t>
  </si>
  <si>
    <t>Total Incurred</t>
  </si>
  <si>
    <t>Describtion</t>
  </si>
  <si>
    <t>New business</t>
  </si>
  <si>
    <t>renewal business</t>
  </si>
  <si>
    <t>combined inforce limit profile</t>
  </si>
  <si>
    <t>legacy subline 1 inforce limit profile</t>
  </si>
  <si>
    <t>limit</t>
  </si>
  <si>
    <t>inforce premium</t>
  </si>
  <si>
    <t>policy count</t>
  </si>
  <si>
    <t>legacy subline 3 inforce limit profile</t>
  </si>
  <si>
    <t>subline 2 inforce limit profile</t>
  </si>
  <si>
    <t>From</t>
  </si>
  <si>
    <t>To</t>
  </si>
  <si>
    <t xml:space="preserve">Term: </t>
  </si>
  <si>
    <t>Basis:</t>
  </si>
  <si>
    <t>Subline1 Claims - Risks Attaching</t>
  </si>
  <si>
    <t>Subline2 Claims - Risks Attaching</t>
  </si>
  <si>
    <t>Subline1 Historical Rate Action by State &amp; Product</t>
  </si>
  <si>
    <t>Subline3 Claims - Risks Attaching</t>
  </si>
  <si>
    <t>Year</t>
  </si>
  <si>
    <t>Combined</t>
  </si>
  <si>
    <t>Rate change (%)</t>
  </si>
  <si>
    <t>Subline2 Historical Rate Action by State &amp; Product</t>
  </si>
  <si>
    <t>Subline3 Historical Rate Action by State &amp; Product</t>
  </si>
  <si>
    <t>Reinstatements:</t>
  </si>
  <si>
    <t>1 free; 1 @ 100%</t>
  </si>
  <si>
    <t>Commission</t>
  </si>
  <si>
    <t>Sublines</t>
  </si>
  <si>
    <t>Subline 1</t>
  </si>
  <si>
    <t>Subline 2</t>
  </si>
  <si>
    <t>Subline 3</t>
  </si>
  <si>
    <t>C1--00436</t>
  </si>
  <si>
    <t>P18-1-00715</t>
  </si>
  <si>
    <t>18-1-00110</t>
  </si>
  <si>
    <t>Closed</t>
  </si>
  <si>
    <t>Severe TBI allegation; future care demanded</t>
  </si>
  <si>
    <t>C1--00437</t>
  </si>
  <si>
    <t>P18-1-02463</t>
  </si>
  <si>
    <t>15-1-02006</t>
  </si>
  <si>
    <t>Umbrella fully exposed; global settlement talks</t>
  </si>
  <si>
    <t>C1--00440</t>
  </si>
  <si>
    <t>P18-1-01061</t>
  </si>
  <si>
    <t>15-1-00825</t>
  </si>
  <si>
    <t>Multiple claimants; event liability; defense escalating</t>
  </si>
  <si>
    <t>C1--00452</t>
  </si>
  <si>
    <t>P19-1-00025</t>
  </si>
  <si>
    <t>19-1-00005</t>
  </si>
  <si>
    <t>Permanent paralysis claim; life care plan presented</t>
  </si>
  <si>
    <t>C1--00453</t>
  </si>
  <si>
    <t>P18-1-00722</t>
  </si>
  <si>
    <t>16-1-00092</t>
  </si>
  <si>
    <t>Multiple wrongful deaths; consolidated actions filed</t>
  </si>
  <si>
    <t>C1--00454</t>
  </si>
  <si>
    <t>P18-1-02225</t>
  </si>
  <si>
    <t>18-1-00354</t>
  </si>
  <si>
    <t>Global resolution; umbrella exhausted; final settlement</t>
  </si>
  <si>
    <t>C1--00455</t>
  </si>
  <si>
    <t>P18-1-00605</t>
  </si>
  <si>
    <t>17-1-00199</t>
  </si>
  <si>
    <t>Amputation allegation; equipment guarding failure claimed</t>
  </si>
  <si>
    <t>C1--00458</t>
  </si>
  <si>
    <t>P18-1-00363</t>
  </si>
  <si>
    <t>17-1-00123</t>
  </si>
  <si>
    <t>Auto in lot hit pedestrian; severe leg injury</t>
  </si>
  <si>
    <t>C1--00460</t>
  </si>
  <si>
    <t>P18-1-02781</t>
  </si>
  <si>
    <t>15-1-02267</t>
  </si>
  <si>
    <t>Nuclear verdict risk; punitive plus catastrophics</t>
  </si>
  <si>
    <t>C1--00461</t>
  </si>
  <si>
    <t>P19-1-00207</t>
  </si>
  <si>
    <t>15-1-00164</t>
  </si>
  <si>
    <t>C1--00464</t>
  </si>
  <si>
    <t>P18-1-00172</t>
  </si>
  <si>
    <t>17-1-00060</t>
  </si>
  <si>
    <t>Premises fire; severe burns; liability alleged</t>
  </si>
  <si>
    <t>C1--00465</t>
  </si>
  <si>
    <t>P18-1-01670</t>
  </si>
  <si>
    <t>15-1-01343</t>
  </si>
  <si>
    <t>C1--00466</t>
  </si>
  <si>
    <t>P18-1-02682</t>
  </si>
  <si>
    <t>15-1-02202</t>
  </si>
  <si>
    <t>Falling sign; head injury; hospitalization</t>
  </si>
  <si>
    <t>C1--00469</t>
  </si>
  <si>
    <t>P18-1-00858</t>
  </si>
  <si>
    <t>18-1-00132</t>
  </si>
  <si>
    <t>C1--00470</t>
  </si>
  <si>
    <t>P18-1-02728</t>
  </si>
  <si>
    <t>15-1-02228</t>
  </si>
  <si>
    <t>Spinal injury claim; permanent impairment alleged</t>
  </si>
  <si>
    <t>C1--00471</t>
  </si>
  <si>
    <t>P19-1-00118</t>
  </si>
  <si>
    <t>15-1-00096</t>
  </si>
  <si>
    <t>Punitive damages sought; prior incidents documented</t>
  </si>
  <si>
    <t>C1--00478</t>
  </si>
  <si>
    <t>P19-1-00155</t>
  </si>
  <si>
    <t>18-1-00024</t>
  </si>
  <si>
    <t>Time-limit demand; umbrella exposure; mediation pending</t>
  </si>
  <si>
    <t>C1--00482</t>
  </si>
  <si>
    <t>P19-1-00346</t>
  </si>
  <si>
    <t>15-1-00266</t>
  </si>
  <si>
    <t>C1--00483</t>
  </si>
  <si>
    <t>P19-1-00796</t>
  </si>
  <si>
    <t>16-1-00098</t>
  </si>
  <si>
    <t>Excess layers exposed; structured settlement discussed</t>
  </si>
  <si>
    <t>C1--00485</t>
  </si>
  <si>
    <t>P18-1-01459</t>
  </si>
  <si>
    <t>17-1-00473</t>
  </si>
  <si>
    <t>C1--00486</t>
  </si>
  <si>
    <t>P18-1-02956</t>
  </si>
  <si>
    <t>15-1-02413</t>
  </si>
  <si>
    <t>Catastrophic burn injury; long hospitalization</t>
  </si>
  <si>
    <t>C1--00487</t>
  </si>
  <si>
    <t>P18-1-02055</t>
  </si>
  <si>
    <t>15-1-01664</t>
  </si>
  <si>
    <t>C1--00488</t>
  </si>
  <si>
    <t>P18-1-01573</t>
  </si>
  <si>
    <t>15-1-01266</t>
  </si>
  <si>
    <t>Sexual assault claim; negligent security alleged</t>
  </si>
  <si>
    <t>C1--00489</t>
  </si>
  <si>
    <t>P18-1-02856</t>
  </si>
  <si>
    <t>17-1-00935</t>
  </si>
  <si>
    <t>Wrongful death; premises defect alleged</t>
  </si>
  <si>
    <t>C1--00492</t>
  </si>
  <si>
    <t>P18-1-02604</t>
  </si>
  <si>
    <t>15-1-02136</t>
  </si>
  <si>
    <t>C1--00493</t>
  </si>
  <si>
    <t>P18-1-02833</t>
  </si>
  <si>
    <t>18-1-00438</t>
  </si>
  <si>
    <t>C1--00497</t>
  </si>
  <si>
    <t>P18-1-02847</t>
  </si>
  <si>
    <t>18-1-00442</t>
  </si>
  <si>
    <t>Chemical spill; exposure claim; medical monitoring</t>
  </si>
  <si>
    <t>C1--00499</t>
  </si>
  <si>
    <t>P18-1-02065</t>
  </si>
  <si>
    <t>15-1-01666</t>
  </si>
  <si>
    <t>Reptile theory; corporate indifference alleged</t>
  </si>
  <si>
    <t>C1--00500</t>
  </si>
  <si>
    <t>P18-1-01955</t>
  </si>
  <si>
    <t>15-1-01571</t>
  </si>
  <si>
    <t>C1--00502</t>
  </si>
  <si>
    <t>P18-1-01497</t>
  </si>
  <si>
    <t>17-1-00487</t>
  </si>
  <si>
    <t>C1--00504</t>
  </si>
  <si>
    <t>P19-1-00385</t>
  </si>
  <si>
    <t>19-1-00056</t>
  </si>
  <si>
    <t>C1--00505</t>
  </si>
  <si>
    <t>P18-1-00971</t>
  </si>
  <si>
    <t>17-1-00330</t>
  </si>
  <si>
    <t>C1--00508</t>
  </si>
  <si>
    <t>P18-1-01848</t>
  </si>
  <si>
    <t>16-1-00219</t>
  </si>
  <si>
    <t>C1--00510</t>
  </si>
  <si>
    <t>P18-1-02210</t>
  </si>
  <si>
    <t>18-1-00353</t>
  </si>
  <si>
    <t>C1--00511</t>
  </si>
  <si>
    <t>P19-1-00602</t>
  </si>
  <si>
    <t>15-1-00476</t>
  </si>
  <si>
    <t>Venue unfavorable; nuclear verdict risk flagged</t>
  </si>
  <si>
    <t>C1--00513</t>
  </si>
  <si>
    <t>P18-1-02243</t>
  </si>
  <si>
    <t>15-1-01817</t>
  </si>
  <si>
    <t>C1--00515</t>
  </si>
  <si>
    <t>P18-1-02691</t>
  </si>
  <si>
    <t>15-1-02204</t>
  </si>
  <si>
    <t>Wrongful death; negligent security; punitive demand</t>
  </si>
  <si>
    <t>C1--00518</t>
  </si>
  <si>
    <t>P18-1-01225</t>
  </si>
  <si>
    <t>15-1-00969</t>
  </si>
  <si>
    <t>C1--00519</t>
  </si>
  <si>
    <t>P19-1-00579</t>
  </si>
  <si>
    <t>18-1-00093</t>
  </si>
  <si>
    <t>C1--00520</t>
  </si>
  <si>
    <t>P18-1-02088</t>
  </si>
  <si>
    <t>15-1-01689</t>
  </si>
  <si>
    <t>C1--00521</t>
  </si>
  <si>
    <t>P19-1-00674</t>
  </si>
  <si>
    <t>17-1-00227</t>
  </si>
  <si>
    <t>C1--00522</t>
  </si>
  <si>
    <t>P18-1-01590</t>
  </si>
  <si>
    <t>15-1-01282</t>
  </si>
  <si>
    <t>C1--00523</t>
  </si>
  <si>
    <t>P19-1-00782</t>
  </si>
  <si>
    <t>15-1-00611</t>
  </si>
  <si>
    <t>C1--00524</t>
  </si>
  <si>
    <t>P19-1-00791</t>
  </si>
  <si>
    <t>17-1-00276</t>
  </si>
  <si>
    <t>C1--00526</t>
  </si>
  <si>
    <t>P18-1-02355</t>
  </si>
  <si>
    <t>15-1-01922</t>
  </si>
  <si>
    <t>C1--00527</t>
  </si>
  <si>
    <t>P18-1-02735</t>
  </si>
  <si>
    <t>18-1-00425</t>
  </si>
  <si>
    <t>C1--00528</t>
  </si>
  <si>
    <t>P19-1-00381</t>
  </si>
  <si>
    <t>16-1-00048</t>
  </si>
  <si>
    <t>C1--00531</t>
  </si>
  <si>
    <t>P19-1-00859</t>
  </si>
  <si>
    <t>17-1-00296</t>
  </si>
  <si>
    <t>Explosive incident; mass casualty; media attention</t>
  </si>
  <si>
    <t>C1--00532</t>
  </si>
  <si>
    <t>P18-1-02422</t>
  </si>
  <si>
    <t>15-1-01979</t>
  </si>
  <si>
    <t>C1--00534</t>
  </si>
  <si>
    <t>P19-1-00216</t>
  </si>
  <si>
    <t>17-1-00075</t>
  </si>
  <si>
    <t>C1--00537</t>
  </si>
  <si>
    <t>P18-1-02595</t>
  </si>
  <si>
    <t>15-1-02127</t>
  </si>
  <si>
    <t>C1--00538</t>
  </si>
  <si>
    <t>P18-1-02290</t>
  </si>
  <si>
    <t>17-1-00745</t>
  </si>
  <si>
    <t>C1--00540</t>
  </si>
  <si>
    <t>P18-1-02594</t>
  </si>
  <si>
    <t>17-1-00845</t>
  </si>
  <si>
    <t>C1--00541</t>
  </si>
  <si>
    <t>P19-1-00120</t>
  </si>
  <si>
    <t>17-1-00043</t>
  </si>
  <si>
    <t>C1--00542</t>
  </si>
  <si>
    <t>P19-1-01842</t>
  </si>
  <si>
    <t>17-1-00589</t>
  </si>
  <si>
    <t>C1--00543</t>
  </si>
  <si>
    <t>P18-1-02492</t>
  </si>
  <si>
    <t>15-1-02029</t>
  </si>
  <si>
    <t>C1--00548</t>
  </si>
  <si>
    <t>P19-1-00260</t>
  </si>
  <si>
    <t>18-1-00042</t>
  </si>
  <si>
    <t>C1--00549</t>
  </si>
  <si>
    <t>P18-1-01568</t>
  </si>
  <si>
    <t>17-1-00503</t>
  </si>
  <si>
    <t>C1--00554</t>
  </si>
  <si>
    <t>P18-1-02493</t>
  </si>
  <si>
    <t>15-1-02031</t>
  </si>
  <si>
    <t>C1--00555</t>
  </si>
  <si>
    <t>P19-1-00193</t>
  </si>
  <si>
    <t>17-1-00069</t>
  </si>
  <si>
    <t>C1--00556</t>
  </si>
  <si>
    <t>P19-1-01672</t>
  </si>
  <si>
    <t>16-1-00197</t>
  </si>
  <si>
    <t>C1--00561</t>
  </si>
  <si>
    <t>P18-1-02436</t>
  </si>
  <si>
    <t>15-1-01992</t>
  </si>
  <si>
    <t>C1--00562</t>
  </si>
  <si>
    <t>P19-1-01316</t>
  </si>
  <si>
    <t>18-1-00207</t>
  </si>
  <si>
    <t>C1--00564</t>
  </si>
  <si>
    <t>P18-1-02788</t>
  </si>
  <si>
    <t>17-1-00909</t>
  </si>
  <si>
    <t>C1--00568</t>
  </si>
  <si>
    <t>P19-1-00268</t>
  </si>
  <si>
    <t>16-1-00033</t>
  </si>
  <si>
    <t>C1--00569</t>
  </si>
  <si>
    <t>P19-1-00442</t>
  </si>
  <si>
    <t>17-1-00149</t>
  </si>
  <si>
    <t>C1--00570</t>
  </si>
  <si>
    <t>P19-1-00669</t>
  </si>
  <si>
    <t>17-1-00226</t>
  </si>
  <si>
    <t>C1--00571</t>
  </si>
  <si>
    <t>P19-1-01870</t>
  </si>
  <si>
    <t>C1--00572</t>
  </si>
  <si>
    <t>P19-1-00264</t>
  </si>
  <si>
    <t>17-1-00090</t>
  </si>
  <si>
    <t>C1--00573</t>
  </si>
  <si>
    <t>P19-1-00407</t>
  </si>
  <si>
    <t>17-1-00142</t>
  </si>
  <si>
    <t>C1--00575</t>
  </si>
  <si>
    <t>P19-1-01190</t>
  </si>
  <si>
    <t>15-1-00948</t>
  </si>
  <si>
    <t>Mass illness allegation; class counsel engaged</t>
  </si>
  <si>
    <t>C1--00579</t>
  </si>
  <si>
    <t>P18-1-02588</t>
  </si>
  <si>
    <t>17-1-00843</t>
  </si>
  <si>
    <t>C1--00583</t>
  </si>
  <si>
    <t>P19-1-01780</t>
  </si>
  <si>
    <t>15-1-01425</t>
  </si>
  <si>
    <t>C1--00586</t>
  </si>
  <si>
    <t>P18-1-02631</t>
  </si>
  <si>
    <t>18-1-00410</t>
  </si>
  <si>
    <t>Exhaustion across layers; multi-claimant settlement finalized</t>
  </si>
  <si>
    <t>C1--00590</t>
  </si>
  <si>
    <t>P19-1-00936</t>
  </si>
  <si>
    <t>15-1-00732</t>
  </si>
  <si>
    <t>C1--00592</t>
  </si>
  <si>
    <t>P19-1-00891</t>
  </si>
  <si>
    <t>15-1-00691</t>
  </si>
  <si>
    <t>C1--00593</t>
  </si>
  <si>
    <t>P19-1-00871</t>
  </si>
  <si>
    <t>15-1-00674</t>
  </si>
  <si>
    <t>C1--00594</t>
  </si>
  <si>
    <t>C1--00596</t>
  </si>
  <si>
    <t>P18-1-02590</t>
  </si>
  <si>
    <t>15-1-02123</t>
  </si>
  <si>
    <t>C1--00597</t>
  </si>
  <si>
    <t>P19-1-00695</t>
  </si>
  <si>
    <t>18-1-00105</t>
  </si>
  <si>
    <t>C1--00599</t>
  </si>
  <si>
    <t>P19-1-00154</t>
  </si>
  <si>
    <t>15-1-00127</t>
  </si>
  <si>
    <t>C1--00603</t>
  </si>
  <si>
    <t>P18-1-02658</t>
  </si>
  <si>
    <t>18-1-00415</t>
  </si>
  <si>
    <t>C1--00605</t>
  </si>
  <si>
    <t>P19-1-01146</t>
  </si>
  <si>
    <t>17-1-00380</t>
  </si>
  <si>
    <t>C1--00607</t>
  </si>
  <si>
    <t>P18-1-02839</t>
  </si>
  <si>
    <t>15-1-02315</t>
  </si>
  <si>
    <t>C1--00610</t>
  </si>
  <si>
    <t>P19-1-01189</t>
  </si>
  <si>
    <t>17-1-00396</t>
  </si>
  <si>
    <t>C1--00611</t>
  </si>
  <si>
    <t>P19-1-00341</t>
  </si>
  <si>
    <t>15-1-00260</t>
  </si>
  <si>
    <t>C1--00614</t>
  </si>
  <si>
    <t>P19-1-01182</t>
  </si>
  <si>
    <t>15-1-00940</t>
  </si>
  <si>
    <t>C1--00617</t>
  </si>
  <si>
    <t>P19-1-01821</t>
  </si>
  <si>
    <t>19-1-00284</t>
  </si>
  <si>
    <t>C1--00618</t>
  </si>
  <si>
    <t>P19-1-02217</t>
  </si>
  <si>
    <t>17-1-00713</t>
  </si>
  <si>
    <t>C1--00619</t>
  </si>
  <si>
    <t>P19-1-01474</t>
  </si>
  <si>
    <t>19-1-00225</t>
  </si>
  <si>
    <t>C1--00620</t>
  </si>
  <si>
    <t>P19-1-02227</t>
  </si>
  <si>
    <t>17-1-00715</t>
  </si>
  <si>
    <t>C1--00621</t>
  </si>
  <si>
    <t>P18-1-02933</t>
  </si>
  <si>
    <t>15-1-02384</t>
  </si>
  <si>
    <t>C1--00622</t>
  </si>
  <si>
    <t>P19-1-01968</t>
  </si>
  <si>
    <t>18-1-00314</t>
  </si>
  <si>
    <t>C1--00624</t>
  </si>
  <si>
    <t>P19-1-01723</t>
  </si>
  <si>
    <t>17-1-00555</t>
  </si>
  <si>
    <t>C1--00626</t>
  </si>
  <si>
    <t>P19-1-01896</t>
  </si>
  <si>
    <t>17-1-00606</t>
  </si>
  <si>
    <t>C1--00630</t>
  </si>
  <si>
    <t>P19-1-00049</t>
  </si>
  <si>
    <t>17-1-00018</t>
  </si>
  <si>
    <t>C1--00634</t>
  </si>
  <si>
    <t>P19-1-00137</t>
  </si>
  <si>
    <t>15-1-00110</t>
  </si>
  <si>
    <t>C1--00635</t>
  </si>
  <si>
    <t>P19-1-00792</t>
  </si>
  <si>
    <t>17-1-00280</t>
  </si>
  <si>
    <t>C1--00636</t>
  </si>
  <si>
    <t>P19-1-00775</t>
  </si>
  <si>
    <t>19-1-00114</t>
  </si>
  <si>
    <t>Equipment malfunction; hand injury; surgery required</t>
  </si>
  <si>
    <t>C1--00641</t>
  </si>
  <si>
    <t>P19-1-01607</t>
  </si>
  <si>
    <t>19-1-00239</t>
  </si>
  <si>
    <t>Catastrophic TBI; guardianship; large lien stack</t>
  </si>
  <si>
    <t>C1--00646</t>
  </si>
  <si>
    <t>P20-1-00093</t>
  </si>
  <si>
    <t>16-1-00010</t>
  </si>
  <si>
    <t>C1--00648</t>
  </si>
  <si>
    <t>P19-1-00696</t>
  </si>
  <si>
    <t>17-1-00233</t>
  </si>
  <si>
    <t>C1--00650</t>
  </si>
  <si>
    <t>P19-1-02019</t>
  </si>
  <si>
    <t>15-1-01610</t>
  </si>
  <si>
    <t>C1--00651</t>
  </si>
  <si>
    <t>P19-1-00980</t>
  </si>
  <si>
    <t>19-1-00147</t>
  </si>
  <si>
    <t>C1--00652</t>
  </si>
  <si>
    <t>P19-1-02970</t>
  </si>
  <si>
    <t>15-1-02391</t>
  </si>
  <si>
    <t>C1--00653</t>
  </si>
  <si>
    <t>P19-1-02229</t>
  </si>
  <si>
    <t>19-1-00350</t>
  </si>
  <si>
    <t>C1--00656</t>
  </si>
  <si>
    <t>P19-1-01213</t>
  </si>
  <si>
    <t>17-1-00408</t>
  </si>
  <si>
    <t>C1--00658</t>
  </si>
  <si>
    <t>P19-1-02373</t>
  </si>
  <si>
    <t>17-1-00762</t>
  </si>
  <si>
    <t>C1--00659</t>
  </si>
  <si>
    <t>P19-1-02269</t>
  </si>
  <si>
    <t>17-1-00730</t>
  </si>
  <si>
    <t>C1--00660</t>
  </si>
  <si>
    <t>P19-1-01555</t>
  </si>
  <si>
    <t>15-1-01250</t>
  </si>
  <si>
    <t>C1--00661</t>
  </si>
  <si>
    <t>P19-1-00355</t>
  </si>
  <si>
    <t>15-1-00269</t>
  </si>
  <si>
    <t>C1--00664</t>
  </si>
  <si>
    <t>P20-1-00292</t>
  </si>
  <si>
    <t>19-1-00038</t>
  </si>
  <si>
    <t>C1--00665</t>
  </si>
  <si>
    <t>P19-1-01349</t>
  </si>
  <si>
    <t>15-1-01062</t>
  </si>
  <si>
    <t>C1--00666</t>
  </si>
  <si>
    <t>C1--00667</t>
  </si>
  <si>
    <t>P19-1-00584</t>
  </si>
  <si>
    <t>15-1-00468</t>
  </si>
  <si>
    <t>C1--00668</t>
  </si>
  <si>
    <t>P19-1-02501</t>
  </si>
  <si>
    <t>15-1-02016</t>
  </si>
  <si>
    <t>C1--00670</t>
  </si>
  <si>
    <t>P19-1-01076</t>
  </si>
  <si>
    <t>15-1-00831</t>
  </si>
  <si>
    <t>C1--00671</t>
  </si>
  <si>
    <t>P19-1-02358</t>
  </si>
  <si>
    <t>16-1-00272</t>
  </si>
  <si>
    <t>C1--00675</t>
  </si>
  <si>
    <t>P19-1-01876</t>
  </si>
  <si>
    <t>15-1-01497</t>
  </si>
  <si>
    <t>C1--00677</t>
  </si>
  <si>
    <t>P19-1-02414</t>
  </si>
  <si>
    <t>16-1-00283</t>
  </si>
  <si>
    <t>C1--00679</t>
  </si>
  <si>
    <t>P20-1-00201</t>
  </si>
  <si>
    <t>20-1-00066</t>
  </si>
  <si>
    <t>C1--00683</t>
  </si>
  <si>
    <t>P19-1-01510</t>
  </si>
  <si>
    <t>15-1-01204</t>
  </si>
  <si>
    <t>C1--00685</t>
  </si>
  <si>
    <t>P19-1-02635</t>
  </si>
  <si>
    <t>15-1-02126</t>
  </si>
  <si>
    <t>C1--00690</t>
  </si>
  <si>
    <t>P20-1-00595</t>
  </si>
  <si>
    <t>19-1-00071</t>
  </si>
  <si>
    <t>C1--00691</t>
  </si>
  <si>
    <t>P19-1-02075</t>
  </si>
  <si>
    <t>19-1-00319</t>
  </si>
  <si>
    <t>C1--00693</t>
  </si>
  <si>
    <t>P20-1-00624</t>
  </si>
  <si>
    <t>20-1-00192</t>
  </si>
  <si>
    <t>C1--00694</t>
  </si>
  <si>
    <t>P19-1-02195</t>
  </si>
  <si>
    <t>15-1-01741</t>
  </si>
  <si>
    <t>C1--00695</t>
  </si>
  <si>
    <t>P19-1-01538</t>
  </si>
  <si>
    <t>17-1-00493</t>
  </si>
  <si>
    <t>C1--00696</t>
  </si>
  <si>
    <t>P19-1-02710</t>
  </si>
  <si>
    <t>15-1-02190</t>
  </si>
  <si>
    <t>C1--00700</t>
  </si>
  <si>
    <t>P19-1-01244</t>
  </si>
  <si>
    <t>19-1-00193</t>
  </si>
  <si>
    <t>C1--00701</t>
  </si>
  <si>
    <t>P19-1-03002</t>
  </si>
  <si>
    <t>15-1-02424</t>
  </si>
  <si>
    <t>C1--00702</t>
  </si>
  <si>
    <t>P19-1-02221</t>
  </si>
  <si>
    <t>17-1-00711</t>
  </si>
  <si>
    <t>C1--00713</t>
  </si>
  <si>
    <t>P19-1-01068</t>
  </si>
  <si>
    <t>19-1-00162</t>
  </si>
  <si>
    <t>C1--00716</t>
  </si>
  <si>
    <t>P20-1-00748</t>
  </si>
  <si>
    <t>20-1-00237</t>
  </si>
  <si>
    <t>C1--00719</t>
  </si>
  <si>
    <t>P19-1-02958</t>
  </si>
  <si>
    <t>C1--00720</t>
  </si>
  <si>
    <t>P19-1-02284</t>
  </si>
  <si>
    <t>15-1-01830</t>
  </si>
  <si>
    <t>C1--00721</t>
  </si>
  <si>
    <t>P19-1-01088</t>
  </si>
  <si>
    <t>15-1-00844</t>
  </si>
  <si>
    <t>C1--00722</t>
  </si>
  <si>
    <t>P19-1-02057</t>
  </si>
  <si>
    <t>17-1-00660</t>
  </si>
  <si>
    <t>C1--00723</t>
  </si>
  <si>
    <t>P19-1-01772</t>
  </si>
  <si>
    <t>19-1-00266</t>
  </si>
  <si>
    <t>C1--00726</t>
  </si>
  <si>
    <t>P20-1-01294</t>
  </si>
  <si>
    <t>15-1-00821</t>
  </si>
  <si>
    <t>C1--00727</t>
  </si>
  <si>
    <t>P19-1-01775</t>
  </si>
  <si>
    <t>17-1-00578</t>
  </si>
  <si>
    <t>C1--00728</t>
  </si>
  <si>
    <t>P19-1-01699</t>
  </si>
  <si>
    <t>17-1-00545</t>
  </si>
  <si>
    <t>C1--00729</t>
  </si>
  <si>
    <t>P20-1-00554</t>
  </si>
  <si>
    <t>20-1-00168</t>
  </si>
  <si>
    <t>C1--00731</t>
  </si>
  <si>
    <t>P20-1-01469</t>
  </si>
  <si>
    <t>20-1-00463</t>
  </si>
  <si>
    <t>C1--00732</t>
  </si>
  <si>
    <t>P19-1-02633</t>
  </si>
  <si>
    <t>18-1-00401</t>
  </si>
  <si>
    <t>C1--00734</t>
  </si>
  <si>
    <t>P20-1-01936</t>
  </si>
  <si>
    <t>20-1-00602</t>
  </si>
  <si>
    <t>C1--00736</t>
  </si>
  <si>
    <t>P19-1-01395</t>
  </si>
  <si>
    <t>16-1-00165</t>
  </si>
  <si>
    <t>C1--00739</t>
  </si>
  <si>
    <t>P19-1-02092</t>
  </si>
  <si>
    <t>17-1-00675</t>
  </si>
  <si>
    <t>C1--00740</t>
  </si>
  <si>
    <t>P19-1-02821</t>
  </si>
  <si>
    <t>17-1-00908</t>
  </si>
  <si>
    <t>C1--00743</t>
  </si>
  <si>
    <t>P20-1-01703</t>
  </si>
  <si>
    <t>19-1-00209</t>
  </si>
  <si>
    <t>C1--00744</t>
  </si>
  <si>
    <t>P19-1-02494</t>
  </si>
  <si>
    <t>15-1-02008</t>
  </si>
  <si>
    <t>C1--00745</t>
  </si>
  <si>
    <t>P20-1-01044</t>
  </si>
  <si>
    <t>15-1-00664</t>
  </si>
  <si>
    <t>C1--00748</t>
  </si>
  <si>
    <t>P20-1-02347</t>
  </si>
  <si>
    <t>19-1-00304</t>
  </si>
  <si>
    <t>C1--00749</t>
  </si>
  <si>
    <t>P20-1-00786</t>
  </si>
  <si>
    <t>15-1-00501</t>
  </si>
  <si>
    <t>C1--00754</t>
  </si>
  <si>
    <t>P20-1-00912</t>
  </si>
  <si>
    <t>15-1-00583</t>
  </si>
  <si>
    <t>C1--00757</t>
  </si>
  <si>
    <t>P20-1-02515</t>
  </si>
  <si>
    <t>17-1-00672</t>
  </si>
  <si>
    <t>C1--00759</t>
  </si>
  <si>
    <t>P20-1-00536</t>
  </si>
  <si>
    <t>15-1-00355</t>
  </si>
  <si>
    <t>C1--00761</t>
  </si>
  <si>
    <t>P19-1-02768</t>
  </si>
  <si>
    <t>15-1-02237</t>
  </si>
  <si>
    <t>C1--00764</t>
  </si>
  <si>
    <t>P20-1-01291</t>
  </si>
  <si>
    <t>15-1-00824</t>
  </si>
  <si>
    <t>C1--00765</t>
  </si>
  <si>
    <t>P20-1-01063</t>
  </si>
  <si>
    <t>19-1-00132</t>
  </si>
  <si>
    <t>C1--00766</t>
  </si>
  <si>
    <t>P19-1-02446</t>
  </si>
  <si>
    <t>15-1-01971</t>
  </si>
  <si>
    <t>C1--00768</t>
  </si>
  <si>
    <t>P20-1-01174</t>
  </si>
  <si>
    <t>15-1-00752</t>
  </si>
  <si>
    <t>C1--00770</t>
  </si>
  <si>
    <t>P20-1-02009</t>
  </si>
  <si>
    <t>15-1-01323</t>
  </si>
  <si>
    <t>C1--00773</t>
  </si>
  <si>
    <t>P20-1-00630</t>
  </si>
  <si>
    <t>15-1-00418</t>
  </si>
  <si>
    <t>C1--00774</t>
  </si>
  <si>
    <t>P20-1-00833</t>
  </si>
  <si>
    <t>15-1-00532</t>
  </si>
  <si>
    <t>C1--00775</t>
  </si>
  <si>
    <t>P20-1-01460</t>
  </si>
  <si>
    <t>17-1-00400</t>
  </si>
  <si>
    <t>C1--00777</t>
  </si>
  <si>
    <t>P20-1-02596</t>
  </si>
  <si>
    <t>15-1-01707</t>
  </si>
  <si>
    <t>C1--00778</t>
  </si>
  <si>
    <t>P20-1-02475</t>
  </si>
  <si>
    <t>15-1-01628</t>
  </si>
  <si>
    <t>C1--00779</t>
  </si>
  <si>
    <t>P20-1-02866</t>
  </si>
  <si>
    <t>20-1-00850</t>
  </si>
  <si>
    <t>C1--00782</t>
  </si>
  <si>
    <t>P19-1-02758</t>
  </si>
  <si>
    <t>C1--00785</t>
  </si>
  <si>
    <t>P19-1-02913</t>
  </si>
  <si>
    <t>18-1-00447</t>
  </si>
  <si>
    <t>C1--00786</t>
  </si>
  <si>
    <t>P19-1-02641</t>
  </si>
  <si>
    <t>19-1-00428</t>
  </si>
  <si>
    <t>C1--00787</t>
  </si>
  <si>
    <t>P19-1-02694</t>
  </si>
  <si>
    <t>18-1-00414</t>
  </si>
  <si>
    <t>C1--00788</t>
  </si>
  <si>
    <t>P20-1-00138</t>
  </si>
  <si>
    <t>18-1-00019</t>
  </si>
  <si>
    <t>C1--00790</t>
  </si>
  <si>
    <t>P20-1-01090</t>
  </si>
  <si>
    <t>20-1-00345</t>
  </si>
  <si>
    <t>C1--00791</t>
  </si>
  <si>
    <t>P20-1-01714</t>
  </si>
  <si>
    <t>15-1-01117</t>
  </si>
  <si>
    <t>C1--00793</t>
  </si>
  <si>
    <t>P20-1-00592</t>
  </si>
  <si>
    <t>17-1-00169</t>
  </si>
  <si>
    <t>C1--00796</t>
  </si>
  <si>
    <t>P20-1-00974</t>
  </si>
  <si>
    <t>17-1-00275</t>
  </si>
  <si>
    <t>C1--00797</t>
  </si>
  <si>
    <t>P20-1-01268</t>
  </si>
  <si>
    <t>20-1-00399</t>
  </si>
  <si>
    <t>C1--00799</t>
  </si>
  <si>
    <t>P20-1-02750</t>
  </si>
  <si>
    <t>17-1-00736</t>
  </si>
  <si>
    <t>C1--00800</t>
  </si>
  <si>
    <t>P20-1-03376</t>
  </si>
  <si>
    <t>15-1-02260</t>
  </si>
  <si>
    <t>C1--00801</t>
  </si>
  <si>
    <t>P20-1-01182</t>
  </si>
  <si>
    <t>20-1-00374</t>
  </si>
  <si>
    <t>C1--00802</t>
  </si>
  <si>
    <t>P20-1-03509</t>
  </si>
  <si>
    <t>20-1-01054</t>
  </si>
  <si>
    <t>C1--00805</t>
  </si>
  <si>
    <t>P20-1-01417</t>
  </si>
  <si>
    <t>17-1-00384</t>
  </si>
  <si>
    <t>C1--00806</t>
  </si>
  <si>
    <t>P20-1-03188</t>
  </si>
  <si>
    <t>20-1-00955</t>
  </si>
  <si>
    <t>C1--00810</t>
  </si>
  <si>
    <t>P20-1-03088</t>
  </si>
  <si>
    <t>20-1-00920</t>
  </si>
  <si>
    <t>C1--00812</t>
  </si>
  <si>
    <t>P20-1-00633</t>
  </si>
  <si>
    <t>19-1-00075</t>
  </si>
  <si>
    <t>C1--00816</t>
  </si>
  <si>
    <t>P20-1-01343</t>
  </si>
  <si>
    <t>17-1-00366</t>
  </si>
  <si>
    <t>C1--00820</t>
  </si>
  <si>
    <t>P20-1-00524</t>
  </si>
  <si>
    <t>15-1-00349</t>
  </si>
  <si>
    <t>C1--00822</t>
  </si>
  <si>
    <t>C1--00823</t>
  </si>
  <si>
    <t>P20-1-00518</t>
  </si>
  <si>
    <t>17-1-00148</t>
  </si>
  <si>
    <t>C1--00824</t>
  </si>
  <si>
    <t>P20-1-01138</t>
  </si>
  <si>
    <t>20-1-00358</t>
  </si>
  <si>
    <t>C1--00825</t>
  </si>
  <si>
    <t>P19-1-01198</t>
  </si>
  <si>
    <t>18-1-00185</t>
  </si>
  <si>
    <t>C1--00830</t>
  </si>
  <si>
    <t>P21-1-00568</t>
  </si>
  <si>
    <t>19-1-00070</t>
  </si>
  <si>
    <t>C1--00831</t>
  </si>
  <si>
    <t>P20-1-01403</t>
  </si>
  <si>
    <t>19-1-00176</t>
  </si>
  <si>
    <t>C1--00833</t>
  </si>
  <si>
    <t>P20-1-01421</t>
  </si>
  <si>
    <t>15-1-00909</t>
  </si>
  <si>
    <t>C1--00834</t>
  </si>
  <si>
    <t>P20-1-01030</t>
  </si>
  <si>
    <t>15-1-00657</t>
  </si>
  <si>
    <t>C1--00836</t>
  </si>
  <si>
    <t>P20-1-03379</t>
  </si>
  <si>
    <t>20-1-01008</t>
  </si>
  <si>
    <t>C1--00838</t>
  </si>
  <si>
    <t>P21-1-00453</t>
  </si>
  <si>
    <t>19-1-00054</t>
  </si>
  <si>
    <t>C1--00840</t>
  </si>
  <si>
    <t>P20-1-01614</t>
  </si>
  <si>
    <t>C1--00841</t>
  </si>
  <si>
    <t>P20-1-01485</t>
  </si>
  <si>
    <t>20-1-00466</t>
  </si>
  <si>
    <t>C1--00842</t>
  </si>
  <si>
    <t>P20-1-03229</t>
  </si>
  <si>
    <t>15-1-02159</t>
  </si>
  <si>
    <t>C1--00845</t>
  </si>
  <si>
    <t>P20-1-01267</t>
  </si>
  <si>
    <t>20-1-00398</t>
  </si>
  <si>
    <t>Open</t>
  </si>
  <si>
    <t>C1--00846</t>
  </si>
  <si>
    <t>P20-1-03504</t>
  </si>
  <si>
    <t>18-1-00446</t>
  </si>
  <si>
    <t>C1--00848</t>
  </si>
  <si>
    <t>P21-1-00073</t>
  </si>
  <si>
    <t>15-1-00049</t>
  </si>
  <si>
    <t>C1--00849</t>
  </si>
  <si>
    <t>P20-1-01824</t>
  </si>
  <si>
    <t>15-1-01199</t>
  </si>
  <si>
    <t>C1--00851</t>
  </si>
  <si>
    <t>P20-1-03176</t>
  </si>
  <si>
    <t>19-1-00424</t>
  </si>
  <si>
    <t>C1--00852</t>
  </si>
  <si>
    <t>P21-1-00239</t>
  </si>
  <si>
    <t>17-1-00079</t>
  </si>
  <si>
    <t>C1--00853</t>
  </si>
  <si>
    <t>P20-1-02892</t>
  </si>
  <si>
    <t>17-1-00776</t>
  </si>
  <si>
    <t>C1--00855</t>
  </si>
  <si>
    <t>P20-1-01101</t>
  </si>
  <si>
    <t>17-1-00313</t>
  </si>
  <si>
    <t>C1--00856</t>
  </si>
  <si>
    <t>P20-1-02306</t>
  </si>
  <si>
    <t>20-1-00687</t>
  </si>
  <si>
    <t>C1--00858</t>
  </si>
  <si>
    <t>P21-1-00099</t>
  </si>
  <si>
    <t>20-1-00043</t>
  </si>
  <si>
    <t>C1--00859</t>
  </si>
  <si>
    <t>P20-1-02103</t>
  </si>
  <si>
    <t>15-1-01384</t>
  </si>
  <si>
    <t>C1--00861</t>
  </si>
  <si>
    <t>P20-1-03545</t>
  </si>
  <si>
    <t>15-1-02367</t>
  </si>
  <si>
    <t>C1--00863</t>
  </si>
  <si>
    <t>P20-1-01270</t>
  </si>
  <si>
    <t>19-1-00158</t>
  </si>
  <si>
    <t>C1--00866</t>
  </si>
  <si>
    <t>P20-1-03469</t>
  </si>
  <si>
    <t>18-1-00440</t>
  </si>
  <si>
    <t>C1--00867</t>
  </si>
  <si>
    <t>P21-1-01171</t>
  </si>
  <si>
    <t>18-1-00153</t>
  </si>
  <si>
    <t>C1--00868</t>
  </si>
  <si>
    <t>C1--00869</t>
  </si>
  <si>
    <t>P20-1-03096</t>
  </si>
  <si>
    <t>18-1-00396</t>
  </si>
  <si>
    <t>C1--00871</t>
  </si>
  <si>
    <t>P21-1-00256</t>
  </si>
  <si>
    <t>19-1-00034</t>
  </si>
  <si>
    <t>C1--00872</t>
  </si>
  <si>
    <t>P21-1-00806</t>
  </si>
  <si>
    <t>16-1-00080</t>
  </si>
  <si>
    <t>C1--00875</t>
  </si>
  <si>
    <t>C1--00881</t>
  </si>
  <si>
    <t>P21-1-01105</t>
  </si>
  <si>
    <t>20-1-00350</t>
  </si>
  <si>
    <t>C1--00882</t>
  </si>
  <si>
    <t>P20-1-01444</t>
  </si>
  <si>
    <t>20-1-00454</t>
  </si>
  <si>
    <t>C1--00883</t>
  </si>
  <si>
    <t>P21-1-01365</t>
  </si>
  <si>
    <t>20-1-00433</t>
  </si>
  <si>
    <t>C1--00884</t>
  </si>
  <si>
    <t>P20-1-01569</t>
  </si>
  <si>
    <t>16-1-00158</t>
  </si>
  <si>
    <t>C1--00885</t>
  </si>
  <si>
    <t>P20-1-01490</t>
  </si>
  <si>
    <t>17-1-00404</t>
  </si>
  <si>
    <t>C1--00886</t>
  </si>
  <si>
    <t>P20-1-01565</t>
  </si>
  <si>
    <t>18-1-00200</t>
  </si>
  <si>
    <t>C1--00887</t>
  </si>
  <si>
    <t>P20-1-01665</t>
  </si>
  <si>
    <t>15-1-01075</t>
  </si>
  <si>
    <t>C1--00888</t>
  </si>
  <si>
    <t>P21-1-00459</t>
  </si>
  <si>
    <t>20-1-00142</t>
  </si>
  <si>
    <t>C1--00889</t>
  </si>
  <si>
    <t>P21-1-00130</t>
  </si>
  <si>
    <t>17-1-00038</t>
  </si>
  <si>
    <t>C1--00891</t>
  </si>
  <si>
    <t>P21-1-00492</t>
  </si>
  <si>
    <t>21-1-00095</t>
  </si>
  <si>
    <t>C1--00893</t>
  </si>
  <si>
    <t>P20-1-02566</t>
  </si>
  <si>
    <t>20-1-00764</t>
  </si>
  <si>
    <t>C1--00894</t>
  </si>
  <si>
    <t>P21-1-00444</t>
  </si>
  <si>
    <t>20-1-00135</t>
  </si>
  <si>
    <t>C1--00895</t>
  </si>
  <si>
    <t>P20-1-02773</t>
  </si>
  <si>
    <t>19-1-00359</t>
  </si>
  <si>
    <t>C1--00896</t>
  </si>
  <si>
    <t>P21-1-00638</t>
  </si>
  <si>
    <t>16-1-00067</t>
  </si>
  <si>
    <t>C1--00898</t>
  </si>
  <si>
    <t>P21-1-00264</t>
  </si>
  <si>
    <t>21-1-00049</t>
  </si>
  <si>
    <t>C1--00899</t>
  </si>
  <si>
    <t>P18-1-01738</t>
  </si>
  <si>
    <t>17-1-00563</t>
  </si>
  <si>
    <t>C1--00900</t>
  </si>
  <si>
    <t>P21-1-00380</t>
  </si>
  <si>
    <t>20-1-00117</t>
  </si>
  <si>
    <t>C1--00902</t>
  </si>
  <si>
    <t>P18-1-02317</t>
  </si>
  <si>
    <t>18-1-00369</t>
  </si>
  <si>
    <t>C1--00903</t>
  </si>
  <si>
    <t>P21-1-00741</t>
  </si>
  <si>
    <t>19-1-00088</t>
  </si>
  <si>
    <t>C1--00904</t>
  </si>
  <si>
    <t>P21-1-01376</t>
  </si>
  <si>
    <t>15-1-00879</t>
  </si>
  <si>
    <t>C1--00905</t>
  </si>
  <si>
    <t>P20-1-03159</t>
  </si>
  <si>
    <t>20-1-00947</t>
  </si>
  <si>
    <t>C1--00906</t>
  </si>
  <si>
    <t>P21-1-01363</t>
  </si>
  <si>
    <t>17-1-00376</t>
  </si>
  <si>
    <t>C1--00908</t>
  </si>
  <si>
    <t>P21-1-00699</t>
  </si>
  <si>
    <t>20-1-00220</t>
  </si>
  <si>
    <t>C1--00909</t>
  </si>
  <si>
    <t>P20-1-02339</t>
  </si>
  <si>
    <t>19-1-00300</t>
  </si>
  <si>
    <t>C1--00910</t>
  </si>
  <si>
    <t>P20-1-03087</t>
  </si>
  <si>
    <t>20-1-00919</t>
  </si>
  <si>
    <t>C1--00917</t>
  </si>
  <si>
    <t>P21-1-00483</t>
  </si>
  <si>
    <t>18-1-00064</t>
  </si>
  <si>
    <t>C1--00918</t>
  </si>
  <si>
    <t>P20-1-02572</t>
  </si>
  <si>
    <t>20-1-00767</t>
  </si>
  <si>
    <t>C1--00920</t>
  </si>
  <si>
    <t>P20-1-02587</t>
  </si>
  <si>
    <t>19-1-00330</t>
  </si>
  <si>
    <t>C1--00925</t>
  </si>
  <si>
    <t>P21-1-01457</t>
  </si>
  <si>
    <t>C1--00927</t>
  </si>
  <si>
    <t>P20-1-03322</t>
  </si>
  <si>
    <t>17-1-00884</t>
  </si>
  <si>
    <t>C1--00928</t>
  </si>
  <si>
    <t>P21-1-01652</t>
  </si>
  <si>
    <t>18-1-00212</t>
  </si>
  <si>
    <t>C1--00929</t>
  </si>
  <si>
    <t>P21-1-01213</t>
  </si>
  <si>
    <t>19-1-00149</t>
  </si>
  <si>
    <t>C1--00931</t>
  </si>
  <si>
    <t>P20-1-03242</t>
  </si>
  <si>
    <t>17-1-00865</t>
  </si>
  <si>
    <t>C1--00932</t>
  </si>
  <si>
    <t>P21-1-00110</t>
  </si>
  <si>
    <t>17-1-00034</t>
  </si>
  <si>
    <t>C1--00940</t>
  </si>
  <si>
    <t>P20-1-03445</t>
  </si>
  <si>
    <t>15-1-02306</t>
  </si>
  <si>
    <t>C1--00941</t>
  </si>
  <si>
    <t>P21-1-00709</t>
  </si>
  <si>
    <t>20-1-00223</t>
  </si>
  <si>
    <t>C1--00944</t>
  </si>
  <si>
    <t>P20-1-03544</t>
  </si>
  <si>
    <t>15-1-02364</t>
  </si>
  <si>
    <t>C1--00946</t>
  </si>
  <si>
    <t>P21-1-01481</t>
  </si>
  <si>
    <t>15-1-00966</t>
  </si>
  <si>
    <t>C1--00951</t>
  </si>
  <si>
    <t>P21-1-00271</t>
  </si>
  <si>
    <t>18-1-00040</t>
  </si>
  <si>
    <t>C1--00952</t>
  </si>
  <si>
    <t>P21-1-00291</t>
  </si>
  <si>
    <t>17-1-00089</t>
  </si>
  <si>
    <t>C1--00954</t>
  </si>
  <si>
    <t>P21-1-02720</t>
  </si>
  <si>
    <t>20-1-00807</t>
  </si>
  <si>
    <t>C1--00957</t>
  </si>
  <si>
    <t>C1--00958</t>
  </si>
  <si>
    <t>P21-1-02155</t>
  </si>
  <si>
    <t>17-1-00577</t>
  </si>
  <si>
    <t>C1--00960</t>
  </si>
  <si>
    <t>P21-1-00667</t>
  </si>
  <si>
    <t>17-1-00180</t>
  </si>
  <si>
    <t>C1--00964</t>
  </si>
  <si>
    <t>P21-1-00333</t>
  </si>
  <si>
    <t>19-1-00044</t>
  </si>
  <si>
    <t>C1--00965</t>
  </si>
  <si>
    <t>P20-1-03059</t>
  </si>
  <si>
    <t>17-1-00823</t>
  </si>
  <si>
    <t>C1--00967</t>
  </si>
  <si>
    <t>C1--00968</t>
  </si>
  <si>
    <t>P21-1-00489</t>
  </si>
  <si>
    <t>19-1-00059</t>
  </si>
  <si>
    <t>C1--00972</t>
  </si>
  <si>
    <t>C1--00973</t>
  </si>
  <si>
    <t>P20-1-03327</t>
  </si>
  <si>
    <t>20-1-00997</t>
  </si>
  <si>
    <t>C1--00974</t>
  </si>
  <si>
    <t>P21-1-00407</t>
  </si>
  <si>
    <t>18-1-00056</t>
  </si>
  <si>
    <t>C1--00977</t>
  </si>
  <si>
    <t>P20-1-03052</t>
  </si>
  <si>
    <t>19-1-00402</t>
  </si>
  <si>
    <t>C1--00980</t>
  </si>
  <si>
    <t>P21-1-02666</t>
  </si>
  <si>
    <t>21-1-00425</t>
  </si>
  <si>
    <t>C1--00982</t>
  </si>
  <si>
    <t>P21-1-01670</t>
  </si>
  <si>
    <t>20-1-00517</t>
  </si>
  <si>
    <t>C1--00985</t>
  </si>
  <si>
    <t>P21-1-03060</t>
  </si>
  <si>
    <t>20-1-00909</t>
  </si>
  <si>
    <t>C1--00987</t>
  </si>
  <si>
    <t>P20-1-01465</t>
  </si>
  <si>
    <t>15-1-00944</t>
  </si>
  <si>
    <t>C1--00990</t>
  </si>
  <si>
    <t>P20-1-02878</t>
  </si>
  <si>
    <t>16-1-00279</t>
  </si>
  <si>
    <t>C1--00992</t>
  </si>
  <si>
    <t>P21-1-03167</t>
  </si>
  <si>
    <t>16-1-00302</t>
  </si>
  <si>
    <t>C1--00993</t>
  </si>
  <si>
    <t>P22-1-00096</t>
  </si>
  <si>
    <t>19-1-00009</t>
  </si>
  <si>
    <t>C1--00994</t>
  </si>
  <si>
    <t>P20-1-02667</t>
  </si>
  <si>
    <t>20-1-00791</t>
  </si>
  <si>
    <t>C1--00997</t>
  </si>
  <si>
    <t>P21-1-02853</t>
  </si>
  <si>
    <t>18-1-00371</t>
  </si>
  <si>
    <t>C1--00999</t>
  </si>
  <si>
    <t>P21-1-02693</t>
  </si>
  <si>
    <t>17-1-00720</t>
  </si>
  <si>
    <t>C1--01001</t>
  </si>
  <si>
    <t>P21-1-00736</t>
  </si>
  <si>
    <t>21-1-00123</t>
  </si>
  <si>
    <t>C1--01003</t>
  </si>
  <si>
    <t>P21-1-01302</t>
  </si>
  <si>
    <t>19-1-00160</t>
  </si>
  <si>
    <t>C1--01004</t>
  </si>
  <si>
    <t>P21-1-00991</t>
  </si>
  <si>
    <t>15-1-00637</t>
  </si>
  <si>
    <t>C1--01006</t>
  </si>
  <si>
    <t>P21-1-01252</t>
  </si>
  <si>
    <t>17-1-00344</t>
  </si>
  <si>
    <t>C1--01008</t>
  </si>
  <si>
    <t>P21-1-00691</t>
  </si>
  <si>
    <t>20-1-00219</t>
  </si>
  <si>
    <t>C1--01009</t>
  </si>
  <si>
    <t>P19-1-02466</t>
  </si>
  <si>
    <t>15-1-01983</t>
  </si>
  <si>
    <t>C1--01010</t>
  </si>
  <si>
    <t>P21-1-03320</t>
  </si>
  <si>
    <t>19-1-00440</t>
  </si>
  <si>
    <t>C1--01014</t>
  </si>
  <si>
    <t>P21-1-01647</t>
  </si>
  <si>
    <t>20-1-00508</t>
  </si>
  <si>
    <t>C1--01016</t>
  </si>
  <si>
    <t>P21-1-02871</t>
  </si>
  <si>
    <t>20-1-00843</t>
  </si>
  <si>
    <t>C1--01019</t>
  </si>
  <si>
    <t>P21-1-03371</t>
  </si>
  <si>
    <t>15-1-02248</t>
  </si>
  <si>
    <t>C1--01022</t>
  </si>
  <si>
    <t>P22-1-00315</t>
  </si>
  <si>
    <t>C1--01025</t>
  </si>
  <si>
    <t>P21-1-01388</t>
  </si>
  <si>
    <t>18-1-00176</t>
  </si>
  <si>
    <t>C1--01029</t>
  </si>
  <si>
    <t>P21-1-01238</t>
  </si>
  <si>
    <t>15-1-00791</t>
  </si>
  <si>
    <t>C1--01030</t>
  </si>
  <si>
    <t>P21-1-03085</t>
  </si>
  <si>
    <t>21-1-00499</t>
  </si>
  <si>
    <t>C1--01035</t>
  </si>
  <si>
    <t>P21-1-01368</t>
  </si>
  <si>
    <t>21-1-00212</t>
  </si>
  <si>
    <t>C1--01037</t>
  </si>
  <si>
    <t>P19-1-01530</t>
  </si>
  <si>
    <t>16-1-00180</t>
  </si>
  <si>
    <t>C1--01039</t>
  </si>
  <si>
    <t>P22-1-00933</t>
  </si>
  <si>
    <t>20-1-00295</t>
  </si>
  <si>
    <t>C1--01040</t>
  </si>
  <si>
    <t>P22-1-00454</t>
  </si>
  <si>
    <t>21-1-00083</t>
  </si>
  <si>
    <t>C1--01041</t>
  </si>
  <si>
    <t>P21-1-01134</t>
  </si>
  <si>
    <t>20-1-00359</t>
  </si>
  <si>
    <t>C1--01043</t>
  </si>
  <si>
    <t>P21-1-03443</t>
  </si>
  <si>
    <t>20-1-01023</t>
  </si>
  <si>
    <t>C1--01044</t>
  </si>
  <si>
    <t>P21-1-03666</t>
  </si>
  <si>
    <t>18-1-00462</t>
  </si>
  <si>
    <t>C1--01046</t>
  </si>
  <si>
    <t>P22-1-00428</t>
  </si>
  <si>
    <t>C1--01050</t>
  </si>
  <si>
    <t>P21-1-01643</t>
  </si>
  <si>
    <t>21-1-00260</t>
  </si>
  <si>
    <t>C1--01052</t>
  </si>
  <si>
    <t>P21-1-02578</t>
  </si>
  <si>
    <t>17-1-00693</t>
  </si>
  <si>
    <t>C1--01053</t>
  </si>
  <si>
    <t>P21-1-01486</t>
  </si>
  <si>
    <t>20-1-00468</t>
  </si>
  <si>
    <t>C1--01055</t>
  </si>
  <si>
    <t>P21-1-02728</t>
  </si>
  <si>
    <t>C1--01057</t>
  </si>
  <si>
    <t>P22-1-01243</t>
  </si>
  <si>
    <t>17-1-00346</t>
  </si>
  <si>
    <t>C1--01060</t>
  </si>
  <si>
    <t>P22-1-01059</t>
  </si>
  <si>
    <t>15-1-00683</t>
  </si>
  <si>
    <t>C1--01061</t>
  </si>
  <si>
    <t>P22-1-01183</t>
  </si>
  <si>
    <t>21-1-00185</t>
  </si>
  <si>
    <t>C1--01063</t>
  </si>
  <si>
    <t>P22-1-00208</t>
  </si>
  <si>
    <t>20-1-00068</t>
  </si>
  <si>
    <t>C1--01065</t>
  </si>
  <si>
    <t>P21-1-03530</t>
  </si>
  <si>
    <t>21-1-00565</t>
  </si>
  <si>
    <t>C1--01066</t>
  </si>
  <si>
    <t>P22-1-00390</t>
  </si>
  <si>
    <t>16-1-00041</t>
  </si>
  <si>
    <t>C1--01069</t>
  </si>
  <si>
    <t>P22-1-00708</t>
  </si>
  <si>
    <t>19-1-00083</t>
  </si>
  <si>
    <t>C1--01070</t>
  </si>
  <si>
    <t>P22-1-01204</t>
  </si>
  <si>
    <t>C1--01074</t>
  </si>
  <si>
    <t>P21-1-02164</t>
  </si>
  <si>
    <t>15-1-01431</t>
  </si>
  <si>
    <t>C1--01076</t>
  </si>
  <si>
    <t>P21-1-02495</t>
  </si>
  <si>
    <t>18-1-00332</t>
  </si>
  <si>
    <t>C1--01077</t>
  </si>
  <si>
    <t>P22-1-00264</t>
  </si>
  <si>
    <t>15-1-00169</t>
  </si>
  <si>
    <t>C1--01078</t>
  </si>
  <si>
    <t>P21-1-02781</t>
  </si>
  <si>
    <t>19-1-00361</t>
  </si>
  <si>
    <t>C1--01079</t>
  </si>
  <si>
    <t>P21-1-02594</t>
  </si>
  <si>
    <t>15-1-01718</t>
  </si>
  <si>
    <t>C1--01083</t>
  </si>
  <si>
    <t>P21-1-01182</t>
  </si>
  <si>
    <t>21-1-00184</t>
  </si>
  <si>
    <t>C1--01084</t>
  </si>
  <si>
    <t>P21-1-02800</t>
  </si>
  <si>
    <t>19-1-00367</t>
  </si>
  <si>
    <t>C1--01090</t>
  </si>
  <si>
    <t>P20-1-02110</t>
  </si>
  <si>
    <t>15-1-01392</t>
  </si>
  <si>
    <t>C1--01092</t>
  </si>
  <si>
    <t>P22-1-00464</t>
  </si>
  <si>
    <t>C1--01093</t>
  </si>
  <si>
    <t>P21-1-03248</t>
  </si>
  <si>
    <t>18-1-00413</t>
  </si>
  <si>
    <t>C1--01094</t>
  </si>
  <si>
    <t>P22-1-01072</t>
  </si>
  <si>
    <t>15-1-00690</t>
  </si>
  <si>
    <t>C1--01095</t>
  </si>
  <si>
    <t>P21-1-03195</t>
  </si>
  <si>
    <t>C1--01097</t>
  </si>
  <si>
    <t>P22-1-01030</t>
  </si>
  <si>
    <t>22-1-00152</t>
  </si>
  <si>
    <t>C1--01098</t>
  </si>
  <si>
    <t>P22-1-00373</t>
  </si>
  <si>
    <t>17-1-00103</t>
  </si>
  <si>
    <t>C1--01100</t>
  </si>
  <si>
    <t>P22-1-00174</t>
  </si>
  <si>
    <t>C1--01104</t>
  </si>
  <si>
    <t>P22-1-01847</t>
  </si>
  <si>
    <t>22-1-00251</t>
  </si>
  <si>
    <t>C1--01106</t>
  </si>
  <si>
    <t>P22-1-00177</t>
  </si>
  <si>
    <t>15-1-00111</t>
  </si>
  <si>
    <t>C1--01109</t>
  </si>
  <si>
    <t>P22-1-00310</t>
  </si>
  <si>
    <t>21-1-00056</t>
  </si>
  <si>
    <t>C1--01113</t>
  </si>
  <si>
    <t>P22-1-01025</t>
  </si>
  <si>
    <t>21-1-00165</t>
  </si>
  <si>
    <t>C1--01114</t>
  </si>
  <si>
    <t>P22-1-00228</t>
  </si>
  <si>
    <t>17-1-00068</t>
  </si>
  <si>
    <t>C1--01115</t>
  </si>
  <si>
    <t>P22-1-02112</t>
  </si>
  <si>
    <t>19-1-00273</t>
  </si>
  <si>
    <t>C1--01118</t>
  </si>
  <si>
    <t>P22-1-00366</t>
  </si>
  <si>
    <t>20-1-00109</t>
  </si>
  <si>
    <t>C1--01119</t>
  </si>
  <si>
    <t>P22-1-00629</t>
  </si>
  <si>
    <t>16-1-00064</t>
  </si>
  <si>
    <t>C1--01121</t>
  </si>
  <si>
    <t>P22-1-01830</t>
  </si>
  <si>
    <t>15-1-01253</t>
  </si>
  <si>
    <t>C1--01122</t>
  </si>
  <si>
    <t>P21-1-02701</t>
  </si>
  <si>
    <t>20-1-00801</t>
  </si>
  <si>
    <t>C1--01125</t>
  </si>
  <si>
    <t>P22-1-01390</t>
  </si>
  <si>
    <t>16-1-00143</t>
  </si>
  <si>
    <t>C1--01128</t>
  </si>
  <si>
    <t>P21-1-02818</t>
  </si>
  <si>
    <t>19-1-00374</t>
  </si>
  <si>
    <t>C1--01131</t>
  </si>
  <si>
    <t>P19-1-01801</t>
  </si>
  <si>
    <t>19-1-00278</t>
  </si>
  <si>
    <t>C1--01133</t>
  </si>
  <si>
    <t>P22-1-02167</t>
  </si>
  <si>
    <t>22-1-00286</t>
  </si>
  <si>
    <t>C1--01134</t>
  </si>
  <si>
    <t>P22-1-02122</t>
  </si>
  <si>
    <t>15-1-01452</t>
  </si>
  <si>
    <t>C1--01138</t>
  </si>
  <si>
    <t>P21-1-03352</t>
  </si>
  <si>
    <t>17-1-00889</t>
  </si>
  <si>
    <t>C1--01141</t>
  </si>
  <si>
    <t>P22-1-00164</t>
  </si>
  <si>
    <t>20-1-00057</t>
  </si>
  <si>
    <t>C1--01143</t>
  </si>
  <si>
    <t>P22-1-01628</t>
  </si>
  <si>
    <t>21-1-00264</t>
  </si>
  <si>
    <t>C1--01145</t>
  </si>
  <si>
    <t>P22-1-01150</t>
  </si>
  <si>
    <t>22-1-00167</t>
  </si>
  <si>
    <t>C1--01146</t>
  </si>
  <si>
    <t>P21-1-03216</t>
  </si>
  <si>
    <t>17-1-00853</t>
  </si>
  <si>
    <t>C1--01148</t>
  </si>
  <si>
    <t>P22-1-01256</t>
  </si>
  <si>
    <t>20-1-00402</t>
  </si>
  <si>
    <t>C1--01149</t>
  </si>
  <si>
    <t>P21-1-03645</t>
  </si>
  <si>
    <t>15-1-02426</t>
  </si>
  <si>
    <t>C1--01151</t>
  </si>
  <si>
    <t>P22-1-00070</t>
  </si>
  <si>
    <t>20-1-00024</t>
  </si>
  <si>
    <t>C1--01152</t>
  </si>
  <si>
    <t>P22-1-01472</t>
  </si>
  <si>
    <t>20-1-00469</t>
  </si>
  <si>
    <t>C1--01153</t>
  </si>
  <si>
    <t>P22-1-01502</t>
  </si>
  <si>
    <t>20-1-00478</t>
  </si>
  <si>
    <t>C1--01155</t>
  </si>
  <si>
    <t>P22-1-02660</t>
  </si>
  <si>
    <t>21-1-00436</t>
  </si>
  <si>
    <t>C1--01156</t>
  </si>
  <si>
    <t>P22-1-02011</t>
  </si>
  <si>
    <t>20-1-00636</t>
  </si>
  <si>
    <t>C1--01158</t>
  </si>
  <si>
    <t>P22-1-00773</t>
  </si>
  <si>
    <t>19-1-00090</t>
  </si>
  <si>
    <t>C1--01160</t>
  </si>
  <si>
    <t>P22-1-02009</t>
  </si>
  <si>
    <t>15-1-01365</t>
  </si>
  <si>
    <t>C1--01163</t>
  </si>
  <si>
    <t>P22-1-00198</t>
  </si>
  <si>
    <t>22-1-00036</t>
  </si>
  <si>
    <t>C1--01166</t>
  </si>
  <si>
    <t>P22-1-02476</t>
  </si>
  <si>
    <t>20-1-00760</t>
  </si>
  <si>
    <t>C1--01167</t>
  </si>
  <si>
    <t>P22-1-02897</t>
  </si>
  <si>
    <t>19-1-00393</t>
  </si>
  <si>
    <t>C1--01168</t>
  </si>
  <si>
    <t>P22-1-01960</t>
  </si>
  <si>
    <t>22-1-00266</t>
  </si>
  <si>
    <t>C1--01169</t>
  </si>
  <si>
    <t>P22-1-00894</t>
  </si>
  <si>
    <t>17-1-00249</t>
  </si>
  <si>
    <t>C1--01170</t>
  </si>
  <si>
    <t>P21-1-03279</t>
  </si>
  <si>
    <t>19-1-00436</t>
  </si>
  <si>
    <t>C1--01173</t>
  </si>
  <si>
    <t>P22-1-02582</t>
  </si>
  <si>
    <t>19-1-00345</t>
  </si>
  <si>
    <t>C1--01175</t>
  </si>
  <si>
    <t>P22-1-00467</t>
  </si>
  <si>
    <t>20-1-00138</t>
  </si>
  <si>
    <t>C1--01176</t>
  </si>
  <si>
    <t>P22-1-01317</t>
  </si>
  <si>
    <t>18-1-00169</t>
  </si>
  <si>
    <t>C1--01177</t>
  </si>
  <si>
    <t>P22-1-01549</t>
  </si>
  <si>
    <t>17-1-00425</t>
  </si>
  <si>
    <t>C1--01182</t>
  </si>
  <si>
    <t>P22-1-02405</t>
  </si>
  <si>
    <t>20-1-00739</t>
  </si>
  <si>
    <t>C1--01186</t>
  </si>
  <si>
    <t>P22-1-01793</t>
  </si>
  <si>
    <t>19-1-00229</t>
  </si>
  <si>
    <t>C1--01187</t>
  </si>
  <si>
    <t>P19-1-02173</t>
  </si>
  <si>
    <t>15-1-01728</t>
  </si>
  <si>
    <t>C1--01188</t>
  </si>
  <si>
    <t>P22-1-01815</t>
  </si>
  <si>
    <t>15-1-01248</t>
  </si>
  <si>
    <t>C1--01189</t>
  </si>
  <si>
    <t>P22-1-00207</t>
  </si>
  <si>
    <t>22-1-00038</t>
  </si>
  <si>
    <t>C1--01190</t>
  </si>
  <si>
    <t>P22-1-01167</t>
  </si>
  <si>
    <t>20-1-00372</t>
  </si>
  <si>
    <t>C1--01191</t>
  </si>
  <si>
    <t>P22-1-01087</t>
  </si>
  <si>
    <t>18-1-00140</t>
  </si>
  <si>
    <t>C1--01194</t>
  </si>
  <si>
    <t>P22-1-00063</t>
  </si>
  <si>
    <t>17-1-00016</t>
  </si>
  <si>
    <t>C1--01195</t>
  </si>
  <si>
    <t>P22-1-01987</t>
  </si>
  <si>
    <t>20-1-00629</t>
  </si>
  <si>
    <t>C1--01199</t>
  </si>
  <si>
    <t>P22-1-02962</t>
  </si>
  <si>
    <t>15-1-02022</t>
  </si>
  <si>
    <t>C1--01200</t>
  </si>
  <si>
    <t>P22-1-03487</t>
  </si>
  <si>
    <t>20-1-01072</t>
  </si>
  <si>
    <t>C1--01203</t>
  </si>
  <si>
    <t>P22-1-01896</t>
  </si>
  <si>
    <t>18-1-00251</t>
  </si>
  <si>
    <t>C1--01205</t>
  </si>
  <si>
    <t>P22-1-03473</t>
  </si>
  <si>
    <t>20-1-01069</t>
  </si>
  <si>
    <t>C1--01206</t>
  </si>
  <si>
    <t>P22-1-00409</t>
  </si>
  <si>
    <t>21-1-00076</t>
  </si>
  <si>
    <t>C1--01207</t>
  </si>
  <si>
    <t>P22-1-01607</t>
  </si>
  <si>
    <t>22-1-00224</t>
  </si>
  <si>
    <t>C1--01209</t>
  </si>
  <si>
    <t>P22-1-02159</t>
  </si>
  <si>
    <t>17-1-00591</t>
  </si>
  <si>
    <t>C1--01210</t>
  </si>
  <si>
    <t>P22-1-01691</t>
  </si>
  <si>
    <t>15-1-01134</t>
  </si>
  <si>
    <t>C1--01211</t>
  </si>
  <si>
    <t>P22-1-02289</t>
  </si>
  <si>
    <t>15-1-01564</t>
  </si>
  <si>
    <t>C1--01212</t>
  </si>
  <si>
    <t>P22-1-00726</t>
  </si>
  <si>
    <t>20-1-00222</t>
  </si>
  <si>
    <t>C1--01215</t>
  </si>
  <si>
    <t>P22-1-02036</t>
  </si>
  <si>
    <t>20-1-00642</t>
  </si>
  <si>
    <t>C1--01218</t>
  </si>
  <si>
    <t>P22-1-02210</t>
  </si>
  <si>
    <t>15-1-01510</t>
  </si>
  <si>
    <t>C1--01219</t>
  </si>
  <si>
    <t>C1--01220</t>
  </si>
  <si>
    <t>P22-1-01742</t>
  </si>
  <si>
    <t>20-1-00553</t>
  </si>
  <si>
    <t>C1--01223</t>
  </si>
  <si>
    <t>P22-1-01571</t>
  </si>
  <si>
    <t>17-1-00429</t>
  </si>
  <si>
    <t>C1--01224</t>
  </si>
  <si>
    <t>P23-1-00925</t>
  </si>
  <si>
    <t>22-1-00129</t>
  </si>
  <si>
    <t>C1--01226</t>
  </si>
  <si>
    <t>P22-1-02822</t>
  </si>
  <si>
    <t>20-1-00853</t>
  </si>
  <si>
    <t>C1--01227</t>
  </si>
  <si>
    <t>P22-1-00747</t>
  </si>
  <si>
    <t>16-1-00076</t>
  </si>
  <si>
    <t>C1--01228</t>
  </si>
  <si>
    <t>P23-1-00829</t>
  </si>
  <si>
    <t>18-1-00097</t>
  </si>
  <si>
    <t>C1--01230</t>
  </si>
  <si>
    <t>P23-1-00205</t>
  </si>
  <si>
    <t>15-1-00114</t>
  </si>
  <si>
    <t>C1--01231</t>
  </si>
  <si>
    <t>P23-1-00270</t>
  </si>
  <si>
    <t>22-1-00042</t>
  </si>
  <si>
    <t>C1--01232</t>
  </si>
  <si>
    <t>P22-1-00982</t>
  </si>
  <si>
    <t>20-1-00308</t>
  </si>
  <si>
    <t>C1--01237</t>
  </si>
  <si>
    <t>P22-1-00748</t>
  </si>
  <si>
    <t>15-1-00475</t>
  </si>
  <si>
    <t>C1--01238</t>
  </si>
  <si>
    <t>P21-1-02023</t>
  </si>
  <si>
    <t>20-1-00620</t>
  </si>
  <si>
    <t>C1--01239</t>
  </si>
  <si>
    <t>P22-1-02531</t>
  </si>
  <si>
    <t>18-1-00346</t>
  </si>
  <si>
    <t>C1--01242</t>
  </si>
  <si>
    <t>P21-1-01326</t>
  </si>
  <si>
    <t>19-1-00165</t>
  </si>
  <si>
    <t>C1--01243</t>
  </si>
  <si>
    <t>P23-1-01279</t>
  </si>
  <si>
    <t>20-1-00364</t>
  </si>
  <si>
    <t>C1--01244</t>
  </si>
  <si>
    <t>P22-1-02577</t>
  </si>
  <si>
    <t>17-1-00707</t>
  </si>
  <si>
    <t>C1--01245</t>
  </si>
  <si>
    <t>P23-1-01608</t>
  </si>
  <si>
    <t>22-1-00201</t>
  </si>
  <si>
    <t>C1--01246</t>
  </si>
  <si>
    <t>P22-1-02096</t>
  </si>
  <si>
    <t>19-1-00270</t>
  </si>
  <si>
    <t>C1--01247</t>
  </si>
  <si>
    <t>P22-1-03443</t>
  </si>
  <si>
    <t>17-1-00947</t>
  </si>
  <si>
    <t>C1--01249</t>
  </si>
  <si>
    <t>P23-1-01270</t>
  </si>
  <si>
    <t>20-1-00357</t>
  </si>
  <si>
    <t>C1--01250</t>
  </si>
  <si>
    <t>P22-1-02074</t>
  </si>
  <si>
    <t>20-1-00656</t>
  </si>
  <si>
    <t>C1--01251</t>
  </si>
  <si>
    <t>P22-1-02669</t>
  </si>
  <si>
    <t>20-1-00816</t>
  </si>
  <si>
    <t>C1--01253</t>
  </si>
  <si>
    <t>P22-1-00984</t>
  </si>
  <si>
    <t>19-1-00121</t>
  </si>
  <si>
    <t>C1--01254</t>
  </si>
  <si>
    <t>P23-1-00194</t>
  </si>
  <si>
    <t>22-1-00031</t>
  </si>
  <si>
    <t>C1--01256</t>
  </si>
  <si>
    <t>P22-1-02793</t>
  </si>
  <si>
    <t>17-1-00769</t>
  </si>
  <si>
    <t>C1--01257</t>
  </si>
  <si>
    <t>P23-1-00850</t>
  </si>
  <si>
    <t>21-1-00125</t>
  </si>
  <si>
    <t>C1--01261</t>
  </si>
  <si>
    <t>P23-1-01200</t>
  </si>
  <si>
    <t>18-1-00134</t>
  </si>
  <si>
    <t>C1--01264</t>
  </si>
  <si>
    <t>P22-1-02304</t>
  </si>
  <si>
    <t>20-1-00703</t>
  </si>
  <si>
    <t>C1--01265</t>
  </si>
  <si>
    <t>P23-1-01767</t>
  </si>
  <si>
    <t>22-1-00215</t>
  </si>
  <si>
    <t>C1--01267</t>
  </si>
  <si>
    <t>P22-1-02554</t>
  </si>
  <si>
    <t>17-1-00703</t>
  </si>
  <si>
    <t>C1--01268</t>
  </si>
  <si>
    <t>P23-1-01193</t>
  </si>
  <si>
    <t>20-1-00335</t>
  </si>
  <si>
    <t>C1--01271</t>
  </si>
  <si>
    <t>P21-1-01733</t>
  </si>
  <si>
    <t>18-1-00221</t>
  </si>
  <si>
    <t>C1--01272</t>
  </si>
  <si>
    <t>P23-1-01304</t>
  </si>
  <si>
    <t>15-1-00748</t>
  </si>
  <si>
    <t>C1--01273</t>
  </si>
  <si>
    <t>P22-1-00116</t>
  </si>
  <si>
    <t>19-1-00014</t>
  </si>
  <si>
    <t>C1--01275</t>
  </si>
  <si>
    <t>P22-1-03081</t>
  </si>
  <si>
    <t>C1--01276</t>
  </si>
  <si>
    <t>P22-1-02961</t>
  </si>
  <si>
    <t>15-1-02024</t>
  </si>
  <si>
    <t>C1--01279</t>
  </si>
  <si>
    <t>P23-1-01947</t>
  </si>
  <si>
    <t>20-1-00537</t>
  </si>
  <si>
    <t>C1--01281</t>
  </si>
  <si>
    <t>P22-1-03458</t>
  </si>
  <si>
    <t>C1--01282</t>
  </si>
  <si>
    <t>P23-1-00823</t>
  </si>
  <si>
    <t>23-1-00194</t>
  </si>
  <si>
    <t>C1--01283</t>
  </si>
  <si>
    <t>P23-1-01163</t>
  </si>
  <si>
    <t>23-1-00286</t>
  </si>
  <si>
    <t>C1--01284</t>
  </si>
  <si>
    <t>P22-1-02026</t>
  </si>
  <si>
    <t>15-1-01383</t>
  </si>
  <si>
    <t>C1--01286</t>
  </si>
  <si>
    <t>P23-1-00079</t>
  </si>
  <si>
    <t>C1--01288</t>
  </si>
  <si>
    <t>P23-1-00861</t>
  </si>
  <si>
    <t>15-1-00482</t>
  </si>
  <si>
    <t>C1--01290</t>
  </si>
  <si>
    <t>P22-1-03242</t>
  </si>
  <si>
    <t>17-1-00887</t>
  </si>
  <si>
    <t>C1--01291</t>
  </si>
  <si>
    <t>P23-1-02168</t>
  </si>
  <si>
    <t>23-1-00533</t>
  </si>
  <si>
    <t>C1--01293</t>
  </si>
  <si>
    <t>P23-1-01819</t>
  </si>
  <si>
    <t>20-1-00502</t>
  </si>
  <si>
    <t>C1--01294</t>
  </si>
  <si>
    <t>P23-1-02563</t>
  </si>
  <si>
    <t>22-1-00296</t>
  </si>
  <si>
    <t>C1--01295</t>
  </si>
  <si>
    <t>P23-1-02043</t>
  </si>
  <si>
    <t>15-1-01212</t>
  </si>
  <si>
    <t>C1--01296</t>
  </si>
  <si>
    <t>P23-1-02314</t>
  </si>
  <si>
    <t>16-1-00202</t>
  </si>
  <si>
    <t>C1--01300</t>
  </si>
  <si>
    <t>P23-1-01159</t>
  </si>
  <si>
    <t>C1--01304</t>
  </si>
  <si>
    <t>P23-1-00983</t>
  </si>
  <si>
    <t>18-1-00108</t>
  </si>
  <si>
    <t>C1--01307</t>
  </si>
  <si>
    <t>P22-1-03211</t>
  </si>
  <si>
    <t>19-1-00438</t>
  </si>
  <si>
    <t>C1--01309</t>
  </si>
  <si>
    <t>P23-1-02315</t>
  </si>
  <si>
    <t>15-1-01385</t>
  </si>
  <si>
    <t>C1--01310</t>
  </si>
  <si>
    <t>P23-1-00828</t>
  </si>
  <si>
    <t>18-1-00098</t>
  </si>
  <si>
    <t>C1--01311</t>
  </si>
  <si>
    <t>P23-1-01653</t>
  </si>
  <si>
    <t>23-1-00413</t>
  </si>
  <si>
    <t>C1--01312</t>
  </si>
  <si>
    <t>P22-1-01876</t>
  </si>
  <si>
    <t>15-1-01287</t>
  </si>
  <si>
    <t>C1--01313</t>
  </si>
  <si>
    <t>P23-1-00367</t>
  </si>
  <si>
    <t>23-1-00096</t>
  </si>
  <si>
    <t>C1--01315</t>
  </si>
  <si>
    <t>P23-1-01294</t>
  </si>
  <si>
    <t>15-1-00744</t>
  </si>
  <si>
    <t>C1--01317</t>
  </si>
  <si>
    <t>P22-1-03448</t>
  </si>
  <si>
    <t>17-1-00948</t>
  </si>
  <si>
    <t>C1--01318</t>
  </si>
  <si>
    <t>P22-1-01707</t>
  </si>
  <si>
    <t>20-1-00538</t>
  </si>
  <si>
    <t>C1--01321</t>
  </si>
  <si>
    <t>P23-1-01168</t>
  </si>
  <si>
    <t>20-1-00328</t>
  </si>
  <si>
    <t>C1--00005</t>
  </si>
  <si>
    <t>P20-2-00035</t>
  </si>
  <si>
    <t>20-2-00035</t>
  </si>
  <si>
    <t>Product liability; high-venue counsel; trial set</t>
  </si>
  <si>
    <t>C1--00006</t>
  </si>
  <si>
    <t>P20-2-00146</t>
  </si>
  <si>
    <t>20-2-00146</t>
  </si>
  <si>
    <t>Punitive damages sought; internal emails produced</t>
  </si>
  <si>
    <t>C1--00007</t>
  </si>
  <si>
    <t>P20-2-00217</t>
  </si>
  <si>
    <t>20-2-00217</t>
  </si>
  <si>
    <t>Reptile theory; corporate safety indifference alleged</t>
  </si>
  <si>
    <t>C1--00009</t>
  </si>
  <si>
    <t>P20-2-00744</t>
  </si>
  <si>
    <t>20-2-00744</t>
  </si>
  <si>
    <t>Mass tort counsel; coordinated litigation filed</t>
  </si>
  <si>
    <t>C1--00010</t>
  </si>
  <si>
    <t>P20-2-00422</t>
  </si>
  <si>
    <t>20-2-00422</t>
  </si>
  <si>
    <t>C1--00011</t>
  </si>
  <si>
    <t>P20-2-00546</t>
  </si>
  <si>
    <t>20-2-00546</t>
  </si>
  <si>
    <t>C1--00013</t>
  </si>
  <si>
    <t>P20-2-00236</t>
  </si>
  <si>
    <t>20-2-00236</t>
  </si>
  <si>
    <t>C1--00020</t>
  </si>
  <si>
    <t>P20-2-00180</t>
  </si>
  <si>
    <t>20-2-00180</t>
  </si>
  <si>
    <t>Catastrophic burn injury; long-term disability claimed</t>
  </si>
  <si>
    <t>C1--00021</t>
  </si>
  <si>
    <t>P20-2-00124</t>
  </si>
  <si>
    <t>20-2-00124</t>
  </si>
  <si>
    <t>Time-limit demand; excess exposure; mediation failed</t>
  </si>
  <si>
    <t>C1--00022</t>
  </si>
  <si>
    <t>P20-2-00027</t>
  </si>
  <si>
    <t>20-2-00027</t>
  </si>
  <si>
    <t>Severe disfigurement; emotional distress claims added</t>
  </si>
  <si>
    <t>C1--00026</t>
  </si>
  <si>
    <t>P20-2-00106</t>
  </si>
  <si>
    <t>20-2-00106</t>
  </si>
  <si>
    <t>C1--00027</t>
  </si>
  <si>
    <t>P20-2-00570</t>
  </si>
  <si>
    <t>20-2-00570</t>
  </si>
  <si>
    <t>Catastrophic spinal injury; lifetime care; high demand</t>
  </si>
  <si>
    <t>C1--00031</t>
  </si>
  <si>
    <t>P20-2-00274</t>
  </si>
  <si>
    <t>20-2-00274</t>
  </si>
  <si>
    <t>C1--00038</t>
  </si>
  <si>
    <t>P20-2-00140</t>
  </si>
  <si>
    <t>20-2-00140</t>
  </si>
  <si>
    <t>Multiple wrongful deaths; layered limits exhausted</t>
  </si>
  <si>
    <t>C1--00041</t>
  </si>
  <si>
    <t>P20-2-01105</t>
  </si>
  <si>
    <t>20-2-01105</t>
  </si>
  <si>
    <t>C1--00044</t>
  </si>
  <si>
    <t>P20-2-00403</t>
  </si>
  <si>
    <t>20-2-00403</t>
  </si>
  <si>
    <t>Consolidated actions; multiple plaintiffs; discovery heavy</t>
  </si>
  <si>
    <t>C1--00045</t>
  </si>
  <si>
    <t>P20-2-00703</t>
  </si>
  <si>
    <t>20-2-00703</t>
  </si>
  <si>
    <t>C1--00047</t>
  </si>
  <si>
    <t>P20-2-00857</t>
  </si>
  <si>
    <t>20-2-00857</t>
  </si>
  <si>
    <t>Multiple injuries; event hosted; mass claims</t>
  </si>
  <si>
    <t>C1--00048</t>
  </si>
  <si>
    <t>P20-2-00599</t>
  </si>
  <si>
    <t>20-2-00599</t>
  </si>
  <si>
    <t>C1--00052</t>
  </si>
  <si>
    <t>P20-2-00269</t>
  </si>
  <si>
    <t>20-2-00269</t>
  </si>
  <si>
    <t>C1--00056</t>
  </si>
  <si>
    <t>P20-2-00701</t>
  </si>
  <si>
    <t>20-2-00701</t>
  </si>
  <si>
    <t>C1--00057</t>
  </si>
  <si>
    <t>P20-2-01138</t>
  </si>
  <si>
    <t>20-2-01138</t>
  </si>
  <si>
    <t>C1--00062</t>
  </si>
  <si>
    <t>P20-2-00791</t>
  </si>
  <si>
    <t>20-2-00791</t>
  </si>
  <si>
    <t>C1--00063</t>
  </si>
  <si>
    <t>P20-2-00275</t>
  </si>
  <si>
    <t>20-2-00275</t>
  </si>
  <si>
    <t>C1--00064</t>
  </si>
  <si>
    <t>P21-2-00308</t>
  </si>
  <si>
    <t>21-2-00169</t>
  </si>
  <si>
    <t>C1--00067</t>
  </si>
  <si>
    <t>P21-2-00282</t>
  </si>
  <si>
    <t>21-2-00150</t>
  </si>
  <si>
    <t>C1--00071</t>
  </si>
  <si>
    <t>P21-2-00035</t>
  </si>
  <si>
    <t>20-2-00016</t>
  </si>
  <si>
    <t>C1--00072</t>
  </si>
  <si>
    <t>P21-2-00587</t>
  </si>
  <si>
    <t>20-2-00323</t>
  </si>
  <si>
    <t>C1--00073</t>
  </si>
  <si>
    <t>P20-2-00557</t>
  </si>
  <si>
    <t>20-2-00557</t>
  </si>
  <si>
    <t>Wrongful death; premises defect; high damages</t>
  </si>
  <si>
    <t>C1--00074</t>
  </si>
  <si>
    <t>P20-2-00536</t>
  </si>
  <si>
    <t>20-2-00536</t>
  </si>
  <si>
    <t>C1--00075</t>
  </si>
  <si>
    <t>P21-2-00551</t>
  </si>
  <si>
    <t>21-2-00291</t>
  </si>
  <si>
    <t>C1--00080</t>
  </si>
  <si>
    <t>P21-2-00061</t>
  </si>
  <si>
    <t>21-2-00033</t>
  </si>
  <si>
    <t>C1--00082</t>
  </si>
  <si>
    <t>P21-2-00973</t>
  </si>
  <si>
    <t>20-2-00532</t>
  </si>
  <si>
    <t>C1--00087</t>
  </si>
  <si>
    <t>P21-2-01163</t>
  </si>
  <si>
    <t>21-2-00623</t>
  </si>
  <si>
    <t>Catastrophic TBI; guardianship; liens escalating</t>
  </si>
  <si>
    <t>C1--00090</t>
  </si>
  <si>
    <t>P21-2-00005</t>
  </si>
  <si>
    <t>20-2-00002</t>
  </si>
  <si>
    <t>C1--00103</t>
  </si>
  <si>
    <t>P21-2-01087</t>
  </si>
  <si>
    <t>20-2-00587</t>
  </si>
  <si>
    <t>C1--00104</t>
  </si>
  <si>
    <t>P20-2-01174</t>
  </si>
  <si>
    <t>20-2-01174</t>
  </si>
  <si>
    <t>C1--00106</t>
  </si>
  <si>
    <t>P20-2-01534</t>
  </si>
  <si>
    <t>20-2-01534</t>
  </si>
  <si>
    <t>C1--00109</t>
  </si>
  <si>
    <t>P21-2-01673</t>
  </si>
  <si>
    <t>20-2-00911</t>
  </si>
  <si>
    <t>C1--00110</t>
  </si>
  <si>
    <t>P20-2-01183</t>
  </si>
  <si>
    <t>20-2-01183</t>
  </si>
  <si>
    <t>C1--00113</t>
  </si>
  <si>
    <t>P21-2-01191</t>
  </si>
  <si>
    <t>20-2-00648</t>
  </si>
  <si>
    <t>C1--00114</t>
  </si>
  <si>
    <t>P20-2-00735</t>
  </si>
  <si>
    <t>20-2-00735</t>
  </si>
  <si>
    <t>C1--00115</t>
  </si>
  <si>
    <t>P21-2-00632</t>
  </si>
  <si>
    <t>21-2-00331</t>
  </si>
  <si>
    <t>C1--00116</t>
  </si>
  <si>
    <t>P20-2-01144</t>
  </si>
  <si>
    <t>20-2-01144</t>
  </si>
  <si>
    <t>C1--00120</t>
  </si>
  <si>
    <t>P20-2-00101</t>
  </si>
  <si>
    <t>20-2-00101</t>
  </si>
  <si>
    <t>C1--00121</t>
  </si>
  <si>
    <t>P21-2-00363</t>
  </si>
  <si>
    <t>21-2-00194</t>
  </si>
  <si>
    <t>C1--00122</t>
  </si>
  <si>
    <t>P21-2-00238</t>
  </si>
  <si>
    <t>21-2-00132</t>
  </si>
  <si>
    <t>C1--00123</t>
  </si>
  <si>
    <t>P21-2-00825</t>
  </si>
  <si>
    <t>21-2-00437</t>
  </si>
  <si>
    <t>C1--00124</t>
  </si>
  <si>
    <t>P21-2-00620</t>
  </si>
  <si>
    <t>21-2-00322</t>
  </si>
  <si>
    <t>C1--00127</t>
  </si>
  <si>
    <t>P20-2-00920</t>
  </si>
  <si>
    <t>20-2-00920</t>
  </si>
  <si>
    <t>C1--00131</t>
  </si>
  <si>
    <t>P20-2-01323</t>
  </si>
  <si>
    <t>20-2-01323</t>
  </si>
  <si>
    <t>C1--00132</t>
  </si>
  <si>
    <t>P21-2-01783</t>
  </si>
  <si>
    <t>21-2-00961</t>
  </si>
  <si>
    <t>C1--00138</t>
  </si>
  <si>
    <t>P21-2-00862</t>
  </si>
  <si>
    <t>20-2-00473</t>
  </si>
  <si>
    <t>C1--00139</t>
  </si>
  <si>
    <t>P21-2-00653</t>
  </si>
  <si>
    <t>21-2-00343</t>
  </si>
  <si>
    <t>C1--00140</t>
  </si>
  <si>
    <t>P21-2-01452</t>
  </si>
  <si>
    <t>21-2-00782</t>
  </si>
  <si>
    <t>C1--00142</t>
  </si>
  <si>
    <t>P21-2-01551</t>
  </si>
  <si>
    <t>20-2-00843</t>
  </si>
  <si>
    <t>C1--00145</t>
  </si>
  <si>
    <t>P21-2-00489</t>
  </si>
  <si>
    <t>21-2-00258</t>
  </si>
  <si>
    <t>C1--00147</t>
  </si>
  <si>
    <t>P21-2-01512</t>
  </si>
  <si>
    <t>21-2-00820</t>
  </si>
  <si>
    <t>C1--00152</t>
  </si>
  <si>
    <t>P21-2-01766</t>
  </si>
  <si>
    <t>20-2-00971</t>
  </si>
  <si>
    <t>C1--00156</t>
  </si>
  <si>
    <t>P21-2-00882</t>
  </si>
  <si>
    <t>21-2-00468</t>
  </si>
  <si>
    <t>C1--00158</t>
  </si>
  <si>
    <t>P21-2-00494</t>
  </si>
  <si>
    <t>20-2-00270</t>
  </si>
  <si>
    <t>C1--00161</t>
  </si>
  <si>
    <t>P21-2-01320</t>
  </si>
  <si>
    <t>20-2-00727</t>
  </si>
  <si>
    <t>C1--00164</t>
  </si>
  <si>
    <t>P21-2-00262</t>
  </si>
  <si>
    <t>20-2-00147</t>
  </si>
  <si>
    <t>C1--00166</t>
  </si>
  <si>
    <t>P21-2-01901</t>
  </si>
  <si>
    <t>21-2-01018</t>
  </si>
  <si>
    <t>C1--00168</t>
  </si>
  <si>
    <t>P21-2-01514</t>
  </si>
  <si>
    <t>21-2-00822</t>
  </si>
  <si>
    <t>C1--00170</t>
  </si>
  <si>
    <t>P21-2-01550</t>
  </si>
  <si>
    <t>20-2-00839</t>
  </si>
  <si>
    <t>C1--00172</t>
  </si>
  <si>
    <t>P21-2-00694</t>
  </si>
  <si>
    <t>20-2-00378</t>
  </si>
  <si>
    <t>C1--00181</t>
  </si>
  <si>
    <t>P21-2-01002</t>
  </si>
  <si>
    <t>21-2-00535</t>
  </si>
  <si>
    <t>C1--00183</t>
  </si>
  <si>
    <t>P21-2-01480</t>
  </si>
  <si>
    <t>21-2-00799</t>
  </si>
  <si>
    <t>C1--00187</t>
  </si>
  <si>
    <t>P21-2-01682</t>
  </si>
  <si>
    <t>21-2-00903</t>
  </si>
  <si>
    <t>C1--00189</t>
  </si>
  <si>
    <t>P21-2-01887</t>
  </si>
  <si>
    <t>20-2-01039</t>
  </si>
  <si>
    <t>C1--00191</t>
  </si>
  <si>
    <t>P21-2-01641</t>
  </si>
  <si>
    <t>21-2-00885</t>
  </si>
  <si>
    <t>C1--00193</t>
  </si>
  <si>
    <t>P21-2-02417</t>
  </si>
  <si>
    <t>20-2-01312</t>
  </si>
  <si>
    <t>C1--00198</t>
  </si>
  <si>
    <t>P21-2-02826</t>
  </si>
  <si>
    <t>21-2-01526</t>
  </si>
  <si>
    <t>C1--00200</t>
  </si>
  <si>
    <t>P21-2-00921</t>
  </si>
  <si>
    <t>21-2-00490</t>
  </si>
  <si>
    <t>C1--00205</t>
  </si>
  <si>
    <t>P21-2-02071</t>
  </si>
  <si>
    <t>20-2-01133</t>
  </si>
  <si>
    <t>C1--00207</t>
  </si>
  <si>
    <t>P21-2-00636</t>
  </si>
  <si>
    <t>20-2-00353</t>
  </si>
  <si>
    <t>C1--00210</t>
  </si>
  <si>
    <t>P21-2-01205</t>
  </si>
  <si>
    <t>21-2-00642</t>
  </si>
  <si>
    <t>C1--00212</t>
  </si>
  <si>
    <t>P21-2-01871</t>
  </si>
  <si>
    <t>20-2-01032</t>
  </si>
  <si>
    <t>C1--00215</t>
  </si>
  <si>
    <t>P21-2-02369</t>
  </si>
  <si>
    <t>21-2-01281</t>
  </si>
  <si>
    <t>C1--00216</t>
  </si>
  <si>
    <t>P21-2-02830</t>
  </si>
  <si>
    <t>20-2-01535</t>
  </si>
  <si>
    <t>C1--00220</t>
  </si>
  <si>
    <t>P21-2-00548</t>
  </si>
  <si>
    <t>21-2-00288</t>
  </si>
  <si>
    <t>C1--00221</t>
  </si>
  <si>
    <t>P21-2-01495</t>
  </si>
  <si>
    <t>21-2-00808</t>
  </si>
  <si>
    <t>C1--00222</t>
  </si>
  <si>
    <t>P21-2-02599</t>
  </si>
  <si>
    <t>20-2-01408</t>
  </si>
  <si>
    <t>C1--00228</t>
  </si>
  <si>
    <t>P22-2-00111</t>
  </si>
  <si>
    <t>21-2-00057</t>
  </si>
  <si>
    <t>C1--00229</t>
  </si>
  <si>
    <t>P22-2-00471</t>
  </si>
  <si>
    <t>21-2-00233</t>
  </si>
  <si>
    <t>C1--00231</t>
  </si>
  <si>
    <t>P22-2-00450</t>
  </si>
  <si>
    <t>21-2-00218</t>
  </si>
  <si>
    <t>C1--00232</t>
  </si>
  <si>
    <t>P22-2-00929</t>
  </si>
  <si>
    <t>C1--00235</t>
  </si>
  <si>
    <t>P21-2-02084</t>
  </si>
  <si>
    <t>20-2-01139</t>
  </si>
  <si>
    <t>C1--00236</t>
  </si>
  <si>
    <t>P22-2-00811</t>
  </si>
  <si>
    <t>20-2-00408</t>
  </si>
  <si>
    <t>C1--00237</t>
  </si>
  <si>
    <t>P22-2-00357</t>
  </si>
  <si>
    <t>20-2-00174</t>
  </si>
  <si>
    <t>C1--00238</t>
  </si>
  <si>
    <t>P21-2-00543</t>
  </si>
  <si>
    <t>20-2-00297</t>
  </si>
  <si>
    <t>C1--00239</t>
  </si>
  <si>
    <t>P22-2-01105</t>
  </si>
  <si>
    <t>20-2-00555</t>
  </si>
  <si>
    <t>C1--00240</t>
  </si>
  <si>
    <t>P21-2-00527</t>
  </si>
  <si>
    <t>20-2-00288</t>
  </si>
  <si>
    <t>C1--00241</t>
  </si>
  <si>
    <t>P21-2-02144</t>
  </si>
  <si>
    <t>21-2-01151</t>
  </si>
  <si>
    <t>C1--00243</t>
  </si>
  <si>
    <t>P21-2-01561</t>
  </si>
  <si>
    <t>20-2-00849</t>
  </si>
  <si>
    <t>C1--00248</t>
  </si>
  <si>
    <t>P22-2-00016</t>
  </si>
  <si>
    <t>21-2-00008</t>
  </si>
  <si>
    <t>C1--00249</t>
  </si>
  <si>
    <t>P21-2-02437</t>
  </si>
  <si>
    <t>21-2-01322</t>
  </si>
  <si>
    <t>C1--00252</t>
  </si>
  <si>
    <t>P21-2-02619</t>
  </si>
  <si>
    <t>21-2-01420</t>
  </si>
  <si>
    <t>C1--00253</t>
  </si>
  <si>
    <t>P21-2-01634</t>
  </si>
  <si>
    <t>20-2-00889</t>
  </si>
  <si>
    <t>C1--00257</t>
  </si>
  <si>
    <t>P22-2-01025</t>
  </si>
  <si>
    <t>20-2-00520</t>
  </si>
  <si>
    <t>C1--00258</t>
  </si>
  <si>
    <t>P21-2-02087</t>
  </si>
  <si>
    <t>21-2-01120</t>
  </si>
  <si>
    <t>C1--00260</t>
  </si>
  <si>
    <t>P22-2-00075</t>
  </si>
  <si>
    <t>21-2-00040</t>
  </si>
  <si>
    <t>C1--00266</t>
  </si>
  <si>
    <t>P22-2-00745</t>
  </si>
  <si>
    <t>21-2-00357</t>
  </si>
  <si>
    <t>C1--00267</t>
  </si>
  <si>
    <t>P22-2-00862</t>
  </si>
  <si>
    <t>20-2-00440</t>
  </si>
  <si>
    <t>C1--00268</t>
  </si>
  <si>
    <t>P21-2-02300</t>
  </si>
  <si>
    <t>20-2-01255</t>
  </si>
  <si>
    <t>C1--00271</t>
  </si>
  <si>
    <t>P21-2-02700</t>
  </si>
  <si>
    <t>21-2-01464</t>
  </si>
  <si>
    <t>C1--00274</t>
  </si>
  <si>
    <t>P22-2-01656</t>
  </si>
  <si>
    <t>21-2-00834</t>
  </si>
  <si>
    <t>C1--00275</t>
  </si>
  <si>
    <t>P22-2-00105</t>
  </si>
  <si>
    <t>22-2-00022</t>
  </si>
  <si>
    <t>C1--00276</t>
  </si>
  <si>
    <t>P22-2-00367</t>
  </si>
  <si>
    <t>22-2-00088</t>
  </si>
  <si>
    <t>C1--00279</t>
  </si>
  <si>
    <t>P22-2-00083</t>
  </si>
  <si>
    <t>20-2-00039</t>
  </si>
  <si>
    <t>C1--00280</t>
  </si>
  <si>
    <t>P22-2-01397</t>
  </si>
  <si>
    <t>22-2-00295</t>
  </si>
  <si>
    <t>C1--00284</t>
  </si>
  <si>
    <t>P22-2-01161</t>
  </si>
  <si>
    <t>21-2-00581</t>
  </si>
  <si>
    <t>C1--00292</t>
  </si>
  <si>
    <t>P22-2-01983</t>
  </si>
  <si>
    <t>20-2-01002</t>
  </si>
  <si>
    <t>C1--00293</t>
  </si>
  <si>
    <t>P21-2-02644</t>
  </si>
  <si>
    <t>21-2-01436</t>
  </si>
  <si>
    <t>C1--00294</t>
  </si>
  <si>
    <t>P21-2-02454</t>
  </si>
  <si>
    <t>21-2-01333</t>
  </si>
  <si>
    <t>C1--00299</t>
  </si>
  <si>
    <t>P22-2-01613</t>
  </si>
  <si>
    <t>21-2-00805</t>
  </si>
  <si>
    <t>C1--00301</t>
  </si>
  <si>
    <t>P22-2-02037</t>
  </si>
  <si>
    <t>21-2-01003</t>
  </si>
  <si>
    <t>C1--00304</t>
  </si>
  <si>
    <t>P22-2-00197</t>
  </si>
  <si>
    <t>20-2-00102</t>
  </si>
  <si>
    <t>C1--00306</t>
  </si>
  <si>
    <t>P21-2-02705</t>
  </si>
  <si>
    <t>20-2-01463</t>
  </si>
  <si>
    <t>C1--00307</t>
  </si>
  <si>
    <t>P22-2-02031</t>
  </si>
  <si>
    <t>C1--00308</t>
  </si>
  <si>
    <t>P22-2-02424</t>
  </si>
  <si>
    <t>20-2-01231</t>
  </si>
  <si>
    <t>C1--00310</t>
  </si>
  <si>
    <t>P22-2-02287</t>
  </si>
  <si>
    <t>21-2-01131</t>
  </si>
  <si>
    <t>C1--00311</t>
  </si>
  <si>
    <t>P22-2-00705</t>
  </si>
  <si>
    <t>20-2-00356</t>
  </si>
  <si>
    <t>C1--00312</t>
  </si>
  <si>
    <t>P22-2-02128</t>
  </si>
  <si>
    <t>21-2-01045</t>
  </si>
  <si>
    <t>C1--00313</t>
  </si>
  <si>
    <t>P22-2-02054</t>
  </si>
  <si>
    <t>22-2-00446</t>
  </si>
  <si>
    <t>C1--00316</t>
  </si>
  <si>
    <t>P22-2-00278</t>
  </si>
  <si>
    <t>21-2-00134</t>
  </si>
  <si>
    <t>C1--00317</t>
  </si>
  <si>
    <t>P22-2-02308</t>
  </si>
  <si>
    <t>20-2-01165</t>
  </si>
  <si>
    <t>C1--00318</t>
  </si>
  <si>
    <t>P22-2-01253</t>
  </si>
  <si>
    <t>20-2-00640</t>
  </si>
  <si>
    <t>C1--00319</t>
  </si>
  <si>
    <t>P22-2-01812</t>
  </si>
  <si>
    <t>20-2-00914</t>
  </si>
  <si>
    <t>C1--00325</t>
  </si>
  <si>
    <t>P21-2-02435</t>
  </si>
  <si>
    <t>21-2-01320</t>
  </si>
  <si>
    <t>C1--00333</t>
  </si>
  <si>
    <t>P22-2-00118</t>
  </si>
  <si>
    <t>21-2-00058</t>
  </si>
  <si>
    <t>C1--00337</t>
  </si>
  <si>
    <t>P22-2-00521</t>
  </si>
  <si>
    <t>21-2-00253</t>
  </si>
  <si>
    <t>C1--00340</t>
  </si>
  <si>
    <t>P22-2-02251</t>
  </si>
  <si>
    <t>22-2-00475</t>
  </si>
  <si>
    <t>C1--00342</t>
  </si>
  <si>
    <t>P22-2-00844</t>
  </si>
  <si>
    <t>21-2-00414</t>
  </si>
  <si>
    <t>C1--00343</t>
  </si>
  <si>
    <t>P22-2-01308</t>
  </si>
  <si>
    <t>20-2-00679</t>
  </si>
  <si>
    <t>C1--00348</t>
  </si>
  <si>
    <t>P22-2-00114</t>
  </si>
  <si>
    <t>22-2-00025</t>
  </si>
  <si>
    <t>C1--00350</t>
  </si>
  <si>
    <t>P22-2-01367</t>
  </si>
  <si>
    <t>21-2-00679</t>
  </si>
  <si>
    <t>C1--00352</t>
  </si>
  <si>
    <t>P22-2-02321</t>
  </si>
  <si>
    <t>20-2-01175</t>
  </si>
  <si>
    <t>C1--00356</t>
  </si>
  <si>
    <t>P22-2-01365</t>
  </si>
  <si>
    <t>22-2-00285</t>
  </si>
  <si>
    <t>C1--00357</t>
  </si>
  <si>
    <t>P22-2-00506</t>
  </si>
  <si>
    <t>22-2-00110</t>
  </si>
  <si>
    <t>C1--00358</t>
  </si>
  <si>
    <t>P23-2-00125</t>
  </si>
  <si>
    <t>21-2-00056</t>
  </si>
  <si>
    <t>C1--00365</t>
  </si>
  <si>
    <t>P22-2-01709</t>
  </si>
  <si>
    <t>21-2-00851</t>
  </si>
  <si>
    <t>C1--00366</t>
  </si>
  <si>
    <t>P22-2-02912</t>
  </si>
  <si>
    <t>20-2-01471</t>
  </si>
  <si>
    <t>C1--00368</t>
  </si>
  <si>
    <t>P22-2-00396</t>
  </si>
  <si>
    <t>21-2-00188</t>
  </si>
  <si>
    <t>C1--00369</t>
  </si>
  <si>
    <t>P22-2-01645</t>
  </si>
  <si>
    <t>20-2-00831</t>
  </si>
  <si>
    <t>C1--00373</t>
  </si>
  <si>
    <t>P22-2-00411</t>
  </si>
  <si>
    <t>21-2-00191</t>
  </si>
  <si>
    <t>C1--00376</t>
  </si>
  <si>
    <t>P22-2-02704</t>
  </si>
  <si>
    <t>20-2-01360</t>
  </si>
  <si>
    <t>C1--00378</t>
  </si>
  <si>
    <t>P22-2-01649</t>
  </si>
  <si>
    <t>21-2-00829</t>
  </si>
  <si>
    <t>C1--00379</t>
  </si>
  <si>
    <t>P22-2-02161</t>
  </si>
  <si>
    <t>21-2-01068</t>
  </si>
  <si>
    <t>C1--00380</t>
  </si>
  <si>
    <t>P23-2-00605</t>
  </si>
  <si>
    <t>22-2-00123</t>
  </si>
  <si>
    <t>C1--00383</t>
  </si>
  <si>
    <t>P23-2-00200</t>
  </si>
  <si>
    <t>21-2-00091</t>
  </si>
  <si>
    <t>C1--00388</t>
  </si>
  <si>
    <t>P23-2-00137</t>
  </si>
  <si>
    <t>C1--00389</t>
  </si>
  <si>
    <t>P22-2-01154</t>
  </si>
  <si>
    <t>22-2-00250</t>
  </si>
  <si>
    <t>C1--00390</t>
  </si>
  <si>
    <t>P22-2-02947</t>
  </si>
  <si>
    <t>22-2-00616</t>
  </si>
  <si>
    <t>C1--00391</t>
  </si>
  <si>
    <t>P23-2-00420</t>
  </si>
  <si>
    <t>21-2-00187</t>
  </si>
  <si>
    <t>C1--00396</t>
  </si>
  <si>
    <t>P22-2-01754</t>
  </si>
  <si>
    <t>21-2-00876</t>
  </si>
  <si>
    <t>C1--00398</t>
  </si>
  <si>
    <t>P22-2-02363</t>
  </si>
  <si>
    <t>20-2-01196</t>
  </si>
  <si>
    <t>C1--00399</t>
  </si>
  <si>
    <t>P22-2-02021</t>
  </si>
  <si>
    <t>21-2-00997</t>
  </si>
  <si>
    <t>C1--00405</t>
  </si>
  <si>
    <t>P22-2-01672</t>
  </si>
  <si>
    <t>20-2-00844</t>
  </si>
  <si>
    <t>C1--00411</t>
  </si>
  <si>
    <t>P23-2-00339</t>
  </si>
  <si>
    <t>C1--00413</t>
  </si>
  <si>
    <t>P22-2-02837</t>
  </si>
  <si>
    <t>20-2-01421</t>
  </si>
  <si>
    <t>C1--00414</t>
  </si>
  <si>
    <t>P22-2-02338</t>
  </si>
  <si>
    <t>21-2-01165</t>
  </si>
  <si>
    <t>C1--00415</t>
  </si>
  <si>
    <t>P23-2-00251</t>
  </si>
  <si>
    <t>20-2-00112</t>
  </si>
  <si>
    <t>C1--00417</t>
  </si>
  <si>
    <t>P23-2-01412</t>
  </si>
  <si>
    <t>23-2-00273</t>
  </si>
  <si>
    <t>C1--00418</t>
  </si>
  <si>
    <t>P22-2-02399</t>
  </si>
  <si>
    <t>20-2-01224</t>
  </si>
  <si>
    <t>C1--00421</t>
  </si>
  <si>
    <t>P22-2-01895</t>
  </si>
  <si>
    <t>22-2-00409</t>
  </si>
  <si>
    <t>C1--00422</t>
  </si>
  <si>
    <t>P22-2-02392</t>
  </si>
  <si>
    <t>20-2-01213</t>
  </si>
  <si>
    <t>C1--00426</t>
  </si>
  <si>
    <t>P22-2-02957</t>
  </si>
  <si>
    <t>20-2-01493</t>
  </si>
  <si>
    <t>C1--00428</t>
  </si>
  <si>
    <t>P23-2-01815</t>
  </si>
  <si>
    <t>20-2-00862</t>
  </si>
  <si>
    <t>C1--00432</t>
  </si>
  <si>
    <t>P22-2-02605</t>
  </si>
  <si>
    <t>21-2-01311</t>
  </si>
  <si>
    <t>C1--00434</t>
  </si>
  <si>
    <t>P22-2-02405</t>
  </si>
  <si>
    <t>22-2-00505</t>
  </si>
  <si>
    <t>P22-2-02572</t>
  </si>
  <si>
    <t>20-2-01302</t>
  </si>
  <si>
    <t>C1--00438</t>
  </si>
  <si>
    <t>P22-2-02679</t>
  </si>
  <si>
    <t>21-2-01341</t>
  </si>
  <si>
    <t>C1--00439</t>
  </si>
  <si>
    <t>P23-2-00603</t>
  </si>
  <si>
    <t>22-2-00124</t>
  </si>
  <si>
    <t>P23-2-00132</t>
  </si>
  <si>
    <t>22-2-00024</t>
  </si>
  <si>
    <t>C1--00442</t>
  </si>
  <si>
    <t>P22-2-02538</t>
  </si>
  <si>
    <t>21-2-01278</t>
  </si>
  <si>
    <t>C1--00447</t>
  </si>
  <si>
    <t>P23-2-01666</t>
  </si>
  <si>
    <t>22-2-00338</t>
  </si>
  <si>
    <t>C1--00450</t>
  </si>
  <si>
    <t>P23-2-00309</t>
  </si>
  <si>
    <t>21-2-00141</t>
  </si>
  <si>
    <t>C1--00451</t>
  </si>
  <si>
    <t>P22-2-02299</t>
  </si>
  <si>
    <t>21-2-01137</t>
  </si>
  <si>
    <t>C1--00456</t>
  </si>
  <si>
    <t>P23-2-00836</t>
  </si>
  <si>
    <t>21-2-00381</t>
  </si>
  <si>
    <t>P23-2-01405</t>
  </si>
  <si>
    <t>20-2-00686</t>
  </si>
  <si>
    <t>C1--00463</t>
  </si>
  <si>
    <t>P23-2-00170</t>
  </si>
  <si>
    <t>20-2-00079</t>
  </si>
  <si>
    <t>P22-2-02160</t>
  </si>
  <si>
    <t>21-2-01066</t>
  </si>
  <si>
    <t>C1--00467</t>
  </si>
  <si>
    <t>P22-2-00265</t>
  </si>
  <si>
    <t>20-2-00134</t>
  </si>
  <si>
    <t>C1--00468</t>
  </si>
  <si>
    <t>P22-2-01331</t>
  </si>
  <si>
    <t>20-2-00690</t>
  </si>
  <si>
    <t>P22-2-02055</t>
  </si>
  <si>
    <t>22-2-00447</t>
  </si>
  <si>
    <t>P23-2-00519</t>
  </si>
  <si>
    <t>23-2-00100</t>
  </si>
  <si>
    <t>P23-2-00449</t>
  </si>
  <si>
    <t>23-2-00088</t>
  </si>
  <si>
    <t>C1--00001</t>
  </si>
  <si>
    <t>P20-3-00540</t>
  </si>
  <si>
    <t>17-3-00111</t>
  </si>
  <si>
    <t>Multiple catastrophics; layered limits threatened</t>
  </si>
  <si>
    <t>C1--00002</t>
  </si>
  <si>
    <t>P20-3-00436</t>
  </si>
  <si>
    <t>15-3-00169</t>
  </si>
  <si>
    <t>Global settlement talks; layers near exhaustion</t>
  </si>
  <si>
    <t>P20-3-00618</t>
  </si>
  <si>
    <t>20-3-00136</t>
  </si>
  <si>
    <t>P20-3-00751</t>
  </si>
  <si>
    <t>19-3-00161</t>
  </si>
  <si>
    <t>C1--00012</t>
  </si>
  <si>
    <t>P20-3-01673</t>
  </si>
  <si>
    <t>17-3-00346</t>
  </si>
  <si>
    <t>C1--00014</t>
  </si>
  <si>
    <t>P20-3-01676</t>
  </si>
  <si>
    <t>20-3-00372</t>
  </si>
  <si>
    <t>Catastrophic brain injury; guardianship; liens escalating</t>
  </si>
  <si>
    <t>C1--00019</t>
  </si>
  <si>
    <t>P20-3-00853</t>
  </si>
  <si>
    <t>18-3-00144</t>
  </si>
  <si>
    <t>Multi-fatality incident; consolidated litigation filed</t>
  </si>
  <si>
    <t>C1--00025</t>
  </si>
  <si>
    <t>P20-3-01512</t>
  </si>
  <si>
    <t>20-3-00338</t>
  </si>
  <si>
    <t>Mass tort counsel engaged; coordinated discovery ordered</t>
  </si>
  <si>
    <t>C1--00029</t>
  </si>
  <si>
    <t>P20-3-00166</t>
  </si>
  <si>
    <t>20-3-00038</t>
  </si>
  <si>
    <t>P20-3-02522</t>
  </si>
  <si>
    <t>19-3-00484</t>
  </si>
  <si>
    <t>Punitive damages sought; bad facts; trial set</t>
  </si>
  <si>
    <t>C1--00032</t>
  </si>
  <si>
    <t>P20-3-02021</t>
  </si>
  <si>
    <t>20-3-00446</t>
  </si>
  <si>
    <t>C1--00033</t>
  </si>
  <si>
    <t>P20-3-01697</t>
  </si>
  <si>
    <t>19-3-00328</t>
  </si>
  <si>
    <t>P20-3-01579</t>
  </si>
  <si>
    <t>19-3-00308</t>
  </si>
  <si>
    <t>Multiple wrongful deaths; umbrella fully exposed</t>
  </si>
  <si>
    <t>C1--00040</t>
  </si>
  <si>
    <t>P20-3-01319</t>
  </si>
  <si>
    <t>19-3-00265</t>
  </si>
  <si>
    <t>Permanent paralysis; life care plan presented</t>
  </si>
  <si>
    <t>C1--00043</t>
  </si>
  <si>
    <t>P20-3-02187</t>
  </si>
  <si>
    <t>18-3-00362</t>
  </si>
  <si>
    <t>P20-3-00961</t>
  </si>
  <si>
    <t>17-3-00191</t>
  </si>
  <si>
    <t>P20-3-01826</t>
  </si>
  <si>
    <t>20-3-00408</t>
  </si>
  <si>
    <t>Spinal cord injury claim; lifetime damages sought</t>
  </si>
  <si>
    <t>C1--00049</t>
  </si>
  <si>
    <t>P20-3-01413</t>
  </si>
  <si>
    <t>15-3-00497</t>
  </si>
  <si>
    <t>Catastrophic TBI claim; future care demanded</t>
  </si>
  <si>
    <t>C1--00050</t>
  </si>
  <si>
    <t>P20-3-01876</t>
  </si>
  <si>
    <t>15-3-00641</t>
  </si>
  <si>
    <t>Severe burn injuries; long hospitalization</t>
  </si>
  <si>
    <t>P21-3-00613</t>
  </si>
  <si>
    <t>17-3-00123</t>
  </si>
  <si>
    <t>Amputation claim; industrial hazard; punitive alleged</t>
  </si>
  <si>
    <t>C1--00058</t>
  </si>
  <si>
    <t>P21-3-00053</t>
  </si>
  <si>
    <t>15-3-00024</t>
  </si>
  <si>
    <t>Wrongful death; negligent security; prior incidents alleged</t>
  </si>
  <si>
    <t>C1--00059</t>
  </si>
  <si>
    <t>P20-3-01591</t>
  </si>
  <si>
    <t>20-3-00354</t>
  </si>
  <si>
    <t>C1--00061</t>
  </si>
  <si>
    <t>P20-3-01971</t>
  </si>
  <si>
    <t>16-3-00705</t>
  </si>
  <si>
    <t>P20-3-02556</t>
  </si>
  <si>
    <t>17-3-00540</t>
  </si>
  <si>
    <t>Class action alleged; systemic security failures</t>
  </si>
  <si>
    <t>C1--00066</t>
  </si>
  <si>
    <t>P21-3-00363</t>
  </si>
  <si>
    <t>16-3-00124</t>
  </si>
  <si>
    <t>Mass casualty settlement; umbrella and excess exhausted</t>
  </si>
  <si>
    <t>C1--00068</t>
  </si>
  <si>
    <t>P21-3-00870</t>
  </si>
  <si>
    <t>16-3-00315</t>
  </si>
  <si>
    <t>C1--00069</t>
  </si>
  <si>
    <t>P20-3-02368</t>
  </si>
  <si>
    <t>17-3-00500</t>
  </si>
  <si>
    <t>C1--00070</t>
  </si>
  <si>
    <t>P20-3-01246</t>
  </si>
  <si>
    <t>19-3-00255</t>
  </si>
  <si>
    <t>P21-3-00167</t>
  </si>
  <si>
    <t>16-3-00051</t>
  </si>
  <si>
    <t>High-profile incident; media attention; large reserves</t>
  </si>
  <si>
    <t>P20-3-01729</t>
  </si>
  <si>
    <t>16-3-00620</t>
  </si>
  <si>
    <t>Reptile theory; willful disregard alleged</t>
  </si>
  <si>
    <t>P20-3-02474</t>
  </si>
  <si>
    <t>17-3-00516</t>
  </si>
  <si>
    <t>C1--00076</t>
  </si>
  <si>
    <t>P21-3-00607</t>
  </si>
  <si>
    <t>19-3-00128</t>
  </si>
  <si>
    <t>C1--00077</t>
  </si>
  <si>
    <t>P20-3-02553</t>
  </si>
  <si>
    <t>15-3-00891</t>
  </si>
  <si>
    <t>C1--00078</t>
  </si>
  <si>
    <t>P21-3-00835</t>
  </si>
  <si>
    <t>21-3-00135</t>
  </si>
  <si>
    <t>C1--00079</t>
  </si>
  <si>
    <t>P21-3-01385</t>
  </si>
  <si>
    <t>20-3-00303</t>
  </si>
  <si>
    <t>P21-3-00277</t>
  </si>
  <si>
    <t>20-3-00064</t>
  </si>
  <si>
    <t>C1--00084</t>
  </si>
  <si>
    <t>P20-3-02245</t>
  </si>
  <si>
    <t>20-3-00499</t>
  </si>
  <si>
    <t>C1--00085</t>
  </si>
  <si>
    <t>P20-3-01546</t>
  </si>
  <si>
    <t>17-3-00315</t>
  </si>
  <si>
    <t>P20-3-00089</t>
  </si>
  <si>
    <t>20-3-00016</t>
  </si>
  <si>
    <t>C1--00089</t>
  </si>
  <si>
    <t>P20-3-02159</t>
  </si>
  <si>
    <t>18-3-00357</t>
  </si>
  <si>
    <t>Severe disfigurement; punitive allegations; adverse venue</t>
  </si>
  <si>
    <t>P20-3-01921</t>
  </si>
  <si>
    <t>15-3-00656</t>
  </si>
  <si>
    <t>C1--00091</t>
  </si>
  <si>
    <t>P20-3-02923</t>
  </si>
  <si>
    <t>19-3-00555</t>
  </si>
  <si>
    <t>C1--00092</t>
  </si>
  <si>
    <t>P21-3-01755</t>
  </si>
  <si>
    <t>16-3-00622</t>
  </si>
  <si>
    <t>Wrongful death; nightclub shooting; punitive demand</t>
  </si>
  <si>
    <t>C1--00096</t>
  </si>
  <si>
    <t>P21-3-00220</t>
  </si>
  <si>
    <t>16-3-00075</t>
  </si>
  <si>
    <t>C1--00097</t>
  </si>
  <si>
    <t>P21-3-01110</t>
  </si>
  <si>
    <t>18-3-00181</t>
  </si>
  <si>
    <t>C1--00099</t>
  </si>
  <si>
    <t>P21-3-01186</t>
  </si>
  <si>
    <t>15-3-00410</t>
  </si>
  <si>
    <t>Global resolution; nuclear verdict avoided; final settlement</t>
  </si>
  <si>
    <t>C1--00101</t>
  </si>
  <si>
    <t>P21-3-00572</t>
  </si>
  <si>
    <t>20-3-00125</t>
  </si>
  <si>
    <t>P20-3-02471</t>
  </si>
  <si>
    <t>18-3-00412</t>
  </si>
  <si>
    <t>P20-3-02275</t>
  </si>
  <si>
    <t>16-3-00826</t>
  </si>
  <si>
    <t>C1--00105</t>
  </si>
  <si>
    <t>P20-3-02458</t>
  </si>
  <si>
    <t>19-3-00477</t>
  </si>
  <si>
    <t>C1--00108</t>
  </si>
  <si>
    <t>P20-3-02332</t>
  </si>
  <si>
    <t>16-3-00853</t>
  </si>
  <si>
    <t>P21-3-00110</t>
  </si>
  <si>
    <t>18-3-00016</t>
  </si>
  <si>
    <t>C1--00112</t>
  </si>
  <si>
    <t>P21-3-02306</t>
  </si>
  <si>
    <t>P21-3-00819</t>
  </si>
  <si>
    <t>16-3-00302</t>
  </si>
  <si>
    <t>P20-3-02168</t>
  </si>
  <si>
    <t>16-3-00783</t>
  </si>
  <si>
    <t>P20-3-02489</t>
  </si>
  <si>
    <t>16-3-00923</t>
  </si>
  <si>
    <t>C1--00118</t>
  </si>
  <si>
    <t>P20-3-02499</t>
  </si>
  <si>
    <t>17-3-00528</t>
  </si>
  <si>
    <t>P21-3-01182</t>
  </si>
  <si>
    <t>16-3-00435</t>
  </si>
  <si>
    <t>P20-3-00441</t>
  </si>
  <si>
    <t>17-3-00089</t>
  </si>
  <si>
    <t>C1--00125</t>
  </si>
  <si>
    <t>P21-3-00205</t>
  </si>
  <si>
    <t>16-3-00071</t>
  </si>
  <si>
    <t>C1--00126</t>
  </si>
  <si>
    <t>P21-3-02167</t>
  </si>
  <si>
    <t>16-3-00768</t>
  </si>
  <si>
    <t>C1--00129</t>
  </si>
  <si>
    <t>P21-3-00303</t>
  </si>
  <si>
    <t>16-3-00104</t>
  </si>
  <si>
    <t>P21-3-01453</t>
  </si>
  <si>
    <t>19-3-00286</t>
  </si>
  <si>
    <t>C1--00133</t>
  </si>
  <si>
    <t>P21-3-00804</t>
  </si>
  <si>
    <t>17-3-00158</t>
  </si>
  <si>
    <t>C1--00135</t>
  </si>
  <si>
    <t>P21-3-02127</t>
  </si>
  <si>
    <t>16-3-00756</t>
  </si>
  <si>
    <t>C1--00136</t>
  </si>
  <si>
    <t>P21-3-01292</t>
  </si>
  <si>
    <t>16-3-00474</t>
  </si>
  <si>
    <t>C1--00137</t>
  </si>
  <si>
    <t>P21-3-01142</t>
  </si>
  <si>
    <t>18-3-00186</t>
  </si>
  <si>
    <t>Sexual assault claim; negligent security; high damages</t>
  </si>
  <si>
    <t>C1--00143</t>
  </si>
  <si>
    <t>P21-3-02452</t>
  </si>
  <si>
    <t>16-3-00885</t>
  </si>
  <si>
    <t>C1--00144</t>
  </si>
  <si>
    <t>P21-3-01530</t>
  </si>
  <si>
    <t>20-3-00335</t>
  </si>
  <si>
    <t>C1--00146</t>
  </si>
  <si>
    <t>P21-3-01184</t>
  </si>
  <si>
    <t>18-3-00195</t>
  </si>
  <si>
    <t>C1--00150</t>
  </si>
  <si>
    <t>P21-3-00481</t>
  </si>
  <si>
    <t>18-3-00086</t>
  </si>
  <si>
    <t>C1--00151</t>
  </si>
  <si>
    <t>P21-3-01229</t>
  </si>
  <si>
    <t>20-3-00271</t>
  </si>
  <si>
    <t>P21-3-00602</t>
  </si>
  <si>
    <t>16-3-00212</t>
  </si>
  <si>
    <t>C1--00153</t>
  </si>
  <si>
    <t>P21-3-02662</t>
  </si>
  <si>
    <t>17-3-00549</t>
  </si>
  <si>
    <t>C1--00155</t>
  </si>
  <si>
    <t>P21-3-01974</t>
  </si>
  <si>
    <t>20-3-00430</t>
  </si>
  <si>
    <t>P21-3-01515</t>
  </si>
  <si>
    <t>15-3-00527</t>
  </si>
  <si>
    <t>C1--00159</t>
  </si>
  <si>
    <t>P21-3-01251</t>
  </si>
  <si>
    <t>15-3-00431</t>
  </si>
  <si>
    <t>P21-3-02253</t>
  </si>
  <si>
    <t>21-3-00369</t>
  </si>
  <si>
    <t>C1--00162</t>
  </si>
  <si>
    <t>P21-3-00723</t>
  </si>
  <si>
    <t>17-3-00142</t>
  </si>
  <si>
    <t>C1--00163</t>
  </si>
  <si>
    <t>P21-3-02743</t>
  </si>
  <si>
    <t>20-3-00596</t>
  </si>
  <si>
    <t>C1--00165</t>
  </si>
  <si>
    <t>P21-3-00352</t>
  </si>
  <si>
    <t>20-3-00084</t>
  </si>
  <si>
    <t>P21-3-01637</t>
  </si>
  <si>
    <t>20-3-00361</t>
  </si>
  <si>
    <t>P20-3-02262</t>
  </si>
  <si>
    <t>19-3-00441</t>
  </si>
  <si>
    <t>Umbrella exhausted; excess layers exhausted; final settlement</t>
  </si>
  <si>
    <t>C1--00169</t>
  </si>
  <si>
    <t>P21-3-01994</t>
  </si>
  <si>
    <t>17-3-00423</t>
  </si>
  <si>
    <t>P21-3-01083</t>
  </si>
  <si>
    <t>20-3-00239</t>
  </si>
  <si>
    <t>C1--00171</t>
  </si>
  <si>
    <t>P21-3-01662</t>
  </si>
  <si>
    <t>19-3-00320</t>
  </si>
  <si>
    <t>P21-3-02377</t>
  </si>
  <si>
    <t>20-3-00526</t>
  </si>
  <si>
    <t>C1--00175</t>
  </si>
  <si>
    <t>P21-3-00370</t>
  </si>
  <si>
    <t>16-3-00126</t>
  </si>
  <si>
    <t>P21-3-02037</t>
  </si>
  <si>
    <t>20-3-00441</t>
  </si>
  <si>
    <t>P21-3-02014</t>
  </si>
  <si>
    <t>16-3-00711</t>
  </si>
  <si>
    <t>C1--00184</t>
  </si>
  <si>
    <t>P21-3-01707</t>
  </si>
  <si>
    <t>20-3-00377</t>
  </si>
  <si>
    <t>C1--00186</t>
  </si>
  <si>
    <t>P21-3-02528</t>
  </si>
  <si>
    <t>17-3-00522</t>
  </si>
  <si>
    <t>P21-3-01517</t>
  </si>
  <si>
    <t>18-3-00257</t>
  </si>
  <si>
    <t>P21-3-00923</t>
  </si>
  <si>
    <t>19-3-00191</t>
  </si>
  <si>
    <t>P22-3-00719</t>
  </si>
  <si>
    <t>18-3-00121</t>
  </si>
  <si>
    <t>C1--00194</t>
  </si>
  <si>
    <t>P22-3-00170</t>
  </si>
  <si>
    <t>21-3-00037</t>
  </si>
  <si>
    <t>C1--00195</t>
  </si>
  <si>
    <t>P21-3-02536</t>
  </si>
  <si>
    <t>15-3-00862</t>
  </si>
  <si>
    <t>C1--00197</t>
  </si>
  <si>
    <t>P21-3-01113</t>
  </si>
  <si>
    <t>17-3-00218</t>
  </si>
  <si>
    <t>C1--00199</t>
  </si>
  <si>
    <t>P21-3-02040</t>
  </si>
  <si>
    <t>15-3-00685</t>
  </si>
  <si>
    <t>C1--00201</t>
  </si>
  <si>
    <t>P22-3-00321</t>
  </si>
  <si>
    <t>22-3-00065</t>
  </si>
  <si>
    <t>C1--00202</t>
  </si>
  <si>
    <t>P22-3-00825</t>
  </si>
  <si>
    <t>21-3-00130</t>
  </si>
  <si>
    <t>C1--00204</t>
  </si>
  <si>
    <t>P21-3-00689</t>
  </si>
  <si>
    <t>18-3-00117</t>
  </si>
  <si>
    <t>P21-3-01178</t>
  </si>
  <si>
    <t>15-3-00411</t>
  </si>
  <si>
    <t>C1--00206</t>
  </si>
  <si>
    <t>P21-3-02250</t>
  </si>
  <si>
    <t>20-3-00491</t>
  </si>
  <si>
    <t>P22-3-00243</t>
  </si>
  <si>
    <t>19-3-00046</t>
  </si>
  <si>
    <t>P21-3-02892</t>
  </si>
  <si>
    <t>21-3-00484</t>
  </si>
  <si>
    <t>C1--00211</t>
  </si>
  <si>
    <t>P22-3-00017</t>
  </si>
  <si>
    <t>22-3-00005</t>
  </si>
  <si>
    <t>P21-3-02088</t>
  </si>
  <si>
    <t>16-3-00750</t>
  </si>
  <si>
    <t>C1--00213</t>
  </si>
  <si>
    <t>P21-3-00275</t>
  </si>
  <si>
    <t>20-3-00060</t>
  </si>
  <si>
    <t>C1--00214</t>
  </si>
  <si>
    <t>P21-3-00253</t>
  </si>
  <si>
    <t>20-3-00056</t>
  </si>
  <si>
    <t>P21-3-00913</t>
  </si>
  <si>
    <t>18-3-00153</t>
  </si>
  <si>
    <t>C1--00217</t>
  </si>
  <si>
    <t>P21-3-02100</t>
  </si>
  <si>
    <t>18-3-00347</t>
  </si>
  <si>
    <t>C1--00219</t>
  </si>
  <si>
    <t>P21-3-02903</t>
  </si>
  <si>
    <t>15-3-00999</t>
  </si>
  <si>
    <t>P21-3-02442</t>
  </si>
  <si>
    <t>15-3-00833</t>
  </si>
  <si>
    <t>C1--00224</t>
  </si>
  <si>
    <t>P21-3-02947</t>
  </si>
  <si>
    <t>16-3-01074</t>
  </si>
  <si>
    <t>C1--00225</t>
  </si>
  <si>
    <t>P22-3-00174</t>
  </si>
  <si>
    <t>15-3-00064</t>
  </si>
  <si>
    <t>C1--00227</t>
  </si>
  <si>
    <t>P21-3-02752</t>
  </si>
  <si>
    <t>21-3-00461</t>
  </si>
  <si>
    <t>P21-3-01199</t>
  </si>
  <si>
    <t>21-3-00191</t>
  </si>
  <si>
    <t>P22-3-01444</t>
  </si>
  <si>
    <t>20-3-00307</t>
  </si>
  <si>
    <t>P21-3-02721</t>
  </si>
  <si>
    <t>20-3-00591</t>
  </si>
  <si>
    <t>P22-3-00232</t>
  </si>
  <si>
    <t>16-3-00078</t>
  </si>
  <si>
    <t>P22-3-00734</t>
  </si>
  <si>
    <t>20-3-00153</t>
  </si>
  <si>
    <t>P21-3-02649</t>
  </si>
  <si>
    <t>15-3-00907</t>
  </si>
  <si>
    <t>P21-3-00626</t>
  </si>
  <si>
    <t>16-3-00220</t>
  </si>
  <si>
    <t>C1--00242</t>
  </si>
  <si>
    <t>P22-3-00064</t>
  </si>
  <si>
    <t>22-3-00012</t>
  </si>
  <si>
    <t>C1--00244</t>
  </si>
  <si>
    <t>P22-3-01581</t>
  </si>
  <si>
    <t>16-3-00553</t>
  </si>
  <si>
    <t>C1--00245</t>
  </si>
  <si>
    <t>P21-3-01923</t>
  </si>
  <si>
    <t>18-3-00320</t>
  </si>
  <si>
    <t>C1--00250</t>
  </si>
  <si>
    <t>P21-3-02417</t>
  </si>
  <si>
    <t>15-3-00825</t>
  </si>
  <si>
    <t>C1--00251</t>
  </si>
  <si>
    <t>P22-3-00414</t>
  </si>
  <si>
    <t>19-3-00085</t>
  </si>
  <si>
    <t>P21-3-02530</t>
  </si>
  <si>
    <t>20-3-00555</t>
  </si>
  <si>
    <t>P22-3-01036</t>
  </si>
  <si>
    <t>19-3-00203</t>
  </si>
  <si>
    <t>P21-3-02524</t>
  </si>
  <si>
    <t>15-3-00855</t>
  </si>
  <si>
    <t>C1--00261</t>
  </si>
  <si>
    <t>P21-3-02459</t>
  </si>
  <si>
    <t>16-3-00888</t>
  </si>
  <si>
    <t>C1--00264</t>
  </si>
  <si>
    <t>P22-3-01459</t>
  </si>
  <si>
    <t>15-3-00495</t>
  </si>
  <si>
    <t>P22-3-00452</t>
  </si>
  <si>
    <t>22-3-00085</t>
  </si>
  <si>
    <t>C1--00273</t>
  </si>
  <si>
    <t>P21-3-02031</t>
  </si>
  <si>
    <t>16-3-00716</t>
  </si>
  <si>
    <t>P21-3-02541</t>
  </si>
  <si>
    <t>16-3-00926</t>
  </si>
  <si>
    <t>C1--00278</t>
  </si>
  <si>
    <t>P22-3-00585</t>
  </si>
  <si>
    <t>22-3-00108</t>
  </si>
  <si>
    <t>P20-3-00326</t>
  </si>
  <si>
    <t>18-3-00056</t>
  </si>
  <si>
    <t>P21-3-02216</t>
  </si>
  <si>
    <t>20-3-00486</t>
  </si>
  <si>
    <t>C1--00282</t>
  </si>
  <si>
    <t>P21-3-02301</t>
  </si>
  <si>
    <t>20-3-00507</t>
  </si>
  <si>
    <t>C1--00283</t>
  </si>
  <si>
    <t>P22-3-02481</t>
  </si>
  <si>
    <t>22-3-00459</t>
  </si>
  <si>
    <t>P22-3-00079</t>
  </si>
  <si>
    <t>20-3-00014</t>
  </si>
  <si>
    <t>C1--00285</t>
  </si>
  <si>
    <t>P22-3-00490</t>
  </si>
  <si>
    <t>16-3-00168</t>
  </si>
  <si>
    <t>C1--00286</t>
  </si>
  <si>
    <t>P21-3-01928</t>
  </si>
  <si>
    <t>21-3-00310</t>
  </si>
  <si>
    <t>C1--00287</t>
  </si>
  <si>
    <t>P21-3-02174</t>
  </si>
  <si>
    <t>20-3-00479</t>
  </si>
  <si>
    <t>C1--00289</t>
  </si>
  <si>
    <t>P22-3-01851</t>
  </si>
  <si>
    <t>16-3-00638</t>
  </si>
  <si>
    <t>C1--00291</t>
  </si>
  <si>
    <t>P21-3-02291</t>
  </si>
  <si>
    <t>16-3-00823</t>
  </si>
  <si>
    <t>P22-3-01749</t>
  </si>
  <si>
    <t>20-3-00376</t>
  </si>
  <si>
    <t>C1--00298</t>
  </si>
  <si>
    <t>P22-3-01495</t>
  </si>
  <si>
    <t>22-3-00274</t>
  </si>
  <si>
    <t>P22-3-00879</t>
  </si>
  <si>
    <t>15-3-00306</t>
  </si>
  <si>
    <t>C1--00300</t>
  </si>
  <si>
    <t>P22-3-00684</t>
  </si>
  <si>
    <t>17-3-00132</t>
  </si>
  <si>
    <t>C1--00302</t>
  </si>
  <si>
    <t>P22-3-01254</t>
  </si>
  <si>
    <t>18-3-00202</t>
  </si>
  <si>
    <t>P22-3-02605</t>
  </si>
  <si>
    <t>C1--00305</t>
  </si>
  <si>
    <t>P21-3-02226</t>
  </si>
  <si>
    <t>16-3-00800</t>
  </si>
  <si>
    <t>P22-3-00128</t>
  </si>
  <si>
    <t>21-3-00030</t>
  </si>
  <si>
    <t>C1--00309</t>
  </si>
  <si>
    <t>P22-3-02574</t>
  </si>
  <si>
    <t>18-3-00405</t>
  </si>
  <si>
    <t>P22-3-00618</t>
  </si>
  <si>
    <t>19-3-00129</t>
  </si>
  <si>
    <t>P22-3-02819</t>
  </si>
  <si>
    <t>22-3-00516</t>
  </si>
  <si>
    <t>P22-3-03053</t>
  </si>
  <si>
    <t>17-3-00614</t>
  </si>
  <si>
    <t>P22-3-01164</t>
  </si>
  <si>
    <t>15-3-00392</t>
  </si>
  <si>
    <t>P22-3-00633</t>
  </si>
  <si>
    <t>21-3-00102</t>
  </si>
  <si>
    <t>C1--00321</t>
  </si>
  <si>
    <t>P21-3-01494</t>
  </si>
  <si>
    <t>20-3-00327</t>
  </si>
  <si>
    <t>C1--00322</t>
  </si>
  <si>
    <t>P22-3-00339</t>
  </si>
  <si>
    <t>15-3-00130</t>
  </si>
  <si>
    <t>C1--00327</t>
  </si>
  <si>
    <t>P22-3-02056</t>
  </si>
  <si>
    <t>18-3-00336</t>
  </si>
  <si>
    <t>C1--00330</t>
  </si>
  <si>
    <t>P23-3-00059</t>
  </si>
  <si>
    <t>20-3-00012</t>
  </si>
  <si>
    <t>P21-3-02922</t>
  </si>
  <si>
    <t>19-3-00545</t>
  </si>
  <si>
    <t>C1--00335</t>
  </si>
  <si>
    <t>P22-3-03029</t>
  </si>
  <si>
    <t>18-3-00495</t>
  </si>
  <si>
    <t>C1--00336</t>
  </si>
  <si>
    <t>P23-3-00046</t>
  </si>
  <si>
    <t>23-3-00015</t>
  </si>
  <si>
    <t>P22-3-01409</t>
  </si>
  <si>
    <t>19-3-00271</t>
  </si>
  <si>
    <t>C1--00341</t>
  </si>
  <si>
    <t>P22-3-02272</t>
  </si>
  <si>
    <t>21-3-00356</t>
  </si>
  <si>
    <t>C1--00347</t>
  </si>
  <si>
    <t>P22-3-02556</t>
  </si>
  <si>
    <t>16-3-00893</t>
  </si>
  <si>
    <t>C1--00349</t>
  </si>
  <si>
    <t>P22-3-01059</t>
  </si>
  <si>
    <t>22-3-00191</t>
  </si>
  <si>
    <t>P22-3-02083</t>
  </si>
  <si>
    <t>20-3-00442</t>
  </si>
  <si>
    <t>C1--00355</t>
  </si>
  <si>
    <t>P22-3-00111</t>
  </si>
  <si>
    <t>21-3-00028</t>
  </si>
  <si>
    <t>C1--00362</t>
  </si>
  <si>
    <t>P22-3-02136</t>
  </si>
  <si>
    <t>C1--00363</t>
  </si>
  <si>
    <t>P22-3-02310</t>
  </si>
  <si>
    <t>18-3-00370</t>
  </si>
  <si>
    <t>C1--00364</t>
  </si>
  <si>
    <t>P22-3-01602</t>
  </si>
  <si>
    <t>16-3-00559</t>
  </si>
  <si>
    <t>P22-3-00527</t>
  </si>
  <si>
    <t>16-3-00178</t>
  </si>
  <si>
    <t>P22-3-01681</t>
  </si>
  <si>
    <t>22-3-00296</t>
  </si>
  <si>
    <t>C1--00367</t>
  </si>
  <si>
    <t>P22-3-00891</t>
  </si>
  <si>
    <t>22-3-00160</t>
  </si>
  <si>
    <t>P22-3-01426</t>
  </si>
  <si>
    <t>C1--00370</t>
  </si>
  <si>
    <t>P22-3-01742</t>
  </si>
  <si>
    <t>15-3-00586</t>
  </si>
  <si>
    <t>C1--00371</t>
  </si>
  <si>
    <t>P22-3-02270</t>
  </si>
  <si>
    <t>19-3-00427</t>
  </si>
  <si>
    <t>C1--00372</t>
  </si>
  <si>
    <t>P22-3-01692</t>
  </si>
  <si>
    <t>15-3-00564</t>
  </si>
  <si>
    <t>P22-3-02883</t>
  </si>
  <si>
    <t>22-3-00533</t>
  </si>
  <si>
    <t>C1--00374</t>
  </si>
  <si>
    <t>P22-3-02947</t>
  </si>
  <si>
    <t>20-3-00623</t>
  </si>
  <si>
    <t>C1--00377</t>
  </si>
  <si>
    <t>P22-3-03023</t>
  </si>
  <si>
    <t>22-3-00558</t>
  </si>
  <si>
    <t>P22-3-02200</t>
  </si>
  <si>
    <t>16-3-00764</t>
  </si>
  <si>
    <t>C1--00381</t>
  </si>
  <si>
    <t>P22-3-01434</t>
  </si>
  <si>
    <t>22-3-00263</t>
  </si>
  <si>
    <t>C1--00385</t>
  </si>
  <si>
    <t>P22-3-01346</t>
  </si>
  <si>
    <t>20-3-00284</t>
  </si>
  <si>
    <t>P23-3-00417</t>
  </si>
  <si>
    <t>23-3-00116</t>
  </si>
  <si>
    <t>P23-3-00143</t>
  </si>
  <si>
    <t>22-3-00023</t>
  </si>
  <si>
    <t>P23-3-00120</t>
  </si>
  <si>
    <t>22-3-00019</t>
  </si>
  <si>
    <t>C1--00393</t>
  </si>
  <si>
    <t>P22-3-02595</t>
  </si>
  <si>
    <t>C1--00394</t>
  </si>
  <si>
    <t>P22-3-02865</t>
  </si>
  <si>
    <t>16-3-01000</t>
  </si>
  <si>
    <t>C1--00395</t>
  </si>
  <si>
    <t>P22-3-01046</t>
  </si>
  <si>
    <t>20-3-00220</t>
  </si>
  <si>
    <t>P22-3-00730</t>
  </si>
  <si>
    <t>22-3-00134</t>
  </si>
  <si>
    <t>C1--00402</t>
  </si>
  <si>
    <t>P22-3-02718</t>
  </si>
  <si>
    <t>15-3-00894</t>
  </si>
  <si>
    <t>P23-3-00828</t>
  </si>
  <si>
    <t>22-3-00137</t>
  </si>
  <si>
    <t>C1--00406</t>
  </si>
  <si>
    <t>P23-3-00250</t>
  </si>
  <si>
    <t>23-3-00073</t>
  </si>
  <si>
    <t>C1--00409</t>
  </si>
  <si>
    <t>P23-3-00173</t>
  </si>
  <si>
    <t>21-3-00033</t>
  </si>
  <si>
    <t>C1--00410</t>
  </si>
  <si>
    <t>P22-3-02189</t>
  </si>
  <si>
    <t>22-3-00387</t>
  </si>
  <si>
    <t>P22-3-02034</t>
  </si>
  <si>
    <t>22-3-00362</t>
  </si>
  <si>
    <t>P23-3-00643</t>
  </si>
  <si>
    <t>21-3-00092</t>
  </si>
  <si>
    <t>P22-3-02153</t>
  </si>
  <si>
    <t>20-3-00458</t>
  </si>
  <si>
    <t>P23-3-00976</t>
  </si>
  <si>
    <t>23-3-00247</t>
  </si>
  <si>
    <t>P22-3-01467</t>
  </si>
  <si>
    <t>22-3-00267</t>
  </si>
  <si>
    <t>C1--00430</t>
  </si>
  <si>
    <t>P21-3-00453</t>
  </si>
  <si>
    <t>19-3-00088</t>
  </si>
  <si>
    <t>P22-3-03039</t>
  </si>
  <si>
    <t>17-3-00611</t>
  </si>
  <si>
    <t>C1--00433</t>
  </si>
  <si>
    <t>P23-3-01480</t>
  </si>
  <si>
    <t>21-3-00210</t>
  </si>
  <si>
    <t>P23-3-00402</t>
  </si>
  <si>
    <t>23-3-00112</t>
  </si>
  <si>
    <t>P22-3-00058</t>
  </si>
  <si>
    <t>15-3-00025</t>
  </si>
  <si>
    <t>P22-3-02259</t>
  </si>
  <si>
    <t>16-3-00787</t>
  </si>
  <si>
    <t>C1--00443</t>
  </si>
  <si>
    <t>P23-3-01049</t>
  </si>
  <si>
    <t>20-3-00192</t>
  </si>
  <si>
    <t>C1--00446</t>
  </si>
  <si>
    <t>P23-3-00632</t>
  </si>
  <si>
    <t>20-3-00122</t>
  </si>
  <si>
    <t>C1--00449</t>
  </si>
  <si>
    <t>P23-3-00277</t>
  </si>
  <si>
    <t>P23-3-01733</t>
  </si>
  <si>
    <t>P22-3-02985</t>
  </si>
  <si>
    <t>17-3-00593</t>
  </si>
  <si>
    <t>P23-3-01936</t>
  </si>
  <si>
    <t>20-3-00381</t>
  </si>
  <si>
    <t>P23-3-01389</t>
  </si>
  <si>
    <t>P23-3-00743</t>
  </si>
  <si>
    <t>22-3-00118</t>
  </si>
  <si>
    <t>P23-3-00569</t>
  </si>
  <si>
    <t>20-3-00106</t>
  </si>
  <si>
    <t>C1--00459</t>
  </si>
  <si>
    <t>P23-3-01545</t>
  </si>
  <si>
    <t>19-3-00272</t>
  </si>
  <si>
    <t>P22-3-02638</t>
  </si>
  <si>
    <t>15-3-00873</t>
  </si>
  <si>
    <t>P22-3-02748</t>
  </si>
  <si>
    <t>22-3-00502</t>
  </si>
  <si>
    <t>C1--00462</t>
  </si>
  <si>
    <t>P23-3-00465</t>
  </si>
  <si>
    <t>15-3-00150</t>
  </si>
  <si>
    <t>P23-3-01071</t>
  </si>
  <si>
    <t>18-3-00159</t>
  </si>
  <si>
    <t>P20-3-02619</t>
  </si>
  <si>
    <t>17-3-00550</t>
  </si>
  <si>
    <t>P23-3-00483</t>
  </si>
  <si>
    <t>15-3-00157</t>
  </si>
  <si>
    <t>C1--00472</t>
  </si>
  <si>
    <t>P22-3-01438</t>
  </si>
  <si>
    <t>20-3-00306</t>
  </si>
  <si>
    <t>C1--00475</t>
  </si>
  <si>
    <t>P22-3-03040</t>
  </si>
  <si>
    <t>16-3-01072</t>
  </si>
  <si>
    <t>C1--00476</t>
  </si>
  <si>
    <t>P23-3-02018</t>
  </si>
  <si>
    <t>21-3-00290</t>
  </si>
  <si>
    <t>C1--00477</t>
  </si>
  <si>
    <t>P22-3-02858</t>
  </si>
  <si>
    <t>20-3-00602</t>
  </si>
  <si>
    <t>Retail / Main Street Commercial Umbrella</t>
  </si>
  <si>
    <t>Middle Market Umbrella</t>
  </si>
  <si>
    <t>Wholesale / E&amp;S Umbrella</t>
  </si>
  <si>
    <t>Proj. 4/1/24- 3/31/25</t>
  </si>
  <si>
    <t>Data as of: 11/30/2023</t>
  </si>
  <si>
    <t>$10,000,000 xs $1,000,000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</si>
</sst>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9" fontId="0" fillId="0" borderId="0" xfId="1" applyFont="1"/>
    <xf numFmtId="43" fontId="0" fillId="0" borderId="0" xfId="2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Q22" sqref="Q22"/>
    </sheetView>
  </sheetViews>
  <sheetFormatPr defaultRowHeight="15" x14ac:dyDescent="0.25"/>
  <cols>
    <col min="1" max="1" width="37.28515625" customWidth="1"/>
    <col min="5" max="5" width="9.7109375" bestFit="1" customWidth="1"/>
  </cols>
  <sheetData>
    <row r="1" spans="1:5" x14ac:dyDescent="0.25">
      <c r="A1" t="str">
        <f>"Broker Fung is pleased to present the reinsurance underwriting information for the Insurer Atlanta Umbrella XOL reinsurance program effective "&amp;TEXT(C7,"mm/dd/yyyy")</f>
        <v>Broker Fung is pleased to present the reinsurance underwriting information for the Insurer Atlanta Umbrella XOL reinsurance program effective 04/01/2024</v>
      </c>
    </row>
    <row r="2" spans="1:5" x14ac:dyDescent="0.25">
      <c r="A2" t="s">
        <v>0</v>
      </c>
    </row>
    <row r="3" spans="1:5" x14ac:dyDescent="0.25">
      <c r="A3" s="1"/>
    </row>
    <row r="5" spans="1:5" x14ac:dyDescent="0.25">
      <c r="A5" t="s">
        <v>1</v>
      </c>
    </row>
    <row r="6" spans="1:5" x14ac:dyDescent="0.25">
      <c r="A6" t="s">
        <v>90</v>
      </c>
      <c r="B6" t="str">
        <f>"Risk attaching, new &amp; renewal policies on or after "&amp;TEXT(C7,"Mmmm dd, yyyy")</f>
        <v>Risk attaching, new &amp; renewal policies on or after April 01, 2024</v>
      </c>
    </row>
    <row r="7" spans="1:5" x14ac:dyDescent="0.25">
      <c r="A7" t="s">
        <v>89</v>
      </c>
      <c r="B7" t="s">
        <v>87</v>
      </c>
      <c r="C7" s="2">
        <v>45383</v>
      </c>
      <c r="D7" t="s">
        <v>88</v>
      </c>
      <c r="E7" s="2">
        <v>45747</v>
      </c>
    </row>
    <row r="8" spans="1:5" x14ac:dyDescent="0.25">
      <c r="A8" t="str">
        <f>"Estimated " &amp;TEXT(C7,"yyyy")&amp; " Subject Written Premium"</f>
        <v>Estimated 2024 Subject Written Premium</v>
      </c>
    </row>
    <row r="9" spans="1:5" x14ac:dyDescent="0.25">
      <c r="A9" t="s">
        <v>2</v>
      </c>
      <c r="B9" t="s">
        <v>2656</v>
      </c>
    </row>
    <row r="10" spans="1:5" x14ac:dyDescent="0.25">
      <c r="A10" t="s">
        <v>100</v>
      </c>
      <c r="B10" t="s">
        <v>101</v>
      </c>
    </row>
    <row r="11" spans="1:5" x14ac:dyDescent="0.25">
      <c r="A11" t="s">
        <v>102</v>
      </c>
      <c r="B11" t="s">
        <v>3</v>
      </c>
    </row>
    <row r="13" spans="1:5" x14ac:dyDescent="0.25">
      <c r="A13" t="s">
        <v>103</v>
      </c>
    </row>
    <row r="14" spans="1:5" x14ac:dyDescent="0.25">
      <c r="A14" t="s">
        <v>104</v>
      </c>
      <c r="B14" t="s">
        <v>2651</v>
      </c>
    </row>
    <row r="15" spans="1:5" x14ac:dyDescent="0.25">
      <c r="A15" t="s">
        <v>105</v>
      </c>
      <c r="B15" t="s">
        <v>2652</v>
      </c>
    </row>
    <row r="16" spans="1:5" x14ac:dyDescent="0.25">
      <c r="A16" t="s">
        <v>106</v>
      </c>
      <c r="B16" t="s">
        <v>2653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3C6D-1F8F-4FBD-99CD-06DA7666BDEA}">
  <dimension ref="A1:L225"/>
  <sheetViews>
    <sheetView workbookViewId="0">
      <selection activeCell="A16" sqref="A16"/>
    </sheetView>
  </sheetViews>
  <sheetFormatPr defaultRowHeight="15" x14ac:dyDescent="0.25"/>
  <cols>
    <col min="1" max="1" width="52.140625" bestFit="1" customWidth="1"/>
    <col min="2" max="5" width="14.28515625" bestFit="1" customWidth="1"/>
    <col min="6" max="6" width="19.42578125" bestFit="1" customWidth="1"/>
    <col min="7" max="10" width="15.28515625" bestFit="1" customWidth="1"/>
    <col min="11" max="11" width="19.42578125" bestFit="1" customWidth="1"/>
  </cols>
  <sheetData>
    <row r="1" spans="1:12" x14ac:dyDescent="0.25">
      <c r="A1" t="s">
        <v>4</v>
      </c>
    </row>
    <row r="2" spans="1:12" x14ac:dyDescent="0.25">
      <c r="A2" t="s">
        <v>5</v>
      </c>
    </row>
    <row r="3" spans="1:12" x14ac:dyDescent="0.25">
      <c r="A3" t="str">
        <f>"Effective: "&amp;TEXT(Intro!C7,"mm/dd/yyyy")</f>
        <v>Effective: 04/01/2024</v>
      </c>
    </row>
    <row r="4" spans="1:12" x14ac:dyDescent="0.25">
      <c r="A4" t="s">
        <v>2655</v>
      </c>
    </row>
    <row r="6" spans="1:12" x14ac:dyDescent="0.25">
      <c r="A6" t="s">
        <v>6</v>
      </c>
    </row>
    <row r="7" spans="1:12" x14ac:dyDescent="0.25">
      <c r="A7" t="s">
        <v>7</v>
      </c>
      <c r="B7">
        <v>2015</v>
      </c>
      <c r="C7">
        <f t="shared" ref="C7:J7" si="0">B7+1</f>
        <v>2016</v>
      </c>
      <c r="D7">
        <f t="shared" si="0"/>
        <v>2017</v>
      </c>
      <c r="E7">
        <f t="shared" si="0"/>
        <v>2018</v>
      </c>
      <c r="F7">
        <f t="shared" si="0"/>
        <v>2019</v>
      </c>
      <c r="G7">
        <f t="shared" si="0"/>
        <v>2020</v>
      </c>
      <c r="H7">
        <f t="shared" si="0"/>
        <v>2021</v>
      </c>
      <c r="I7">
        <f t="shared" si="0"/>
        <v>2022</v>
      </c>
      <c r="J7">
        <f t="shared" si="0"/>
        <v>2023</v>
      </c>
      <c r="K7" t="s">
        <v>2654</v>
      </c>
    </row>
    <row r="8" spans="1:12" x14ac:dyDescent="0.25">
      <c r="A8" t="s">
        <v>8</v>
      </c>
      <c r="B8" s="4">
        <f t="shared" ref="B8:F23" si="1">SUM(B64,B174)</f>
        <v>202670.72</v>
      </c>
      <c r="C8" s="4">
        <f t="shared" si="1"/>
        <v>197484.4</v>
      </c>
      <c r="D8" s="4">
        <f t="shared" si="1"/>
        <v>278329.95</v>
      </c>
      <c r="E8" s="4">
        <f t="shared" si="1"/>
        <v>305492.64</v>
      </c>
      <c r="F8" s="4">
        <f t="shared" si="1"/>
        <v>272018.88</v>
      </c>
      <c r="G8" s="4">
        <f t="shared" ref="G8:H8" si="2">SUM(G64,G174,B119)</f>
        <v>306806.3</v>
      </c>
      <c r="H8" s="4">
        <f t="shared" si="2"/>
        <v>297071.46000000002</v>
      </c>
      <c r="I8" s="4">
        <f>SUM(I64,I174,D119)</f>
        <v>234937.61000000002</v>
      </c>
      <c r="J8" s="4">
        <f t="shared" ref="J8:K8" si="3">SUM(J64,J174,E119)</f>
        <v>208000.97999999998</v>
      </c>
      <c r="K8" s="4">
        <f t="shared" si="3"/>
        <v>255652.17391304328</v>
      </c>
      <c r="L8" s="4"/>
    </row>
    <row r="9" spans="1:12" x14ac:dyDescent="0.25">
      <c r="A9" t="s">
        <v>9</v>
      </c>
      <c r="B9" s="4">
        <f t="shared" si="1"/>
        <v>448096.76</v>
      </c>
      <c r="C9" s="4">
        <f t="shared" si="1"/>
        <v>641171.81999999995</v>
      </c>
      <c r="D9" s="4">
        <f t="shared" si="1"/>
        <v>841090.83000000007</v>
      </c>
      <c r="E9" s="4">
        <f t="shared" si="1"/>
        <v>824854.35</v>
      </c>
      <c r="F9" s="4">
        <f t="shared" si="1"/>
        <v>916249.98</v>
      </c>
      <c r="G9" s="4">
        <f t="shared" ref="G9:K9" si="4">SUM(G65,G175,B120)</f>
        <v>1134607.49</v>
      </c>
      <c r="H9" s="4">
        <f t="shared" si="4"/>
        <v>1376365.9500000002</v>
      </c>
      <c r="I9" s="4">
        <f t="shared" si="4"/>
        <v>1506360.94</v>
      </c>
      <c r="J9" s="4">
        <f t="shared" si="4"/>
        <v>1527112.46</v>
      </c>
      <c r="K9" s="4">
        <f t="shared" si="4"/>
        <v>1739478.260869565</v>
      </c>
      <c r="L9" s="4"/>
    </row>
    <row r="10" spans="1:12" x14ac:dyDescent="0.25">
      <c r="A10" t="s">
        <v>10</v>
      </c>
      <c r="B10" s="4">
        <f t="shared" si="1"/>
        <v>181776.68</v>
      </c>
      <c r="C10" s="4">
        <f t="shared" si="1"/>
        <v>362160.89</v>
      </c>
      <c r="D10" s="4">
        <f t="shared" si="1"/>
        <v>476830.45</v>
      </c>
      <c r="E10" s="4">
        <f t="shared" si="1"/>
        <v>443318.14999999997</v>
      </c>
      <c r="F10" s="4">
        <f t="shared" si="1"/>
        <v>483748.05000000005</v>
      </c>
      <c r="G10" s="4">
        <f t="shared" ref="G10:K10" si="5">SUM(G66,G176,B121)</f>
        <v>805158.53</v>
      </c>
      <c r="H10" s="4">
        <f t="shared" si="5"/>
        <v>957309.59000000008</v>
      </c>
      <c r="I10" s="4">
        <f t="shared" si="5"/>
        <v>955929.1399999999</v>
      </c>
      <c r="J10" s="4">
        <f t="shared" si="5"/>
        <v>1051410.6800000002</v>
      </c>
      <c r="K10" s="4">
        <f t="shared" si="5"/>
        <v>1154086.956521739</v>
      </c>
      <c r="L10" s="4"/>
    </row>
    <row r="11" spans="1:12" x14ac:dyDescent="0.25">
      <c r="A11" t="s">
        <v>11</v>
      </c>
      <c r="B11" s="4">
        <f t="shared" si="1"/>
        <v>791136.72</v>
      </c>
      <c r="C11" s="4">
        <f t="shared" si="1"/>
        <v>1077785.04</v>
      </c>
      <c r="D11" s="4">
        <f t="shared" si="1"/>
        <v>1383698.4900000002</v>
      </c>
      <c r="E11" s="4">
        <f t="shared" si="1"/>
        <v>1576676.3199999998</v>
      </c>
      <c r="F11" s="4">
        <f t="shared" si="1"/>
        <v>1829193.1099999999</v>
      </c>
      <c r="G11" s="4">
        <f t="shared" ref="G11:K11" si="6">SUM(G67,G177,B122)</f>
        <v>2585739.52</v>
      </c>
      <c r="H11" s="4">
        <f t="shared" si="6"/>
        <v>3199389.39</v>
      </c>
      <c r="I11" s="4">
        <f t="shared" si="6"/>
        <v>3484619.8800000004</v>
      </c>
      <c r="J11" s="4">
        <f t="shared" si="6"/>
        <v>3410223.91</v>
      </c>
      <c r="K11" s="4">
        <f t="shared" si="6"/>
        <v>3824347.82608695</v>
      </c>
      <c r="L11" s="4"/>
    </row>
    <row r="12" spans="1:12" x14ac:dyDescent="0.25">
      <c r="A12" t="s">
        <v>12</v>
      </c>
      <c r="B12" s="4">
        <f t="shared" si="1"/>
        <v>6303495.75</v>
      </c>
      <c r="C12" s="4">
        <f t="shared" si="1"/>
        <v>7965531.5</v>
      </c>
      <c r="D12" s="4">
        <f t="shared" si="1"/>
        <v>10416891.789999999</v>
      </c>
      <c r="E12" s="4">
        <f t="shared" si="1"/>
        <v>11125428.629999999</v>
      </c>
      <c r="F12" s="4">
        <f t="shared" si="1"/>
        <v>12108453.52</v>
      </c>
      <c r="G12" s="4">
        <f t="shared" ref="G12:K12" si="7">SUM(G68,G178,B123)</f>
        <v>17154394.050000001</v>
      </c>
      <c r="H12" s="4">
        <f t="shared" si="7"/>
        <v>19964094.98</v>
      </c>
      <c r="I12" s="4">
        <f t="shared" si="7"/>
        <v>21768814.469999999</v>
      </c>
      <c r="J12" s="4">
        <f t="shared" si="7"/>
        <v>22450602.77</v>
      </c>
      <c r="K12" s="4">
        <f t="shared" si="7"/>
        <v>24831652.173913039</v>
      </c>
      <c r="L12" s="4"/>
    </row>
    <row r="13" spans="1:12" x14ac:dyDescent="0.25">
      <c r="A13" t="s">
        <v>13</v>
      </c>
      <c r="B13" s="4">
        <f t="shared" si="1"/>
        <v>826818.85000000009</v>
      </c>
      <c r="C13" s="4">
        <f t="shared" si="1"/>
        <v>1136205.8700000001</v>
      </c>
      <c r="D13" s="4">
        <f t="shared" si="1"/>
        <v>1306906.1099999999</v>
      </c>
      <c r="E13" s="4">
        <f t="shared" si="1"/>
        <v>1553652.15</v>
      </c>
      <c r="F13" s="4">
        <f t="shared" si="1"/>
        <v>1739389.44</v>
      </c>
      <c r="G13" s="4">
        <f t="shared" ref="G13:K13" si="8">SUM(G69,G179,B124)</f>
        <v>2511389</v>
      </c>
      <c r="H13" s="4">
        <f t="shared" si="8"/>
        <v>2852935.39</v>
      </c>
      <c r="I13" s="4">
        <f t="shared" si="8"/>
        <v>3092430.1599999997</v>
      </c>
      <c r="J13" s="4">
        <f t="shared" si="8"/>
        <v>3143237.41</v>
      </c>
      <c r="K13" s="4">
        <f t="shared" si="8"/>
        <v>3531130.4347826</v>
      </c>
      <c r="L13" s="4"/>
    </row>
    <row r="14" spans="1:12" x14ac:dyDescent="0.25">
      <c r="A14" t="s">
        <v>14</v>
      </c>
      <c r="B14" s="4">
        <f t="shared" si="1"/>
        <v>571092.54</v>
      </c>
      <c r="C14" s="4">
        <f t="shared" si="1"/>
        <v>780266.05</v>
      </c>
      <c r="D14" s="4">
        <f t="shared" si="1"/>
        <v>852101.04</v>
      </c>
      <c r="E14" s="4">
        <f t="shared" si="1"/>
        <v>909670.56</v>
      </c>
      <c r="F14" s="4">
        <f t="shared" si="1"/>
        <v>1014022.5399999999</v>
      </c>
      <c r="G14" s="4">
        <f t="shared" ref="G14:K14" si="9">SUM(G70,G180,B125)</f>
        <v>1494251.3</v>
      </c>
      <c r="H14" s="4">
        <f t="shared" si="9"/>
        <v>2040745.9</v>
      </c>
      <c r="I14" s="4">
        <f t="shared" si="9"/>
        <v>2137153.41</v>
      </c>
      <c r="J14" s="4">
        <f t="shared" si="9"/>
        <v>2273772.73</v>
      </c>
      <c r="K14" s="4">
        <f t="shared" si="9"/>
        <v>2505391.3043478252</v>
      </c>
      <c r="L14" s="4"/>
    </row>
    <row r="15" spans="1:12" x14ac:dyDescent="0.25">
      <c r="A15" t="s">
        <v>15</v>
      </c>
      <c r="B15" s="4">
        <f t="shared" si="1"/>
        <v>151727.01</v>
      </c>
      <c r="C15" s="4">
        <f t="shared" si="1"/>
        <v>119397.73000000001</v>
      </c>
      <c r="D15" s="4">
        <f t="shared" si="1"/>
        <v>225936.57</v>
      </c>
      <c r="E15" s="4">
        <f t="shared" si="1"/>
        <v>188357.84</v>
      </c>
      <c r="F15" s="4">
        <f t="shared" si="1"/>
        <v>183562.93</v>
      </c>
      <c r="G15" s="4">
        <f t="shared" ref="G15:K15" si="10">SUM(G71,G181,B126)</f>
        <v>170594.68</v>
      </c>
      <c r="H15" s="4">
        <f t="shared" si="10"/>
        <v>201956.06</v>
      </c>
      <c r="I15" s="4">
        <f t="shared" si="10"/>
        <v>274899.87</v>
      </c>
      <c r="J15" s="4">
        <f t="shared" si="10"/>
        <v>234419.22</v>
      </c>
      <c r="K15" s="4">
        <f t="shared" si="10"/>
        <v>278608.6956521743</v>
      </c>
      <c r="L15" s="4"/>
    </row>
    <row r="16" spans="1:12" x14ac:dyDescent="0.25">
      <c r="A16" t="s">
        <v>16</v>
      </c>
      <c r="B16" s="4">
        <f t="shared" si="1"/>
        <v>133303.67000000001</v>
      </c>
      <c r="C16" s="4">
        <f t="shared" si="1"/>
        <v>172794.19</v>
      </c>
      <c r="D16" s="4">
        <f t="shared" si="1"/>
        <v>193373.65</v>
      </c>
      <c r="E16" s="4">
        <f t="shared" si="1"/>
        <v>192070.66</v>
      </c>
      <c r="F16" s="4">
        <f t="shared" si="1"/>
        <v>155056.20000000001</v>
      </c>
      <c r="G16" s="4">
        <f t="shared" ref="G16:K16" si="11">SUM(G72,G182,B127)</f>
        <v>322915.07999999996</v>
      </c>
      <c r="H16" s="4">
        <f t="shared" si="11"/>
        <v>480583.16</v>
      </c>
      <c r="I16" s="4">
        <f t="shared" si="11"/>
        <v>589983.3899999999</v>
      </c>
      <c r="J16" s="4">
        <f t="shared" si="11"/>
        <v>616259.19000000006</v>
      </c>
      <c r="K16" s="4">
        <f t="shared" si="11"/>
        <v>673043.47826086974</v>
      </c>
      <c r="L16" s="4"/>
    </row>
    <row r="17" spans="1:12" x14ac:dyDescent="0.25">
      <c r="A17" t="s">
        <v>17</v>
      </c>
      <c r="B17" s="4">
        <f t="shared" si="1"/>
        <v>2316456.16</v>
      </c>
      <c r="C17" s="4">
        <f t="shared" si="1"/>
        <v>2999804.48</v>
      </c>
      <c r="D17" s="4">
        <f t="shared" si="1"/>
        <v>3509335.6399999997</v>
      </c>
      <c r="E17" s="4">
        <f t="shared" si="1"/>
        <v>4159217.41</v>
      </c>
      <c r="F17" s="4">
        <f t="shared" si="1"/>
        <v>4168947.05</v>
      </c>
      <c r="G17" s="4">
        <f t="shared" ref="G17:K17" si="12">SUM(G73,G183,B128)</f>
        <v>6217568.1200000001</v>
      </c>
      <c r="H17" s="4">
        <f t="shared" si="12"/>
        <v>7289144.0700000003</v>
      </c>
      <c r="I17" s="4">
        <f t="shared" si="12"/>
        <v>7620754.1399999987</v>
      </c>
      <c r="J17" s="4">
        <f t="shared" si="12"/>
        <v>8048288</v>
      </c>
      <c r="K17" s="4">
        <f t="shared" si="12"/>
        <v>8809043.478260871</v>
      </c>
      <c r="L17" s="4"/>
    </row>
    <row r="18" spans="1:12" x14ac:dyDescent="0.25">
      <c r="A18" t="s">
        <v>18</v>
      </c>
      <c r="B18" s="4">
        <f t="shared" si="1"/>
        <v>1434537.8900000001</v>
      </c>
      <c r="C18" s="4">
        <f t="shared" si="1"/>
        <v>1623644.2999999998</v>
      </c>
      <c r="D18" s="4">
        <f t="shared" si="1"/>
        <v>2146649.41</v>
      </c>
      <c r="E18" s="4">
        <f t="shared" si="1"/>
        <v>2450324.83</v>
      </c>
      <c r="F18" s="4">
        <f t="shared" si="1"/>
        <v>2523648.7000000002</v>
      </c>
      <c r="G18" s="4">
        <f t="shared" ref="G18:K18" si="13">SUM(G74,G184,B129)</f>
        <v>3706495.47</v>
      </c>
      <c r="H18" s="4">
        <f t="shared" si="13"/>
        <v>4460529.5200000005</v>
      </c>
      <c r="I18" s="4">
        <f t="shared" si="13"/>
        <v>5392787.4199999999</v>
      </c>
      <c r="J18" s="4">
        <f t="shared" si="13"/>
        <v>5404187.3599999994</v>
      </c>
      <c r="K18" s="4">
        <f t="shared" si="13"/>
        <v>6169043.4782608803</v>
      </c>
      <c r="L18" s="4"/>
    </row>
    <row r="19" spans="1:12" x14ac:dyDescent="0.25">
      <c r="A19" t="s">
        <v>19</v>
      </c>
      <c r="B19" s="4">
        <f t="shared" si="1"/>
        <v>359973.51</v>
      </c>
      <c r="C19" s="4">
        <f t="shared" si="1"/>
        <v>495843.13</v>
      </c>
      <c r="D19" s="4">
        <f t="shared" si="1"/>
        <v>553799.29</v>
      </c>
      <c r="E19" s="4">
        <f t="shared" si="1"/>
        <v>733130.47</v>
      </c>
      <c r="F19" s="4">
        <f t="shared" si="1"/>
        <v>778627.29</v>
      </c>
      <c r="G19" s="4">
        <f t="shared" ref="G19:K19" si="14">SUM(G75,G185,B130)</f>
        <v>1078901.18</v>
      </c>
      <c r="H19" s="4">
        <f t="shared" si="14"/>
        <v>1367024.74</v>
      </c>
      <c r="I19" s="4">
        <f t="shared" si="14"/>
        <v>1445144.66</v>
      </c>
      <c r="J19" s="4">
        <f t="shared" si="14"/>
        <v>1446283.42</v>
      </c>
      <c r="K19" s="4">
        <f t="shared" si="14"/>
        <v>1631999.9999999991</v>
      </c>
      <c r="L19" s="4"/>
    </row>
    <row r="20" spans="1:12" x14ac:dyDescent="0.25">
      <c r="A20" t="s">
        <v>20</v>
      </c>
      <c r="B20" s="4">
        <f t="shared" si="1"/>
        <v>164253.75</v>
      </c>
      <c r="C20" s="4">
        <f t="shared" si="1"/>
        <v>218591.77000000002</v>
      </c>
      <c r="D20" s="4">
        <f t="shared" si="1"/>
        <v>283823.92000000004</v>
      </c>
      <c r="E20" s="4">
        <f t="shared" si="1"/>
        <v>336178.4</v>
      </c>
      <c r="F20" s="4">
        <f t="shared" si="1"/>
        <v>316127.41000000003</v>
      </c>
      <c r="G20" s="4">
        <f t="shared" ref="G20:K20" si="15">SUM(G76,G186,B131)</f>
        <v>408189.88</v>
      </c>
      <c r="H20" s="4">
        <f t="shared" si="15"/>
        <v>528794.11</v>
      </c>
      <c r="I20" s="4">
        <f t="shared" si="15"/>
        <v>719972.11</v>
      </c>
      <c r="J20" s="4">
        <f t="shared" si="15"/>
        <v>575314.44999999995</v>
      </c>
      <c r="K20" s="4">
        <f t="shared" si="15"/>
        <v>724173.91304347804</v>
      </c>
      <c r="L20" s="4"/>
    </row>
    <row r="21" spans="1:12" x14ac:dyDescent="0.25">
      <c r="A21" t="s">
        <v>21</v>
      </c>
      <c r="B21" s="4">
        <f t="shared" si="1"/>
        <v>1649219.9</v>
      </c>
      <c r="C21" s="4">
        <f t="shared" si="1"/>
        <v>1872744.08</v>
      </c>
      <c r="D21" s="4">
        <f t="shared" si="1"/>
        <v>2474081.2000000002</v>
      </c>
      <c r="E21" s="4">
        <f t="shared" si="1"/>
        <v>2617902.66</v>
      </c>
      <c r="F21" s="4">
        <f t="shared" si="1"/>
        <v>2918069.49</v>
      </c>
      <c r="G21" s="4">
        <f t="shared" ref="G21:K21" si="16">SUM(G77,G187,B132)</f>
        <v>4067251.59</v>
      </c>
      <c r="H21" s="4">
        <f t="shared" si="16"/>
        <v>5209423.74</v>
      </c>
      <c r="I21" s="4">
        <f t="shared" si="16"/>
        <v>6102109.7800000003</v>
      </c>
      <c r="J21" s="4">
        <f t="shared" si="16"/>
        <v>6562985.4900000002</v>
      </c>
      <c r="K21" s="4">
        <f t="shared" si="16"/>
        <v>7185391.3043478299</v>
      </c>
      <c r="L21" s="4"/>
    </row>
    <row r="22" spans="1:12" x14ac:dyDescent="0.25">
      <c r="A22" t="s">
        <v>22</v>
      </c>
      <c r="B22" s="4">
        <f t="shared" si="1"/>
        <v>982880.98</v>
      </c>
      <c r="C22" s="4">
        <f t="shared" si="1"/>
        <v>1088758.69</v>
      </c>
      <c r="D22" s="4">
        <f t="shared" si="1"/>
        <v>1232289.1399999999</v>
      </c>
      <c r="E22" s="4">
        <f t="shared" si="1"/>
        <v>1292366.1399999999</v>
      </c>
      <c r="F22" s="4">
        <f t="shared" si="1"/>
        <v>1430223.5499999998</v>
      </c>
      <c r="G22" s="4">
        <f t="shared" ref="G22:K22" si="17">SUM(G78,G188,B133)</f>
        <v>1988692.47</v>
      </c>
      <c r="H22" s="4">
        <f t="shared" si="17"/>
        <v>2512833.6999999997</v>
      </c>
      <c r="I22" s="4">
        <f t="shared" si="17"/>
        <v>2793105.5</v>
      </c>
      <c r="J22" s="4">
        <f t="shared" si="17"/>
        <v>3018007.64</v>
      </c>
      <c r="K22" s="4">
        <f t="shared" si="17"/>
        <v>3296347.8260869551</v>
      </c>
      <c r="L22" s="4"/>
    </row>
    <row r="23" spans="1:12" x14ac:dyDescent="0.25">
      <c r="A23" t="s">
        <v>23</v>
      </c>
      <c r="B23" s="4">
        <f t="shared" si="1"/>
        <v>244141.32</v>
      </c>
      <c r="C23" s="4">
        <f t="shared" si="1"/>
        <v>317774.69</v>
      </c>
      <c r="D23" s="4">
        <f t="shared" si="1"/>
        <v>399101.94</v>
      </c>
      <c r="E23" s="4">
        <f t="shared" si="1"/>
        <v>474669.52</v>
      </c>
      <c r="F23" s="4">
        <f t="shared" si="1"/>
        <v>585130.30999999994</v>
      </c>
      <c r="G23" s="4">
        <f t="shared" ref="G23:K23" si="18">SUM(G79,G189,B134)</f>
        <v>735268.62</v>
      </c>
      <c r="H23" s="4">
        <f t="shared" si="18"/>
        <v>934537.22000000009</v>
      </c>
      <c r="I23" s="4">
        <f t="shared" si="18"/>
        <v>1094221.8799999999</v>
      </c>
      <c r="J23" s="4">
        <f t="shared" si="18"/>
        <v>1212127.8400000001</v>
      </c>
      <c r="K23" s="4">
        <f t="shared" si="18"/>
        <v>1289739.1304347832</v>
      </c>
      <c r="L23" s="4"/>
    </row>
    <row r="24" spans="1:12" x14ac:dyDescent="0.25">
      <c r="A24" t="s">
        <v>24</v>
      </c>
      <c r="B24" s="4">
        <f t="shared" ref="B24:F39" si="19">SUM(B80,B190)</f>
        <v>319110.84999999998</v>
      </c>
      <c r="C24" s="4">
        <f t="shared" si="19"/>
        <v>339461.81</v>
      </c>
      <c r="D24" s="4">
        <f t="shared" si="19"/>
        <v>404052.95999999996</v>
      </c>
      <c r="E24" s="4">
        <f t="shared" si="19"/>
        <v>489375.42000000004</v>
      </c>
      <c r="F24" s="4">
        <f t="shared" si="19"/>
        <v>603964.51</v>
      </c>
      <c r="G24" s="4">
        <f t="shared" ref="G24:K24" si="20">SUM(G80,G190,B135)</f>
        <v>914251.72</v>
      </c>
      <c r="H24" s="4">
        <f t="shared" si="20"/>
        <v>1153388.49</v>
      </c>
      <c r="I24" s="4">
        <f t="shared" si="20"/>
        <v>1262474.17</v>
      </c>
      <c r="J24" s="4">
        <f t="shared" si="20"/>
        <v>1310480.3700000001</v>
      </c>
      <c r="K24" s="4">
        <f t="shared" si="20"/>
        <v>1427478.260869565</v>
      </c>
      <c r="L24" s="4"/>
    </row>
    <row r="25" spans="1:12" x14ac:dyDescent="0.25">
      <c r="A25" t="s">
        <v>25</v>
      </c>
      <c r="B25" s="4">
        <f t="shared" si="19"/>
        <v>499434.75</v>
      </c>
      <c r="C25" s="4">
        <f t="shared" si="19"/>
        <v>668703.66</v>
      </c>
      <c r="D25" s="4">
        <f t="shared" si="19"/>
        <v>881819.17999999993</v>
      </c>
      <c r="E25" s="4">
        <f t="shared" si="19"/>
        <v>938110.19</v>
      </c>
      <c r="F25" s="4">
        <f t="shared" si="19"/>
        <v>1067094.53</v>
      </c>
      <c r="G25" s="4">
        <f t="shared" ref="G25:K25" si="21">SUM(G81,G191,B136)</f>
        <v>1406992.1300000001</v>
      </c>
      <c r="H25" s="4">
        <f t="shared" si="21"/>
        <v>1561600.7999999998</v>
      </c>
      <c r="I25" s="4">
        <f t="shared" si="21"/>
        <v>1720244.66</v>
      </c>
      <c r="J25" s="4">
        <f t="shared" si="21"/>
        <v>1798530.75</v>
      </c>
      <c r="K25" s="4">
        <f t="shared" si="21"/>
        <v>1982608.6956521729</v>
      </c>
      <c r="L25" s="4"/>
    </row>
    <row r="26" spans="1:12" x14ac:dyDescent="0.25">
      <c r="A26" t="s">
        <v>26</v>
      </c>
      <c r="B26" s="4">
        <f t="shared" si="19"/>
        <v>1322874.1600000001</v>
      </c>
      <c r="C26" s="4">
        <f t="shared" si="19"/>
        <v>1965378.8599999999</v>
      </c>
      <c r="D26" s="4">
        <f t="shared" si="19"/>
        <v>2462076.6</v>
      </c>
      <c r="E26" s="4">
        <f t="shared" si="19"/>
        <v>2268336.1</v>
      </c>
      <c r="F26" s="4">
        <f t="shared" si="19"/>
        <v>2441255.9</v>
      </c>
      <c r="G26" s="4">
        <f t="shared" ref="G26:K26" si="22">SUM(G82,G192,B137)</f>
        <v>3444360.76</v>
      </c>
      <c r="H26" s="4">
        <f t="shared" si="22"/>
        <v>3891424.24</v>
      </c>
      <c r="I26" s="4">
        <f t="shared" si="22"/>
        <v>4141099.87</v>
      </c>
      <c r="J26" s="4">
        <f t="shared" si="22"/>
        <v>4374694.38</v>
      </c>
      <c r="K26" s="4">
        <f t="shared" si="22"/>
        <v>4895999.9999999907</v>
      </c>
      <c r="L26" s="4"/>
    </row>
    <row r="27" spans="1:12" x14ac:dyDescent="0.25">
      <c r="A27" t="s">
        <v>27</v>
      </c>
      <c r="B27" s="4">
        <f t="shared" si="19"/>
        <v>811079.83</v>
      </c>
      <c r="C27" s="4">
        <f t="shared" si="19"/>
        <v>1092644.8999999999</v>
      </c>
      <c r="D27" s="4">
        <f t="shared" si="19"/>
        <v>1364549.4100000001</v>
      </c>
      <c r="E27" s="4">
        <f t="shared" si="19"/>
        <v>1509409.44</v>
      </c>
      <c r="F27" s="4">
        <f t="shared" si="19"/>
        <v>1634828.58</v>
      </c>
      <c r="G27" s="4">
        <f t="shared" ref="G27:K27" si="23">SUM(G83,G193,B138)</f>
        <v>2615102.06</v>
      </c>
      <c r="H27" s="4">
        <f t="shared" si="23"/>
        <v>3301498.39</v>
      </c>
      <c r="I27" s="4">
        <f t="shared" si="23"/>
        <v>3712615.1100000003</v>
      </c>
      <c r="J27" s="4">
        <f t="shared" si="23"/>
        <v>3766646.41</v>
      </c>
      <c r="K27" s="4">
        <f t="shared" si="23"/>
        <v>4222956.5217391299</v>
      </c>
      <c r="L27" s="4"/>
    </row>
    <row r="28" spans="1:12" x14ac:dyDescent="0.25">
      <c r="A28" t="s">
        <v>28</v>
      </c>
      <c r="B28" s="4">
        <f t="shared" si="19"/>
        <v>121283.87</v>
      </c>
      <c r="C28" s="4">
        <f t="shared" si="19"/>
        <v>135104.60999999999</v>
      </c>
      <c r="D28" s="4">
        <f t="shared" si="19"/>
        <v>191624.09</v>
      </c>
      <c r="E28" s="4">
        <f t="shared" si="19"/>
        <v>220660.55</v>
      </c>
      <c r="F28" s="4">
        <f t="shared" si="19"/>
        <v>308765.44999999995</v>
      </c>
      <c r="G28" s="4">
        <f t="shared" ref="G28:K28" si="24">SUM(G84,G194,B139)</f>
        <v>326684.82</v>
      </c>
      <c r="H28" s="4">
        <f t="shared" si="24"/>
        <v>434795.29</v>
      </c>
      <c r="I28" s="4">
        <f t="shared" si="24"/>
        <v>478384.8</v>
      </c>
      <c r="J28" s="4">
        <f t="shared" si="24"/>
        <v>560551.15999999992</v>
      </c>
      <c r="K28" s="4">
        <f t="shared" si="24"/>
        <v>573913.04347826098</v>
      </c>
      <c r="L28" s="4"/>
    </row>
    <row r="29" spans="1:12" x14ac:dyDescent="0.25">
      <c r="A29" t="s">
        <v>29</v>
      </c>
      <c r="B29" s="4">
        <f t="shared" si="19"/>
        <v>969112.04</v>
      </c>
      <c r="C29" s="4">
        <f t="shared" si="19"/>
        <v>1300426.52</v>
      </c>
      <c r="D29" s="4">
        <f t="shared" si="19"/>
        <v>1565030.29</v>
      </c>
      <c r="E29" s="4">
        <f t="shared" si="19"/>
        <v>1635514.1</v>
      </c>
      <c r="F29" s="4">
        <f t="shared" si="19"/>
        <v>1763277.9100000001</v>
      </c>
      <c r="G29" s="4">
        <f t="shared" ref="G29:K29" si="25">SUM(G85,G195,B140)</f>
        <v>2380931.65</v>
      </c>
      <c r="H29" s="4">
        <f t="shared" si="25"/>
        <v>2881506.46</v>
      </c>
      <c r="I29" s="4">
        <f t="shared" si="25"/>
        <v>3270734.4299999997</v>
      </c>
      <c r="J29" s="4">
        <f t="shared" si="25"/>
        <v>3555484.24</v>
      </c>
      <c r="K29" s="4">
        <f t="shared" si="25"/>
        <v>3811826.0869565201</v>
      </c>
      <c r="L29" s="4"/>
    </row>
    <row r="30" spans="1:12" x14ac:dyDescent="0.25">
      <c r="A30" t="s">
        <v>30</v>
      </c>
      <c r="B30" s="4">
        <f t="shared" si="19"/>
        <v>822904.99</v>
      </c>
      <c r="C30" s="4">
        <f t="shared" si="19"/>
        <v>946556.65</v>
      </c>
      <c r="D30" s="4">
        <f t="shared" si="19"/>
        <v>1267520.1400000001</v>
      </c>
      <c r="E30" s="4">
        <f t="shared" si="19"/>
        <v>1285640.3899999999</v>
      </c>
      <c r="F30" s="4">
        <f t="shared" si="19"/>
        <v>1341198.6599999999</v>
      </c>
      <c r="G30" s="4">
        <f t="shared" ref="G30:K30" si="26">SUM(G86,G196,B141)</f>
        <v>1795464.08</v>
      </c>
      <c r="H30" s="4">
        <f t="shared" si="26"/>
        <v>2258491.91</v>
      </c>
      <c r="I30" s="4">
        <f t="shared" si="26"/>
        <v>2302448.54</v>
      </c>
      <c r="J30" s="4">
        <f t="shared" si="26"/>
        <v>2339857.2999999998</v>
      </c>
      <c r="K30" s="4">
        <f t="shared" si="26"/>
        <v>2580521.7391304341</v>
      </c>
      <c r="L30" s="4"/>
    </row>
    <row r="31" spans="1:12" x14ac:dyDescent="0.25">
      <c r="A31" t="s">
        <v>31</v>
      </c>
      <c r="B31" s="4">
        <f t="shared" si="19"/>
        <v>832257.92999999993</v>
      </c>
      <c r="C31" s="4">
        <f t="shared" si="19"/>
        <v>1006408</v>
      </c>
      <c r="D31" s="4">
        <f t="shared" si="19"/>
        <v>1310997.8999999999</v>
      </c>
      <c r="E31" s="4">
        <f t="shared" si="19"/>
        <v>1391768.03</v>
      </c>
      <c r="F31" s="4">
        <f t="shared" si="19"/>
        <v>1551900.6600000001</v>
      </c>
      <c r="G31" s="4">
        <f t="shared" ref="G31:K31" si="27">SUM(G87,G197,B142)</f>
        <v>1995234.6</v>
      </c>
      <c r="H31" s="4">
        <f t="shared" si="27"/>
        <v>2539313.7599999998</v>
      </c>
      <c r="I31" s="4">
        <f t="shared" si="27"/>
        <v>2772130.09</v>
      </c>
      <c r="J31" s="4">
        <f t="shared" si="27"/>
        <v>2848205.82</v>
      </c>
      <c r="K31" s="4">
        <f t="shared" si="27"/>
        <v>3185739.1304347841</v>
      </c>
      <c r="L31" s="4"/>
    </row>
    <row r="32" spans="1:12" x14ac:dyDescent="0.25">
      <c r="A32" t="s">
        <v>32</v>
      </c>
      <c r="B32" s="4">
        <f t="shared" si="19"/>
        <v>199886.04</v>
      </c>
      <c r="C32" s="4">
        <f t="shared" si="19"/>
        <v>210316.39</v>
      </c>
      <c r="D32" s="4">
        <f t="shared" si="19"/>
        <v>261343.35999999999</v>
      </c>
      <c r="E32" s="4">
        <f t="shared" si="19"/>
        <v>374215.52</v>
      </c>
      <c r="F32" s="4">
        <f t="shared" si="19"/>
        <v>361154.74</v>
      </c>
      <c r="G32" s="4">
        <f t="shared" ref="G32:K32" si="28">SUM(G88,G198,B143)</f>
        <v>549328.42999999993</v>
      </c>
      <c r="H32" s="4">
        <f t="shared" si="28"/>
        <v>699174.77</v>
      </c>
      <c r="I32" s="4">
        <f t="shared" si="28"/>
        <v>768137.29</v>
      </c>
      <c r="J32" s="4">
        <f t="shared" si="28"/>
        <v>878702.02</v>
      </c>
      <c r="K32" s="4">
        <f t="shared" si="28"/>
        <v>933913.04347826098</v>
      </c>
      <c r="L32" s="4"/>
    </row>
    <row r="33" spans="1:12" x14ac:dyDescent="0.25">
      <c r="A33" t="s">
        <v>33</v>
      </c>
      <c r="B33" s="4">
        <f t="shared" si="19"/>
        <v>155879.19</v>
      </c>
      <c r="C33" s="4">
        <f t="shared" si="19"/>
        <v>175986.25</v>
      </c>
      <c r="D33" s="4">
        <f t="shared" si="19"/>
        <v>192445.45</v>
      </c>
      <c r="E33" s="4">
        <f t="shared" si="19"/>
        <v>231359.55</v>
      </c>
      <c r="F33" s="4">
        <f t="shared" si="19"/>
        <v>197836.74</v>
      </c>
      <c r="G33" s="4">
        <f t="shared" ref="G33:K33" si="29">SUM(G89,G199,B144)</f>
        <v>347540.66000000003</v>
      </c>
      <c r="H33" s="4">
        <f t="shared" si="29"/>
        <v>382108.93999999994</v>
      </c>
      <c r="I33" s="4">
        <f t="shared" si="29"/>
        <v>390356.68</v>
      </c>
      <c r="J33" s="4">
        <f t="shared" si="29"/>
        <v>444813.39</v>
      </c>
      <c r="K33" s="4">
        <f t="shared" si="29"/>
        <v>462260.86956521694</v>
      </c>
      <c r="L33" s="4"/>
    </row>
    <row r="34" spans="1:12" x14ac:dyDescent="0.25">
      <c r="A34" t="s">
        <v>34</v>
      </c>
      <c r="B34" s="4">
        <f t="shared" si="19"/>
        <v>1467250.49</v>
      </c>
      <c r="C34" s="4">
        <f t="shared" si="19"/>
        <v>1939027.3800000001</v>
      </c>
      <c r="D34" s="4">
        <f t="shared" si="19"/>
        <v>2081381.55</v>
      </c>
      <c r="E34" s="4">
        <f t="shared" si="19"/>
        <v>2312767.4299999997</v>
      </c>
      <c r="F34" s="4">
        <f t="shared" si="19"/>
        <v>2470799.9699999997</v>
      </c>
      <c r="G34" s="4">
        <f t="shared" ref="G34:K34" si="30">SUM(G90,G200,B145)</f>
        <v>3289433.07</v>
      </c>
      <c r="H34" s="4">
        <f t="shared" si="30"/>
        <v>3688852.81</v>
      </c>
      <c r="I34" s="4">
        <f t="shared" si="30"/>
        <v>4146494.36</v>
      </c>
      <c r="J34" s="4">
        <f t="shared" si="30"/>
        <v>4169013.45</v>
      </c>
      <c r="K34" s="4">
        <f t="shared" si="30"/>
        <v>4652869.5652173897</v>
      </c>
      <c r="L34" s="4"/>
    </row>
    <row r="35" spans="1:12" x14ac:dyDescent="0.25">
      <c r="A35" t="s">
        <v>35</v>
      </c>
      <c r="B35" s="4">
        <f t="shared" si="19"/>
        <v>134289.01</v>
      </c>
      <c r="C35" s="4">
        <f t="shared" si="19"/>
        <v>128798.73000000001</v>
      </c>
      <c r="D35" s="4">
        <f t="shared" si="19"/>
        <v>117770.59</v>
      </c>
      <c r="E35" s="4">
        <f t="shared" si="19"/>
        <v>126653.73</v>
      </c>
      <c r="F35" s="4">
        <f t="shared" si="19"/>
        <v>124818.5</v>
      </c>
      <c r="G35" s="4">
        <f t="shared" ref="G35:K35" si="31">SUM(G91,G201,B146)</f>
        <v>139328.79</v>
      </c>
      <c r="H35" s="4">
        <f t="shared" si="31"/>
        <v>342743.96</v>
      </c>
      <c r="I35" s="4">
        <f t="shared" si="31"/>
        <v>365739.15</v>
      </c>
      <c r="J35" s="4">
        <f t="shared" si="31"/>
        <v>378407.97000000003</v>
      </c>
      <c r="K35" s="4">
        <f t="shared" si="31"/>
        <v>420521.73913043394</v>
      </c>
      <c r="L35" s="4"/>
    </row>
    <row r="36" spans="1:12" x14ac:dyDescent="0.25">
      <c r="A36" t="s">
        <v>36</v>
      </c>
      <c r="B36" s="4">
        <f t="shared" si="19"/>
        <v>436393.59</v>
      </c>
      <c r="C36" s="4">
        <f t="shared" si="19"/>
        <v>527493.72</v>
      </c>
      <c r="D36" s="4">
        <f t="shared" si="19"/>
        <v>558348.6</v>
      </c>
      <c r="E36" s="4">
        <f t="shared" si="19"/>
        <v>698131.6100000001</v>
      </c>
      <c r="F36" s="4">
        <f t="shared" si="19"/>
        <v>566715.65999999992</v>
      </c>
      <c r="G36" s="4">
        <f t="shared" ref="G36:K36" si="32">SUM(G92,G202,B147)</f>
        <v>737041.51000000013</v>
      </c>
      <c r="H36" s="4">
        <f t="shared" si="32"/>
        <v>987870.87</v>
      </c>
      <c r="I36" s="4">
        <f t="shared" si="32"/>
        <v>954397.8899999999</v>
      </c>
      <c r="J36" s="4">
        <f t="shared" si="32"/>
        <v>1121928.99</v>
      </c>
      <c r="K36" s="4">
        <f t="shared" si="32"/>
        <v>1157217.3913043479</v>
      </c>
      <c r="L36" s="4"/>
    </row>
    <row r="37" spans="1:12" x14ac:dyDescent="0.25">
      <c r="A37" t="s">
        <v>37</v>
      </c>
      <c r="B37" s="4">
        <f t="shared" si="19"/>
        <v>222437.84999999998</v>
      </c>
      <c r="C37" s="4">
        <f t="shared" si="19"/>
        <v>175738.29</v>
      </c>
      <c r="D37" s="4">
        <f t="shared" si="19"/>
        <v>220500.17</v>
      </c>
      <c r="E37" s="4">
        <f t="shared" si="19"/>
        <v>192971.8</v>
      </c>
      <c r="F37" s="4">
        <f t="shared" si="19"/>
        <v>277959.71000000002</v>
      </c>
      <c r="G37" s="4">
        <f t="shared" ref="G37:K37" si="33">SUM(G93,G203,B148)</f>
        <v>411354.71</v>
      </c>
      <c r="H37" s="4">
        <f t="shared" si="33"/>
        <v>417971.77</v>
      </c>
      <c r="I37" s="4">
        <f t="shared" si="33"/>
        <v>615706.97</v>
      </c>
      <c r="J37" s="4">
        <f t="shared" si="33"/>
        <v>679231.32000000007</v>
      </c>
      <c r="K37" s="4">
        <f t="shared" si="33"/>
        <v>731478.260869566</v>
      </c>
      <c r="L37" s="4"/>
    </row>
    <row r="38" spans="1:12" x14ac:dyDescent="0.25">
      <c r="A38" t="s">
        <v>38</v>
      </c>
      <c r="B38" s="4">
        <f t="shared" si="19"/>
        <v>1234822.5900000001</v>
      </c>
      <c r="C38" s="4">
        <f t="shared" si="19"/>
        <v>1477729.15</v>
      </c>
      <c r="D38" s="4">
        <f t="shared" si="19"/>
        <v>1940323.0099999998</v>
      </c>
      <c r="E38" s="4">
        <f t="shared" si="19"/>
        <v>2176170.98</v>
      </c>
      <c r="F38" s="4">
        <f t="shared" si="19"/>
        <v>2437681.4900000002</v>
      </c>
      <c r="G38" s="4">
        <f t="shared" ref="G38:K38" si="34">SUM(G94,G204,B149)</f>
        <v>3257134.9299999997</v>
      </c>
      <c r="H38" s="4">
        <f t="shared" si="34"/>
        <v>3764659.78</v>
      </c>
      <c r="I38" s="4">
        <f t="shared" si="34"/>
        <v>4052666.45</v>
      </c>
      <c r="J38" s="4">
        <f t="shared" si="34"/>
        <v>4311057.9399999995</v>
      </c>
      <c r="K38" s="4">
        <f t="shared" si="34"/>
        <v>4780173.9130434804</v>
      </c>
      <c r="L38" s="4"/>
    </row>
    <row r="39" spans="1:12" x14ac:dyDescent="0.25">
      <c r="A39" t="s">
        <v>39</v>
      </c>
      <c r="B39" s="4">
        <f t="shared" si="19"/>
        <v>58340.02</v>
      </c>
      <c r="C39" s="4">
        <f t="shared" si="19"/>
        <v>139335.01999999999</v>
      </c>
      <c r="D39" s="4">
        <f t="shared" si="19"/>
        <v>250582.56</v>
      </c>
      <c r="E39" s="4">
        <f t="shared" si="19"/>
        <v>318082.31</v>
      </c>
      <c r="F39" s="4">
        <f t="shared" si="19"/>
        <v>408756.99</v>
      </c>
      <c r="G39" s="4">
        <f t="shared" ref="G39:K39" si="35">SUM(G95,G205,B150)</f>
        <v>574797.86</v>
      </c>
      <c r="H39" s="4">
        <f t="shared" si="35"/>
        <v>625069.85</v>
      </c>
      <c r="I39" s="4">
        <f t="shared" si="35"/>
        <v>634945.19999999995</v>
      </c>
      <c r="J39" s="4">
        <f t="shared" si="35"/>
        <v>627004.54999999993</v>
      </c>
      <c r="K39" s="4">
        <f t="shared" si="35"/>
        <v>699130.43478260899</v>
      </c>
      <c r="L39" s="4"/>
    </row>
    <row r="40" spans="1:12" x14ac:dyDescent="0.25">
      <c r="A40" t="s">
        <v>40</v>
      </c>
      <c r="B40" s="4">
        <f t="shared" ref="B40:F55" si="36">SUM(B96,B206)</f>
        <v>352164.46</v>
      </c>
      <c r="C40" s="4">
        <f t="shared" si="36"/>
        <v>512446.25</v>
      </c>
      <c r="D40" s="4">
        <f t="shared" si="36"/>
        <v>520438.30999999994</v>
      </c>
      <c r="E40" s="4">
        <f t="shared" si="36"/>
        <v>532385.79</v>
      </c>
      <c r="F40" s="4">
        <f t="shared" si="36"/>
        <v>550307.07000000007</v>
      </c>
      <c r="G40" s="4">
        <f t="shared" ref="G40:K40" si="37">SUM(G96,G206,B151)</f>
        <v>923404.13</v>
      </c>
      <c r="H40" s="4">
        <f t="shared" si="37"/>
        <v>1127006.31</v>
      </c>
      <c r="I40" s="4">
        <f t="shared" si="37"/>
        <v>1387454.5</v>
      </c>
      <c r="J40" s="4">
        <f t="shared" si="37"/>
        <v>1604488.62</v>
      </c>
      <c r="K40" s="4">
        <f t="shared" si="37"/>
        <v>1715478.260869565</v>
      </c>
      <c r="L40" s="4"/>
    </row>
    <row r="41" spans="1:12" x14ac:dyDescent="0.25">
      <c r="A41" t="s">
        <v>41</v>
      </c>
      <c r="B41" s="4">
        <f t="shared" si="36"/>
        <v>3716878.45</v>
      </c>
      <c r="C41" s="4">
        <f t="shared" si="36"/>
        <v>4661759.58</v>
      </c>
      <c r="D41" s="4">
        <f t="shared" si="36"/>
        <v>5173142.38</v>
      </c>
      <c r="E41" s="4">
        <f t="shared" si="36"/>
        <v>5893265.4900000002</v>
      </c>
      <c r="F41" s="4">
        <f t="shared" si="36"/>
        <v>6527320.0099999998</v>
      </c>
      <c r="G41" s="4">
        <f t="shared" ref="G41:K41" si="38">SUM(G97,G207,B152)</f>
        <v>9208980.879999999</v>
      </c>
      <c r="H41" s="4">
        <f t="shared" si="38"/>
        <v>11127607.629999999</v>
      </c>
      <c r="I41" s="4">
        <f t="shared" si="38"/>
        <v>11461555.390000001</v>
      </c>
      <c r="J41" s="4">
        <f t="shared" si="38"/>
        <v>12084493.83</v>
      </c>
      <c r="K41" s="4">
        <f t="shared" si="38"/>
        <v>13221913.04347826</v>
      </c>
      <c r="L41" s="4"/>
    </row>
    <row r="42" spans="1:12" x14ac:dyDescent="0.25">
      <c r="A42" t="s">
        <v>42</v>
      </c>
      <c r="B42" s="4">
        <f t="shared" si="36"/>
        <v>1654896.74</v>
      </c>
      <c r="C42" s="4">
        <f t="shared" si="36"/>
        <v>2234724.7599999998</v>
      </c>
      <c r="D42" s="4">
        <f t="shared" si="36"/>
        <v>2929461.28</v>
      </c>
      <c r="E42" s="4">
        <f t="shared" si="36"/>
        <v>2935528.54</v>
      </c>
      <c r="F42" s="4">
        <f t="shared" si="36"/>
        <v>3037333.25</v>
      </c>
      <c r="G42" s="4">
        <f t="shared" ref="G42:K42" si="39">SUM(G98,G208,B153)</f>
        <v>4085654.75</v>
      </c>
      <c r="H42" s="4">
        <f t="shared" si="39"/>
        <v>4737572.43</v>
      </c>
      <c r="I42" s="4">
        <f t="shared" si="39"/>
        <v>5268499</v>
      </c>
      <c r="J42" s="4">
        <f t="shared" si="39"/>
        <v>5344804.9400000004</v>
      </c>
      <c r="K42" s="4">
        <f t="shared" si="39"/>
        <v>5905043.4782608598</v>
      </c>
      <c r="L42" s="4"/>
    </row>
    <row r="43" spans="1:12" x14ac:dyDescent="0.25">
      <c r="A43" t="s">
        <v>43</v>
      </c>
      <c r="B43" s="4">
        <f t="shared" si="36"/>
        <v>412510.66000000003</v>
      </c>
      <c r="C43" s="4">
        <f t="shared" si="36"/>
        <v>523692.02</v>
      </c>
      <c r="D43" s="4">
        <f t="shared" si="36"/>
        <v>582732.89</v>
      </c>
      <c r="E43" s="4">
        <f t="shared" si="36"/>
        <v>728039.4</v>
      </c>
      <c r="F43" s="4">
        <f t="shared" si="36"/>
        <v>788493.03</v>
      </c>
      <c r="G43" s="4">
        <f t="shared" ref="G43:K43" si="40">SUM(G99,G209,B154)</f>
        <v>987020.22</v>
      </c>
      <c r="H43" s="4">
        <f t="shared" si="40"/>
        <v>1266503.8400000001</v>
      </c>
      <c r="I43" s="4">
        <f t="shared" si="40"/>
        <v>1343567.84</v>
      </c>
      <c r="J43" s="4">
        <f t="shared" si="40"/>
        <v>1479750.98</v>
      </c>
      <c r="K43" s="4">
        <f t="shared" si="40"/>
        <v>1573565.217391304</v>
      </c>
      <c r="L43" s="4"/>
    </row>
    <row r="44" spans="1:12" x14ac:dyDescent="0.25">
      <c r="A44" t="s">
        <v>44</v>
      </c>
      <c r="B44" s="4">
        <f t="shared" si="36"/>
        <v>640899.93999999994</v>
      </c>
      <c r="C44" s="4">
        <f t="shared" si="36"/>
        <v>674178.21</v>
      </c>
      <c r="D44" s="4">
        <f t="shared" si="36"/>
        <v>782518.69</v>
      </c>
      <c r="E44" s="4">
        <f t="shared" si="36"/>
        <v>976483.96</v>
      </c>
      <c r="F44" s="4">
        <f t="shared" si="36"/>
        <v>951190.56</v>
      </c>
      <c r="G44" s="4">
        <f t="shared" ref="G44:K44" si="41">SUM(G100,G210,B155)</f>
        <v>1441368.75</v>
      </c>
      <c r="H44" s="4">
        <f t="shared" si="41"/>
        <v>1703238.67</v>
      </c>
      <c r="I44" s="4">
        <f t="shared" si="41"/>
        <v>1998770.1400000001</v>
      </c>
      <c r="J44" s="4">
        <f t="shared" si="41"/>
        <v>1921299.69</v>
      </c>
      <c r="K44" s="4">
        <f t="shared" si="41"/>
        <v>2228869.5652173911</v>
      </c>
      <c r="L44" s="4"/>
    </row>
    <row r="45" spans="1:12" x14ac:dyDescent="0.25">
      <c r="A45" t="s">
        <v>45</v>
      </c>
      <c r="B45" s="4">
        <f t="shared" si="36"/>
        <v>1420122.7</v>
      </c>
      <c r="C45" s="4">
        <f t="shared" si="36"/>
        <v>1953419.29</v>
      </c>
      <c r="D45" s="4">
        <f t="shared" si="36"/>
        <v>2580568.88</v>
      </c>
      <c r="E45" s="4">
        <f t="shared" si="36"/>
        <v>3095761.09</v>
      </c>
      <c r="F45" s="4">
        <f t="shared" si="36"/>
        <v>3365401.4299999997</v>
      </c>
      <c r="G45" s="4">
        <f t="shared" ref="G45:K45" si="42">SUM(G101,G211,B156)</f>
        <v>4572901.2700000005</v>
      </c>
      <c r="H45" s="4">
        <f t="shared" si="42"/>
        <v>5271490.05</v>
      </c>
      <c r="I45" s="4">
        <f t="shared" si="42"/>
        <v>5152973.58</v>
      </c>
      <c r="J45" s="4">
        <f t="shared" si="42"/>
        <v>5046934.09</v>
      </c>
      <c r="K45" s="4">
        <f t="shared" si="42"/>
        <v>5714086.956521729</v>
      </c>
      <c r="L45" s="4"/>
    </row>
    <row r="46" spans="1:12" x14ac:dyDescent="0.25">
      <c r="A46" t="s">
        <v>46</v>
      </c>
      <c r="B46" s="4">
        <f t="shared" si="36"/>
        <v>112195.18</v>
      </c>
      <c r="C46" s="4">
        <f t="shared" si="36"/>
        <v>147495.44</v>
      </c>
      <c r="D46" s="4">
        <f t="shared" si="36"/>
        <v>189282.62</v>
      </c>
      <c r="E46" s="4">
        <f t="shared" si="36"/>
        <v>201900.18</v>
      </c>
      <c r="F46" s="4">
        <f t="shared" si="36"/>
        <v>170530.9</v>
      </c>
      <c r="G46" s="4">
        <f t="shared" ref="G46:K46" si="43">SUM(G102,G212,B157)</f>
        <v>355544.18</v>
      </c>
      <c r="H46" s="4">
        <f t="shared" si="43"/>
        <v>428657.56</v>
      </c>
      <c r="I46" s="4">
        <f t="shared" si="43"/>
        <v>466977.68000000005</v>
      </c>
      <c r="J46" s="4">
        <f t="shared" si="43"/>
        <v>500039.98000000004</v>
      </c>
      <c r="K46" s="4">
        <f t="shared" si="43"/>
        <v>547826.08695652196</v>
      </c>
      <c r="L46" s="4"/>
    </row>
    <row r="47" spans="1:12" x14ac:dyDescent="0.25">
      <c r="A47" t="s">
        <v>47</v>
      </c>
      <c r="B47" s="4">
        <f t="shared" si="36"/>
        <v>593339.77</v>
      </c>
      <c r="C47" s="4">
        <f t="shared" si="36"/>
        <v>813089.91999999993</v>
      </c>
      <c r="D47" s="4">
        <f t="shared" si="36"/>
        <v>1124255.33</v>
      </c>
      <c r="E47" s="4">
        <f t="shared" si="36"/>
        <v>1223734.17</v>
      </c>
      <c r="F47" s="4">
        <f t="shared" si="36"/>
        <v>1207797.75</v>
      </c>
      <c r="G47" s="4">
        <f t="shared" ref="G47:K47" si="44">SUM(G103,G213,B158)</f>
        <v>1586034.81</v>
      </c>
      <c r="H47" s="4">
        <f t="shared" si="44"/>
        <v>1523334.67</v>
      </c>
      <c r="I47" s="4">
        <f t="shared" si="44"/>
        <v>1946533.9</v>
      </c>
      <c r="J47" s="4">
        <f t="shared" si="44"/>
        <v>1843354.0699999998</v>
      </c>
      <c r="K47" s="4">
        <f t="shared" si="44"/>
        <v>2162086.9565217397</v>
      </c>
      <c r="L47" s="4"/>
    </row>
    <row r="48" spans="1:12" x14ac:dyDescent="0.25">
      <c r="A48" t="s">
        <v>48</v>
      </c>
      <c r="B48" s="4">
        <f t="shared" si="36"/>
        <v>70607.040000000008</v>
      </c>
      <c r="C48" s="4">
        <f t="shared" si="36"/>
        <v>139765.07</v>
      </c>
      <c r="D48" s="4">
        <f t="shared" si="36"/>
        <v>177611.03999999998</v>
      </c>
      <c r="E48" s="4">
        <f t="shared" si="36"/>
        <v>160510.44</v>
      </c>
      <c r="F48" s="4">
        <f t="shared" si="36"/>
        <v>109656.38</v>
      </c>
      <c r="G48" s="4">
        <f t="shared" ref="G48:K48" si="45">SUM(G104,G214,B159)</f>
        <v>113884.03</v>
      </c>
      <c r="H48" s="4">
        <f t="shared" si="45"/>
        <v>245657.94</v>
      </c>
      <c r="I48" s="4">
        <f t="shared" si="45"/>
        <v>214200.86</v>
      </c>
      <c r="J48" s="4">
        <f t="shared" si="45"/>
        <v>294733.55</v>
      </c>
      <c r="K48" s="4">
        <f t="shared" si="45"/>
        <v>291130.43478260946</v>
      </c>
      <c r="L48" s="4"/>
    </row>
    <row r="49" spans="1:12" x14ac:dyDescent="0.25">
      <c r="A49" t="s">
        <v>49</v>
      </c>
      <c r="B49" s="4">
        <f t="shared" si="36"/>
        <v>975546.58</v>
      </c>
      <c r="C49" s="4">
        <f t="shared" si="36"/>
        <v>1249404.1299999999</v>
      </c>
      <c r="D49" s="4">
        <f t="shared" si="36"/>
        <v>1311975.92</v>
      </c>
      <c r="E49" s="4">
        <f t="shared" si="36"/>
        <v>1372163.1</v>
      </c>
      <c r="F49" s="4">
        <f t="shared" si="36"/>
        <v>1512759.96</v>
      </c>
      <c r="G49" s="4">
        <f t="shared" ref="G49:K49" si="46">SUM(G105,G215,B160)</f>
        <v>1913434.3499999999</v>
      </c>
      <c r="H49" s="4">
        <f t="shared" si="46"/>
        <v>2378284.4500000002</v>
      </c>
      <c r="I49" s="4">
        <f t="shared" si="46"/>
        <v>2680945.5299999998</v>
      </c>
      <c r="J49" s="4">
        <f t="shared" si="46"/>
        <v>2904181.2399999998</v>
      </c>
      <c r="K49" s="4">
        <f t="shared" si="46"/>
        <v>3137739.1304347897</v>
      </c>
      <c r="L49" s="4"/>
    </row>
    <row r="50" spans="1:12" x14ac:dyDescent="0.25">
      <c r="A50" t="s">
        <v>50</v>
      </c>
      <c r="B50" s="4">
        <f t="shared" si="36"/>
        <v>4819171.9000000004</v>
      </c>
      <c r="C50" s="4">
        <f t="shared" si="36"/>
        <v>5532929.2300000004</v>
      </c>
      <c r="D50" s="4">
        <f t="shared" si="36"/>
        <v>6725980.8399999999</v>
      </c>
      <c r="E50" s="4">
        <f t="shared" si="36"/>
        <v>6945301.3599999994</v>
      </c>
      <c r="F50" s="4">
        <f t="shared" si="36"/>
        <v>7124771.3799999999</v>
      </c>
      <c r="G50" s="4">
        <f t="shared" ref="G50:K50" si="47">SUM(G106,G216,B161)</f>
        <v>10437383.559999999</v>
      </c>
      <c r="H50" s="4">
        <f t="shared" si="47"/>
        <v>12571824.32</v>
      </c>
      <c r="I50" s="4">
        <f t="shared" si="47"/>
        <v>13416090.539999999</v>
      </c>
      <c r="J50" s="4">
        <f t="shared" si="47"/>
        <v>13717228.770000001</v>
      </c>
      <c r="K50" s="4">
        <f t="shared" si="47"/>
        <v>15303652.173913041</v>
      </c>
      <c r="L50" s="4"/>
    </row>
    <row r="51" spans="1:12" x14ac:dyDescent="0.25">
      <c r="A51" t="s">
        <v>51</v>
      </c>
      <c r="B51" s="4">
        <f t="shared" si="36"/>
        <v>521335.42</v>
      </c>
      <c r="C51" s="4">
        <f t="shared" si="36"/>
        <v>710790.96</v>
      </c>
      <c r="D51" s="4">
        <f t="shared" si="36"/>
        <v>743826.76</v>
      </c>
      <c r="E51" s="4">
        <f t="shared" si="36"/>
        <v>860148.76</v>
      </c>
      <c r="F51" s="4">
        <f t="shared" si="36"/>
        <v>977567.04</v>
      </c>
      <c r="G51" s="4">
        <f t="shared" ref="G51:K51" si="48">SUM(G107,G217,B162)</f>
        <v>1404794.4</v>
      </c>
      <c r="H51" s="4">
        <f t="shared" si="48"/>
        <v>1578868.19</v>
      </c>
      <c r="I51" s="4">
        <f t="shared" si="48"/>
        <v>1746341.1400000001</v>
      </c>
      <c r="J51" s="4">
        <f t="shared" si="48"/>
        <v>1752842.1500000001</v>
      </c>
      <c r="K51" s="4">
        <f t="shared" si="48"/>
        <v>1963826.0869565229</v>
      </c>
      <c r="L51" s="4"/>
    </row>
    <row r="52" spans="1:12" x14ac:dyDescent="0.25">
      <c r="A52" t="s">
        <v>52</v>
      </c>
      <c r="B52" s="4">
        <f t="shared" si="36"/>
        <v>1195833.02</v>
      </c>
      <c r="C52" s="4">
        <f t="shared" si="36"/>
        <v>1552848.72</v>
      </c>
      <c r="D52" s="4">
        <f t="shared" si="36"/>
        <v>1873093.19</v>
      </c>
      <c r="E52" s="4">
        <f t="shared" si="36"/>
        <v>1814994.15</v>
      </c>
      <c r="F52" s="4">
        <f t="shared" si="36"/>
        <v>2004662.31</v>
      </c>
      <c r="G52" s="4">
        <f t="shared" ref="G52:K52" si="49">SUM(G108,G218,B163)</f>
        <v>2911975.25</v>
      </c>
      <c r="H52" s="4">
        <f t="shared" si="49"/>
        <v>3444070.29</v>
      </c>
      <c r="I52" s="4">
        <f t="shared" si="49"/>
        <v>3784960.75</v>
      </c>
      <c r="J52" s="4">
        <f t="shared" si="49"/>
        <v>4329925.88</v>
      </c>
      <c r="K52" s="4">
        <f t="shared" si="49"/>
        <v>4623652.1739130402</v>
      </c>
      <c r="L52" s="4"/>
    </row>
    <row r="53" spans="1:12" x14ac:dyDescent="0.25">
      <c r="A53" t="s">
        <v>53</v>
      </c>
      <c r="B53" s="4">
        <f t="shared" si="36"/>
        <v>83520.75</v>
      </c>
      <c r="C53" s="4">
        <f t="shared" si="36"/>
        <v>158596.59</v>
      </c>
      <c r="D53" s="4">
        <f t="shared" si="36"/>
        <v>211040.5</v>
      </c>
      <c r="E53" s="4">
        <f t="shared" si="36"/>
        <v>227489.94</v>
      </c>
      <c r="F53" s="4">
        <f t="shared" si="36"/>
        <v>254272.95</v>
      </c>
      <c r="G53" s="4">
        <f t="shared" ref="G53:K53" si="50">SUM(G109,G219,B164)</f>
        <v>190410.15999999997</v>
      </c>
      <c r="H53" s="4">
        <f t="shared" si="50"/>
        <v>158946.32</v>
      </c>
      <c r="I53" s="4">
        <f t="shared" si="50"/>
        <v>185482.47</v>
      </c>
      <c r="J53" s="4">
        <f t="shared" si="50"/>
        <v>212617.4</v>
      </c>
      <c r="K53" s="4">
        <f t="shared" si="50"/>
        <v>227478.26086956478</v>
      </c>
      <c r="L53" s="4"/>
    </row>
    <row r="54" spans="1:12" x14ac:dyDescent="0.25">
      <c r="A54" t="s">
        <v>54</v>
      </c>
      <c r="B54" s="4">
        <f t="shared" si="36"/>
        <v>1507171.76</v>
      </c>
      <c r="C54" s="4">
        <f t="shared" si="36"/>
        <v>1832169.38</v>
      </c>
      <c r="D54" s="4">
        <f t="shared" si="36"/>
        <v>2279084.7000000002</v>
      </c>
      <c r="E54" s="4">
        <f t="shared" si="36"/>
        <v>2530859.5099999998</v>
      </c>
      <c r="F54" s="4">
        <f t="shared" si="36"/>
        <v>2496311.46</v>
      </c>
      <c r="G54" s="4">
        <f t="shared" ref="G54:K54" si="51">SUM(G110,G220,B165)</f>
        <v>3660530.8200000003</v>
      </c>
      <c r="H54" s="4">
        <f t="shared" si="51"/>
        <v>4809590.3899999997</v>
      </c>
      <c r="I54" s="4">
        <f t="shared" si="51"/>
        <v>5173009.07</v>
      </c>
      <c r="J54" s="4">
        <f t="shared" si="51"/>
        <v>5087816.7300000004</v>
      </c>
      <c r="K54" s="4">
        <f t="shared" si="51"/>
        <v>5792347.8260869598</v>
      </c>
      <c r="L54" s="4"/>
    </row>
    <row r="55" spans="1:12" x14ac:dyDescent="0.25">
      <c r="A55" t="s">
        <v>55</v>
      </c>
      <c r="B55" s="4">
        <f t="shared" si="36"/>
        <v>796303.92999999993</v>
      </c>
      <c r="C55" s="4">
        <f t="shared" si="36"/>
        <v>1070697.73</v>
      </c>
      <c r="D55" s="4">
        <f t="shared" si="36"/>
        <v>1264253.73</v>
      </c>
      <c r="E55" s="4">
        <f t="shared" si="36"/>
        <v>1454678.95</v>
      </c>
      <c r="F55" s="4">
        <f t="shared" si="36"/>
        <v>1421902.97</v>
      </c>
      <c r="G55" s="4">
        <f t="shared" ref="G55:K55" si="52">SUM(G111,G221,B166)</f>
        <v>1836628.1600000001</v>
      </c>
      <c r="H55" s="4">
        <f t="shared" si="52"/>
        <v>2418478.7200000002</v>
      </c>
      <c r="I55" s="4">
        <f t="shared" si="52"/>
        <v>2543885.0500000003</v>
      </c>
      <c r="J55" s="4">
        <f t="shared" si="52"/>
        <v>2402438</v>
      </c>
      <c r="K55" s="4">
        <f t="shared" si="52"/>
        <v>2758956.5217391308</v>
      </c>
      <c r="L55" s="4"/>
    </row>
    <row r="56" spans="1:12" x14ac:dyDescent="0.25">
      <c r="A56" t="s">
        <v>56</v>
      </c>
      <c r="B56" s="4">
        <f t="shared" ref="B56:F57" si="53">SUM(B112,B222)</f>
        <v>139804.71</v>
      </c>
      <c r="C56" s="4">
        <f t="shared" si="53"/>
        <v>159744.53</v>
      </c>
      <c r="D56" s="4">
        <f t="shared" si="53"/>
        <v>251387.91000000003</v>
      </c>
      <c r="E56" s="4">
        <f t="shared" si="53"/>
        <v>310519.78000000003</v>
      </c>
      <c r="F56" s="4">
        <f t="shared" si="53"/>
        <v>278953.11</v>
      </c>
      <c r="G56" s="4">
        <f t="shared" ref="G56:K56" si="54">SUM(G112,G222,B167)</f>
        <v>431439.77</v>
      </c>
      <c r="H56" s="4">
        <f t="shared" si="54"/>
        <v>475652.63</v>
      </c>
      <c r="I56" s="4">
        <f t="shared" si="54"/>
        <v>564972.76</v>
      </c>
      <c r="J56" s="4">
        <f t="shared" si="54"/>
        <v>682265.57000000007</v>
      </c>
      <c r="K56" s="4">
        <f t="shared" si="54"/>
        <v>713739.13043478294</v>
      </c>
      <c r="L56" s="4"/>
    </row>
    <row r="57" spans="1:12" x14ac:dyDescent="0.25">
      <c r="A57" t="s">
        <v>57</v>
      </c>
      <c r="B57" s="4">
        <f t="shared" si="53"/>
        <v>118480.17</v>
      </c>
      <c r="C57" s="4">
        <f t="shared" si="53"/>
        <v>177218.78999999998</v>
      </c>
      <c r="D57" s="4">
        <f t="shared" si="53"/>
        <v>229088.26</v>
      </c>
      <c r="E57" s="4">
        <f t="shared" si="53"/>
        <v>223730.38</v>
      </c>
      <c r="F57" s="4">
        <f t="shared" si="53"/>
        <v>207010.51</v>
      </c>
      <c r="G57" s="4">
        <f t="shared" ref="G57:K57" si="55">SUM(G113,G223,B168)</f>
        <v>272353.31999999995</v>
      </c>
      <c r="H57" s="4">
        <f t="shared" si="55"/>
        <v>342720.81</v>
      </c>
      <c r="I57" s="4">
        <f t="shared" si="55"/>
        <v>348614.76</v>
      </c>
      <c r="J57" s="4">
        <f t="shared" si="55"/>
        <v>152678.69</v>
      </c>
      <c r="K57" s="4">
        <f t="shared" si="55"/>
        <v>282782.60869565257</v>
      </c>
      <c r="L57" s="4"/>
    </row>
    <row r="58" spans="1:12" x14ac:dyDescent="0.25">
      <c r="A58" t="s">
        <v>58</v>
      </c>
      <c r="B58" s="4">
        <f>SUM(B8:B57)</f>
        <v>45499722.590000004</v>
      </c>
      <c r="C58" s="4">
        <f t="shared" ref="C58:K58" si="56">SUM(C8:C57)</f>
        <v>57404039.170000002</v>
      </c>
      <c r="D58" s="4">
        <f t="shared" si="56"/>
        <v>70594348.510000005</v>
      </c>
      <c r="E58" s="4">
        <f t="shared" si="56"/>
        <v>76839972.870000005</v>
      </c>
      <c r="F58" s="4">
        <f t="shared" si="56"/>
        <v>81966720.519999996</v>
      </c>
      <c r="G58" s="4">
        <f t="shared" si="56"/>
        <v>115206947.86999996</v>
      </c>
      <c r="H58" s="4">
        <f t="shared" si="56"/>
        <v>138212716.28999999</v>
      </c>
      <c r="I58" s="4">
        <f t="shared" si="56"/>
        <v>150486634.98000002</v>
      </c>
      <c r="J58" s="4">
        <f t="shared" si="56"/>
        <v>155708737.78999993</v>
      </c>
      <c r="K58" s="4">
        <f t="shared" si="56"/>
        <v>172581913.04347822</v>
      </c>
      <c r="L58" s="4"/>
    </row>
    <row r="60" spans="1:12" x14ac:dyDescent="0.25">
      <c r="A60" t="s">
        <v>59</v>
      </c>
    </row>
    <row r="62" spans="1:12" x14ac:dyDescent="0.25">
      <c r="A62" t="s">
        <v>60</v>
      </c>
    </row>
    <row r="63" spans="1:12" x14ac:dyDescent="0.25">
      <c r="A63" t="s">
        <v>7</v>
      </c>
      <c r="B63">
        <v>2015</v>
      </c>
      <c r="C63">
        <f t="shared" ref="C63:J63" si="57">B63+1</f>
        <v>2016</v>
      </c>
      <c r="D63">
        <f t="shared" si="57"/>
        <v>2017</v>
      </c>
      <c r="E63">
        <f t="shared" si="57"/>
        <v>2018</v>
      </c>
      <c r="F63">
        <f t="shared" si="57"/>
        <v>2019</v>
      </c>
      <c r="G63">
        <f t="shared" si="57"/>
        <v>2020</v>
      </c>
      <c r="H63">
        <f t="shared" si="57"/>
        <v>2021</v>
      </c>
      <c r="I63">
        <f t="shared" si="57"/>
        <v>2022</v>
      </c>
      <c r="J63">
        <f t="shared" si="57"/>
        <v>2023</v>
      </c>
      <c r="K63" t="str">
        <f>K7</f>
        <v>Proj. 4/1/24- 3/31/25</v>
      </c>
    </row>
    <row r="64" spans="1:12" x14ac:dyDescent="0.25">
      <c r="A64" t="s">
        <v>8</v>
      </c>
      <c r="B64" s="4">
        <v>174499.16</v>
      </c>
      <c r="C64" s="4">
        <v>149515.01999999999</v>
      </c>
      <c r="D64" s="4">
        <v>165500.49</v>
      </c>
      <c r="E64" s="4">
        <v>177016.98</v>
      </c>
      <c r="F64" s="4">
        <v>174765.33</v>
      </c>
      <c r="G64" s="4">
        <v>113472.37</v>
      </c>
      <c r="H64" s="4">
        <v>127568.6</v>
      </c>
      <c r="I64" s="4">
        <v>63166.87</v>
      </c>
      <c r="J64" s="4">
        <v>77106.7</v>
      </c>
      <c r="K64" s="4">
        <v>77217.391304347795</v>
      </c>
      <c r="L64" s="4"/>
    </row>
    <row r="65" spans="1:12" x14ac:dyDescent="0.25">
      <c r="A65" t="s">
        <v>9</v>
      </c>
      <c r="B65" s="4">
        <v>330234.25</v>
      </c>
      <c r="C65" s="4">
        <v>298900.21999999997</v>
      </c>
      <c r="D65" s="4">
        <v>366308.09</v>
      </c>
      <c r="E65" s="4">
        <v>389495.73</v>
      </c>
      <c r="F65" s="4">
        <v>392553.06</v>
      </c>
      <c r="G65" s="4">
        <v>503271.07</v>
      </c>
      <c r="H65" s="4">
        <v>465264.08</v>
      </c>
      <c r="I65" s="4">
        <v>365791.45</v>
      </c>
      <c r="J65" s="4">
        <v>368747.29</v>
      </c>
      <c r="K65" s="4">
        <v>400695.65217391303</v>
      </c>
      <c r="L65" s="4"/>
    </row>
    <row r="66" spans="1:12" x14ac:dyDescent="0.25">
      <c r="A66" t="s">
        <v>10</v>
      </c>
      <c r="B66" s="4">
        <v>88154.57</v>
      </c>
      <c r="C66" s="4">
        <v>144432.03</v>
      </c>
      <c r="D66" s="4">
        <v>200546.76</v>
      </c>
      <c r="E66" s="4">
        <v>176390.05</v>
      </c>
      <c r="F66" s="4">
        <v>191990.39999999999</v>
      </c>
      <c r="G66" s="4">
        <v>416198.15</v>
      </c>
      <c r="H66" s="4">
        <v>412717.25</v>
      </c>
      <c r="I66" s="4">
        <v>319798.17</v>
      </c>
      <c r="J66" s="4">
        <v>362866.89</v>
      </c>
      <c r="K66" s="4">
        <v>374608.69565217401</v>
      </c>
      <c r="L66" s="4"/>
    </row>
    <row r="67" spans="1:12" x14ac:dyDescent="0.25">
      <c r="A67" t="s">
        <v>11</v>
      </c>
      <c r="B67" s="4">
        <v>516312.88</v>
      </c>
      <c r="C67" s="4">
        <v>500923.74</v>
      </c>
      <c r="D67" s="4">
        <v>782261.06</v>
      </c>
      <c r="E67" s="4">
        <v>941062.58</v>
      </c>
      <c r="F67" s="4">
        <v>1095115.75</v>
      </c>
      <c r="G67" s="4">
        <v>1352301.93</v>
      </c>
      <c r="H67" s="4">
        <v>1481391.64</v>
      </c>
      <c r="I67" s="4">
        <v>1504443.33</v>
      </c>
      <c r="J67" s="4">
        <v>1595636.3</v>
      </c>
      <c r="K67" s="4">
        <v>1647652.17391304</v>
      </c>
      <c r="L67" s="4"/>
    </row>
    <row r="68" spans="1:12" x14ac:dyDescent="0.25">
      <c r="A68" t="s">
        <v>12</v>
      </c>
      <c r="B68" s="4">
        <v>4757162.63</v>
      </c>
      <c r="C68" s="4">
        <v>4629743.0999999996</v>
      </c>
      <c r="D68" s="4">
        <v>6427005.4500000002</v>
      </c>
      <c r="E68" s="4">
        <v>6687595.8499999996</v>
      </c>
      <c r="F68" s="4">
        <v>7276359.79</v>
      </c>
      <c r="G68" s="4">
        <v>9390488.7300000004</v>
      </c>
      <c r="H68" s="4">
        <v>9349059.7200000007</v>
      </c>
      <c r="I68" s="4">
        <v>8786450.1899999995</v>
      </c>
      <c r="J68" s="4">
        <v>9541481.3699999992</v>
      </c>
      <c r="K68" s="4">
        <v>9938086.9565217402</v>
      </c>
      <c r="L68" s="4"/>
    </row>
    <row r="69" spans="1:12" x14ac:dyDescent="0.25">
      <c r="A69" t="s">
        <v>13</v>
      </c>
      <c r="B69" s="4">
        <v>537467.28</v>
      </c>
      <c r="C69" s="4">
        <v>633920.28</v>
      </c>
      <c r="D69" s="4">
        <v>731576.44</v>
      </c>
      <c r="E69" s="4">
        <v>819183.18</v>
      </c>
      <c r="F69" s="4">
        <v>910972.22</v>
      </c>
      <c r="G69" s="4">
        <v>1287202.8500000001</v>
      </c>
      <c r="H69" s="4">
        <v>1326517.97</v>
      </c>
      <c r="I69" s="4">
        <v>1305632.1499999999</v>
      </c>
      <c r="J69" s="4">
        <v>1347898.33</v>
      </c>
      <c r="K69" s="4">
        <v>1452521.7391304299</v>
      </c>
      <c r="L69" s="4"/>
    </row>
    <row r="70" spans="1:12" x14ac:dyDescent="0.25">
      <c r="A70" t="s">
        <v>14</v>
      </c>
      <c r="B70" s="4">
        <v>350032.48</v>
      </c>
      <c r="C70" s="4">
        <v>324355.63</v>
      </c>
      <c r="D70" s="4">
        <v>435006.95</v>
      </c>
      <c r="E70" s="4">
        <v>479178.15</v>
      </c>
      <c r="F70" s="4">
        <v>636440.68999999994</v>
      </c>
      <c r="G70" s="4">
        <v>778852.9</v>
      </c>
      <c r="H70" s="4">
        <v>929833.83</v>
      </c>
      <c r="I70" s="4">
        <v>960973.16</v>
      </c>
      <c r="J70" s="4">
        <v>983586.64</v>
      </c>
      <c r="K70" s="4">
        <v>1077913.04347826</v>
      </c>
      <c r="L70" s="4"/>
    </row>
    <row r="71" spans="1:12" x14ac:dyDescent="0.25">
      <c r="A71" t="s">
        <v>15</v>
      </c>
      <c r="B71" s="4">
        <v>113736.58</v>
      </c>
      <c r="C71" s="4">
        <v>45433.63</v>
      </c>
      <c r="D71" s="4">
        <v>124268.19</v>
      </c>
      <c r="E71" s="4">
        <v>124137.33</v>
      </c>
      <c r="F71" s="4">
        <v>126487.56</v>
      </c>
      <c r="G71" s="4">
        <v>95529.94</v>
      </c>
      <c r="H71" s="4">
        <v>118577.04</v>
      </c>
      <c r="I71" s="4">
        <v>153389.35999999999</v>
      </c>
      <c r="J71" s="4">
        <v>147854.87</v>
      </c>
      <c r="K71" s="4">
        <v>161739.130434783</v>
      </c>
      <c r="L71" s="4"/>
    </row>
    <row r="72" spans="1:12" x14ac:dyDescent="0.25">
      <c r="A72" t="s">
        <v>16</v>
      </c>
      <c r="B72" s="4">
        <v>72072.05</v>
      </c>
      <c r="C72" s="4">
        <v>96188.42</v>
      </c>
      <c r="D72" s="4">
        <v>147985.78</v>
      </c>
      <c r="E72" s="4">
        <v>103739.82</v>
      </c>
      <c r="F72" s="4">
        <v>74415.77</v>
      </c>
      <c r="G72" s="4">
        <v>153520.60999999999</v>
      </c>
      <c r="H72" s="4">
        <v>233921.17</v>
      </c>
      <c r="I72" s="4">
        <v>325733.17</v>
      </c>
      <c r="J72" s="4">
        <v>328947.27</v>
      </c>
      <c r="K72" s="4">
        <v>356869.56521739101</v>
      </c>
      <c r="L72" s="4"/>
    </row>
    <row r="73" spans="1:12" x14ac:dyDescent="0.25">
      <c r="A73" t="s">
        <v>17</v>
      </c>
      <c r="B73" s="4">
        <v>1651382.56</v>
      </c>
      <c r="C73" s="4">
        <v>1544385.02</v>
      </c>
      <c r="D73" s="4">
        <v>1876206.65</v>
      </c>
      <c r="E73" s="4">
        <v>2220156.9700000002</v>
      </c>
      <c r="F73" s="4">
        <v>2088281.3</v>
      </c>
      <c r="G73" s="4">
        <v>2919685.23</v>
      </c>
      <c r="H73" s="4">
        <v>2908710.01</v>
      </c>
      <c r="I73" s="4">
        <v>2769426.5</v>
      </c>
      <c r="J73" s="4">
        <v>3142051.03</v>
      </c>
      <c r="K73" s="4">
        <v>3269217.39130435</v>
      </c>
      <c r="L73" s="4"/>
    </row>
    <row r="74" spans="1:12" x14ac:dyDescent="0.25">
      <c r="A74" t="s">
        <v>18</v>
      </c>
      <c r="B74" s="4">
        <v>1051859.5</v>
      </c>
      <c r="C74" s="4">
        <v>958020.72</v>
      </c>
      <c r="D74" s="4">
        <v>1318955.55</v>
      </c>
      <c r="E74" s="4">
        <v>1461936.58</v>
      </c>
      <c r="F74" s="4">
        <v>1409492.53</v>
      </c>
      <c r="G74" s="4">
        <v>1779483.39</v>
      </c>
      <c r="H74" s="4">
        <v>1751606.74</v>
      </c>
      <c r="I74" s="4">
        <v>1736195.67</v>
      </c>
      <c r="J74" s="4">
        <v>1715788.63</v>
      </c>
      <c r="K74" s="4">
        <v>1902260.8695652201</v>
      </c>
      <c r="L74" s="4"/>
    </row>
    <row r="75" spans="1:12" x14ac:dyDescent="0.25">
      <c r="A75" t="s">
        <v>19</v>
      </c>
      <c r="B75" s="4">
        <v>313600.45</v>
      </c>
      <c r="C75" s="4">
        <v>359852.72</v>
      </c>
      <c r="D75" s="4">
        <v>357430.1</v>
      </c>
      <c r="E75" s="4">
        <v>439741.65</v>
      </c>
      <c r="F75" s="4">
        <v>392351.58</v>
      </c>
      <c r="G75" s="4">
        <v>495241.49</v>
      </c>
      <c r="H75" s="4">
        <v>493491.9</v>
      </c>
      <c r="I75" s="4">
        <v>508627</v>
      </c>
      <c r="J75" s="4">
        <v>551372.11</v>
      </c>
      <c r="K75" s="4">
        <v>574956.52173913002</v>
      </c>
      <c r="L75" s="4"/>
    </row>
    <row r="76" spans="1:12" x14ac:dyDescent="0.25">
      <c r="A76" t="s">
        <v>20</v>
      </c>
      <c r="B76" s="4">
        <v>150610.65</v>
      </c>
      <c r="C76" s="4">
        <v>149475.14000000001</v>
      </c>
      <c r="D76" s="4">
        <v>180988.98</v>
      </c>
      <c r="E76" s="4">
        <v>235866.1</v>
      </c>
      <c r="F76" s="4">
        <v>223653.19</v>
      </c>
      <c r="G76" s="4">
        <v>229581.73</v>
      </c>
      <c r="H76" s="4">
        <v>215217.49</v>
      </c>
      <c r="I76" s="4">
        <v>226762.47</v>
      </c>
      <c r="J76" s="4">
        <v>188285.5</v>
      </c>
      <c r="K76" s="4">
        <v>221217.39130434801</v>
      </c>
      <c r="L76" s="4"/>
    </row>
    <row r="77" spans="1:12" x14ac:dyDescent="0.25">
      <c r="A77" t="s">
        <v>21</v>
      </c>
      <c r="B77" s="4">
        <v>1152498.94</v>
      </c>
      <c r="C77" s="4">
        <v>1023426.6</v>
      </c>
      <c r="D77" s="4">
        <v>1337314.7</v>
      </c>
      <c r="E77" s="4">
        <v>1313644.23</v>
      </c>
      <c r="F77" s="4">
        <v>1484522.89</v>
      </c>
      <c r="G77" s="4">
        <v>2021625.53</v>
      </c>
      <c r="H77" s="4">
        <v>2033850.16</v>
      </c>
      <c r="I77" s="4">
        <v>2015499.28</v>
      </c>
      <c r="J77" s="4">
        <v>2471457.59</v>
      </c>
      <c r="K77" s="4">
        <v>2444869.5652173902</v>
      </c>
      <c r="L77" s="4"/>
    </row>
    <row r="78" spans="1:12" x14ac:dyDescent="0.25">
      <c r="A78" t="s">
        <v>22</v>
      </c>
      <c r="B78" s="4">
        <v>732815.84</v>
      </c>
      <c r="C78" s="4">
        <v>657141.67000000004</v>
      </c>
      <c r="D78" s="4">
        <v>752908.69</v>
      </c>
      <c r="E78" s="4">
        <v>805655.73</v>
      </c>
      <c r="F78" s="4">
        <v>788780.94</v>
      </c>
      <c r="G78" s="4">
        <v>898305.57</v>
      </c>
      <c r="H78" s="4">
        <v>922840.08</v>
      </c>
      <c r="I78" s="4">
        <v>906486.02</v>
      </c>
      <c r="J78" s="4">
        <v>1177590.03</v>
      </c>
      <c r="K78" s="4">
        <v>1143652.17391304</v>
      </c>
      <c r="L78" s="4"/>
    </row>
    <row r="79" spans="1:12" x14ac:dyDescent="0.25">
      <c r="A79" t="s">
        <v>23</v>
      </c>
      <c r="B79" s="4">
        <v>209806.49</v>
      </c>
      <c r="C79" s="4">
        <v>203454.19</v>
      </c>
      <c r="D79" s="4">
        <v>252857.77</v>
      </c>
      <c r="E79" s="4">
        <v>301457.09999999998</v>
      </c>
      <c r="F79" s="4">
        <v>331618.28999999998</v>
      </c>
      <c r="G79" s="4">
        <v>348942.48</v>
      </c>
      <c r="H79" s="4">
        <v>459414.95</v>
      </c>
      <c r="I79" s="4">
        <v>423487.9</v>
      </c>
      <c r="J79" s="4">
        <v>547312.63</v>
      </c>
      <c r="K79" s="4">
        <v>520695.65217391303</v>
      </c>
      <c r="L79" s="4"/>
    </row>
    <row r="80" spans="1:12" x14ac:dyDescent="0.25">
      <c r="A80" t="s">
        <v>24</v>
      </c>
      <c r="B80" s="4">
        <v>260061.24</v>
      </c>
      <c r="C80" s="4">
        <v>226375.54</v>
      </c>
      <c r="D80" s="4">
        <v>188674.8</v>
      </c>
      <c r="E80" s="4">
        <v>191969.04</v>
      </c>
      <c r="F80" s="4">
        <v>204257.3</v>
      </c>
      <c r="G80" s="4">
        <v>298504.92</v>
      </c>
      <c r="H80" s="4">
        <v>412911.81</v>
      </c>
      <c r="I80" s="4">
        <v>374322.19</v>
      </c>
      <c r="J80" s="4">
        <v>377682.35</v>
      </c>
      <c r="K80" s="4">
        <v>408000</v>
      </c>
      <c r="L80" s="4"/>
    </row>
    <row r="81" spans="1:12" x14ac:dyDescent="0.25">
      <c r="A81" t="s">
        <v>25</v>
      </c>
      <c r="B81" s="4">
        <v>372379.42</v>
      </c>
      <c r="C81" s="4">
        <v>336922.46</v>
      </c>
      <c r="D81" s="4">
        <v>433637.52</v>
      </c>
      <c r="E81" s="4">
        <v>466977.35</v>
      </c>
      <c r="F81" s="4">
        <v>473056.58</v>
      </c>
      <c r="G81" s="4">
        <v>560049.96</v>
      </c>
      <c r="H81" s="4">
        <v>581545.06000000006</v>
      </c>
      <c r="I81" s="4">
        <v>516754.54</v>
      </c>
      <c r="J81" s="4">
        <v>570754.47</v>
      </c>
      <c r="K81" s="4">
        <v>591652.17391304299</v>
      </c>
      <c r="L81" s="4"/>
    </row>
    <row r="82" spans="1:12" x14ac:dyDescent="0.25">
      <c r="A82" t="s">
        <v>26</v>
      </c>
      <c r="B82" s="4">
        <v>917884.31</v>
      </c>
      <c r="C82" s="4">
        <v>813157.9</v>
      </c>
      <c r="D82" s="4">
        <v>1106990.02</v>
      </c>
      <c r="E82" s="4">
        <v>990708.34</v>
      </c>
      <c r="F82" s="4">
        <v>1211163.99</v>
      </c>
      <c r="G82" s="4">
        <v>1237768.6299999999</v>
      </c>
      <c r="H82" s="4">
        <v>1203617.19</v>
      </c>
      <c r="I82" s="4">
        <v>1154952.68</v>
      </c>
      <c r="J82" s="4">
        <v>1380094.94</v>
      </c>
      <c r="K82" s="4">
        <v>1381565.2173913</v>
      </c>
      <c r="L82" s="4"/>
    </row>
    <row r="83" spans="1:12" x14ac:dyDescent="0.25">
      <c r="A83" t="s">
        <v>27</v>
      </c>
      <c r="B83" s="4">
        <v>629641.37</v>
      </c>
      <c r="C83" s="4">
        <v>608027.54</v>
      </c>
      <c r="D83" s="4">
        <v>758493.54</v>
      </c>
      <c r="E83" s="4">
        <v>714449.14</v>
      </c>
      <c r="F83" s="4">
        <v>737253.09</v>
      </c>
      <c r="G83" s="4">
        <v>1065252.05</v>
      </c>
      <c r="H83" s="4">
        <v>1101317.82</v>
      </c>
      <c r="I83" s="4">
        <v>1119932.3400000001</v>
      </c>
      <c r="J83" s="4">
        <v>1184915.97</v>
      </c>
      <c r="K83" s="4">
        <v>1252173.9130434799</v>
      </c>
      <c r="L83" s="4"/>
    </row>
    <row r="84" spans="1:12" x14ac:dyDescent="0.25">
      <c r="A84" t="s">
        <v>28</v>
      </c>
      <c r="B84" s="4">
        <v>71197.259999999995</v>
      </c>
      <c r="C84" s="4">
        <v>48067.03</v>
      </c>
      <c r="D84" s="4">
        <v>74480.45</v>
      </c>
      <c r="E84" s="4">
        <v>105577.64</v>
      </c>
      <c r="F84" s="4">
        <v>109637.62</v>
      </c>
      <c r="G84" s="4">
        <v>107606.64</v>
      </c>
      <c r="H84" s="4">
        <v>102654.64</v>
      </c>
      <c r="I84" s="4">
        <v>128784.35</v>
      </c>
      <c r="J84" s="4">
        <v>193466.72</v>
      </c>
      <c r="K84" s="4">
        <v>175304.347826087</v>
      </c>
      <c r="L84" s="4"/>
    </row>
    <row r="85" spans="1:12" x14ac:dyDescent="0.25">
      <c r="A85" t="s">
        <v>29</v>
      </c>
      <c r="B85" s="4">
        <v>674683.49</v>
      </c>
      <c r="C85" s="4">
        <v>667375.67000000004</v>
      </c>
      <c r="D85" s="4">
        <v>907908</v>
      </c>
      <c r="E85" s="4">
        <v>879200.57</v>
      </c>
      <c r="F85" s="4">
        <v>997739.81</v>
      </c>
      <c r="G85" s="4">
        <v>1190977.32</v>
      </c>
      <c r="H85" s="4">
        <v>1101452.5</v>
      </c>
      <c r="I85" s="4">
        <v>1108679.6000000001</v>
      </c>
      <c r="J85" s="4">
        <v>1235276.93</v>
      </c>
      <c r="K85" s="4">
        <v>1258434.7826087</v>
      </c>
      <c r="L85" s="4"/>
    </row>
    <row r="86" spans="1:12" x14ac:dyDescent="0.25">
      <c r="A86" t="s">
        <v>30</v>
      </c>
      <c r="B86" s="4">
        <v>560386.68000000005</v>
      </c>
      <c r="C86" s="4">
        <v>574388.77</v>
      </c>
      <c r="D86" s="4">
        <v>740660.64</v>
      </c>
      <c r="E86" s="4">
        <v>804209.84</v>
      </c>
      <c r="F86" s="4">
        <v>748464.95</v>
      </c>
      <c r="G86" s="4">
        <v>900520.37</v>
      </c>
      <c r="H86" s="4">
        <v>995243.87</v>
      </c>
      <c r="I86" s="4">
        <v>823707.64</v>
      </c>
      <c r="J86" s="4">
        <v>890052.23</v>
      </c>
      <c r="K86" s="4">
        <v>910956.52173913002</v>
      </c>
      <c r="L86" s="4"/>
    </row>
    <row r="87" spans="1:12" x14ac:dyDescent="0.25">
      <c r="A87" t="s">
        <v>31</v>
      </c>
      <c r="B87" s="4">
        <v>612332.96</v>
      </c>
      <c r="C87" s="4">
        <v>585007.52</v>
      </c>
      <c r="D87" s="4">
        <v>792555.77</v>
      </c>
      <c r="E87" s="4">
        <v>822558.03</v>
      </c>
      <c r="F87" s="4">
        <v>931802.62</v>
      </c>
      <c r="G87" s="4">
        <v>1107668.74</v>
      </c>
      <c r="H87" s="4">
        <v>1148001.2</v>
      </c>
      <c r="I87" s="4">
        <v>1033724.32</v>
      </c>
      <c r="J87" s="4">
        <v>1316508.22</v>
      </c>
      <c r="K87" s="4">
        <v>1299130.43478261</v>
      </c>
      <c r="L87" s="4"/>
    </row>
    <row r="88" spans="1:12" x14ac:dyDescent="0.25">
      <c r="A88" t="s">
        <v>32</v>
      </c>
      <c r="B88" s="4">
        <v>141290.01</v>
      </c>
      <c r="C88" s="4">
        <v>128083.04</v>
      </c>
      <c r="D88" s="4">
        <v>179115.5</v>
      </c>
      <c r="E88" s="4">
        <v>256980.53</v>
      </c>
      <c r="F88" s="4">
        <v>220857.79</v>
      </c>
      <c r="G88" s="4">
        <v>309771.86</v>
      </c>
      <c r="H88" s="4">
        <v>349549.73</v>
      </c>
      <c r="I88" s="4">
        <v>366334.2</v>
      </c>
      <c r="J88" s="4">
        <v>442107.28</v>
      </c>
      <c r="K88" s="4">
        <v>441391.30434782599</v>
      </c>
      <c r="L88" s="4"/>
    </row>
    <row r="89" spans="1:12" x14ac:dyDescent="0.25">
      <c r="A89" t="s">
        <v>33</v>
      </c>
      <c r="B89" s="4">
        <v>145693.01999999999</v>
      </c>
      <c r="C89" s="4">
        <v>161821.18</v>
      </c>
      <c r="D89" s="4">
        <v>138538.47</v>
      </c>
      <c r="E89" s="4">
        <v>160595.57</v>
      </c>
      <c r="F89" s="4">
        <v>103815.42</v>
      </c>
      <c r="G89" s="4">
        <v>192691.37</v>
      </c>
      <c r="H89" s="4">
        <v>236017.19</v>
      </c>
      <c r="I89" s="4">
        <v>177737.12</v>
      </c>
      <c r="J89" s="4">
        <v>182811.01</v>
      </c>
      <c r="K89" s="4">
        <v>190956.52173913</v>
      </c>
      <c r="L89" s="4"/>
    </row>
    <row r="90" spans="1:12" x14ac:dyDescent="0.25">
      <c r="A90" t="s">
        <v>34</v>
      </c>
      <c r="B90" s="4">
        <v>1205672.17</v>
      </c>
      <c r="C90" s="4">
        <v>1179158.8600000001</v>
      </c>
      <c r="D90" s="4">
        <v>1253781.8600000001</v>
      </c>
      <c r="E90" s="4">
        <v>1408159.18</v>
      </c>
      <c r="F90" s="4">
        <v>1451055.68</v>
      </c>
      <c r="G90" s="4">
        <v>1742452.46</v>
      </c>
      <c r="H90" s="4">
        <v>1630298.52</v>
      </c>
      <c r="I90" s="4">
        <v>1647417.33</v>
      </c>
      <c r="J90" s="4">
        <v>1695879.4</v>
      </c>
      <c r="K90" s="4">
        <v>1805217.39130435</v>
      </c>
      <c r="L90" s="4"/>
    </row>
    <row r="91" spans="1:12" x14ac:dyDescent="0.25">
      <c r="A91" t="s">
        <v>35</v>
      </c>
      <c r="B91" s="4">
        <v>129457</v>
      </c>
      <c r="C91" s="4">
        <v>99920.91</v>
      </c>
      <c r="D91" s="4">
        <v>78920.84</v>
      </c>
      <c r="E91" s="4">
        <v>86141.2</v>
      </c>
      <c r="F91" s="4">
        <v>81006.83</v>
      </c>
      <c r="G91" s="4">
        <v>73113.55</v>
      </c>
      <c r="H91" s="4">
        <v>117126.81</v>
      </c>
      <c r="I91" s="4">
        <v>114205.6</v>
      </c>
      <c r="J91" s="4">
        <v>159177.23000000001</v>
      </c>
      <c r="K91" s="4">
        <v>150260.869565217</v>
      </c>
      <c r="L91" s="4"/>
    </row>
    <row r="92" spans="1:12" x14ac:dyDescent="0.25">
      <c r="A92" t="s">
        <v>36</v>
      </c>
      <c r="B92" s="4">
        <v>264177.39</v>
      </c>
      <c r="C92" s="4">
        <v>255167.29</v>
      </c>
      <c r="D92" s="4">
        <v>280263</v>
      </c>
      <c r="E92" s="4">
        <v>367071.08</v>
      </c>
      <c r="F92" s="4">
        <v>269497.18</v>
      </c>
      <c r="G92" s="4">
        <v>293084.83</v>
      </c>
      <c r="H92" s="4">
        <v>312919.24</v>
      </c>
      <c r="I92" s="4">
        <v>284748.58</v>
      </c>
      <c r="J92" s="4">
        <v>474879.5</v>
      </c>
      <c r="K92" s="4">
        <v>415304.34782608697</v>
      </c>
      <c r="L92" s="4"/>
    </row>
    <row r="93" spans="1:12" x14ac:dyDescent="0.25">
      <c r="A93" t="s">
        <v>37</v>
      </c>
      <c r="B93" s="4">
        <v>188710.71</v>
      </c>
      <c r="C93" s="4">
        <v>151699.25</v>
      </c>
      <c r="D93" s="4">
        <v>171114.66</v>
      </c>
      <c r="E93" s="4">
        <v>135794.29999999999</v>
      </c>
      <c r="F93" s="4">
        <v>175035.16</v>
      </c>
      <c r="G93" s="4">
        <v>257442.21</v>
      </c>
      <c r="H93" s="4">
        <v>267790.33</v>
      </c>
      <c r="I93" s="4">
        <v>260240.78</v>
      </c>
      <c r="J93" s="4">
        <v>244146.49</v>
      </c>
      <c r="K93" s="4">
        <v>269217.39130434801</v>
      </c>
      <c r="L93" s="4"/>
    </row>
    <row r="94" spans="1:12" x14ac:dyDescent="0.25">
      <c r="A94" t="s">
        <v>38</v>
      </c>
      <c r="B94" s="4">
        <v>908060.79</v>
      </c>
      <c r="C94" s="4">
        <v>897407.37</v>
      </c>
      <c r="D94" s="4">
        <v>1221217.1299999999</v>
      </c>
      <c r="E94" s="4">
        <v>1357445.95</v>
      </c>
      <c r="F94" s="4">
        <v>1530725.69</v>
      </c>
      <c r="G94" s="4">
        <v>1815525.98</v>
      </c>
      <c r="H94" s="4">
        <v>1883510.47</v>
      </c>
      <c r="I94" s="4">
        <v>1657363.05</v>
      </c>
      <c r="J94" s="4">
        <v>1927785.47</v>
      </c>
      <c r="K94" s="4">
        <v>1995130.43478261</v>
      </c>
      <c r="L94" s="4"/>
    </row>
    <row r="95" spans="1:12" x14ac:dyDescent="0.25">
      <c r="A95" t="s">
        <v>39</v>
      </c>
      <c r="B95" s="4">
        <v>44802.59</v>
      </c>
      <c r="C95" s="4">
        <v>52015.57</v>
      </c>
      <c r="D95" s="4">
        <v>121765.97</v>
      </c>
      <c r="E95" s="4">
        <v>158855.75</v>
      </c>
      <c r="F95" s="4">
        <v>217284.34</v>
      </c>
      <c r="G95" s="4">
        <v>255286.67</v>
      </c>
      <c r="H95" s="4">
        <v>234957.13</v>
      </c>
      <c r="I95" s="4">
        <v>272426.11</v>
      </c>
      <c r="J95" s="4">
        <v>305022.3</v>
      </c>
      <c r="K95" s="4">
        <v>314086.95652173902</v>
      </c>
      <c r="L95" s="4"/>
    </row>
    <row r="96" spans="1:12" x14ac:dyDescent="0.25">
      <c r="A96" t="s">
        <v>40</v>
      </c>
      <c r="B96" s="4">
        <v>296398.31</v>
      </c>
      <c r="C96" s="4">
        <v>400121.32</v>
      </c>
      <c r="D96" s="4">
        <v>369485.41</v>
      </c>
      <c r="E96" s="4">
        <v>332838.21999999997</v>
      </c>
      <c r="F96" s="4">
        <v>293374.02</v>
      </c>
      <c r="G96" s="4">
        <v>449262.09</v>
      </c>
      <c r="H96" s="4">
        <v>466660.34</v>
      </c>
      <c r="I96" s="4">
        <v>430399.43</v>
      </c>
      <c r="J96" s="4">
        <v>508373.18</v>
      </c>
      <c r="K96" s="4">
        <v>510260.869565217</v>
      </c>
      <c r="L96" s="4"/>
    </row>
    <row r="97" spans="1:12" x14ac:dyDescent="0.25">
      <c r="A97" t="s">
        <v>41</v>
      </c>
      <c r="B97" s="4">
        <v>2664323.35</v>
      </c>
      <c r="C97" s="4">
        <v>2437233.69</v>
      </c>
      <c r="D97" s="4">
        <v>2832600.87</v>
      </c>
      <c r="E97" s="4">
        <v>3352170.23</v>
      </c>
      <c r="F97" s="4">
        <v>3676988.51</v>
      </c>
      <c r="G97" s="4">
        <v>4893082.75</v>
      </c>
      <c r="H97" s="4">
        <v>4998404.8899999997</v>
      </c>
      <c r="I97" s="4">
        <v>4365557.3600000003</v>
      </c>
      <c r="J97" s="4">
        <v>5168193.66</v>
      </c>
      <c r="K97" s="4">
        <v>5294608.6956521701</v>
      </c>
      <c r="L97" s="4"/>
    </row>
    <row r="98" spans="1:12" x14ac:dyDescent="0.25">
      <c r="A98" t="s">
        <v>42</v>
      </c>
      <c r="B98" s="4">
        <v>1128436.95</v>
      </c>
      <c r="C98" s="4">
        <v>1141384.03</v>
      </c>
      <c r="D98" s="4">
        <v>1626306.15</v>
      </c>
      <c r="E98" s="4">
        <v>1501974.66</v>
      </c>
      <c r="F98" s="4">
        <v>1487474.8</v>
      </c>
      <c r="G98" s="4">
        <v>1977200.6399999999</v>
      </c>
      <c r="H98" s="4">
        <v>1997469</v>
      </c>
      <c r="I98" s="4">
        <v>1946606.19</v>
      </c>
      <c r="J98" s="4">
        <v>2222944.9900000002</v>
      </c>
      <c r="K98" s="4">
        <v>2275826.0869565201</v>
      </c>
      <c r="L98" s="4"/>
    </row>
    <row r="99" spans="1:12" x14ac:dyDescent="0.25">
      <c r="A99" t="s">
        <v>43</v>
      </c>
      <c r="B99" s="4">
        <v>245174.07</v>
      </c>
      <c r="C99" s="4">
        <v>237555.88</v>
      </c>
      <c r="D99" s="4">
        <v>371530.59</v>
      </c>
      <c r="E99" s="4">
        <v>453363.81</v>
      </c>
      <c r="F99" s="4">
        <v>489254.49</v>
      </c>
      <c r="G99" s="4">
        <v>591571.31999999995</v>
      </c>
      <c r="H99" s="4">
        <v>616177.43000000005</v>
      </c>
      <c r="I99" s="4">
        <v>545338.89</v>
      </c>
      <c r="J99" s="4">
        <v>735042.56000000006</v>
      </c>
      <c r="K99" s="4">
        <v>688695.65217391297</v>
      </c>
      <c r="L99" s="4"/>
    </row>
    <row r="100" spans="1:12" x14ac:dyDescent="0.25">
      <c r="A100" t="s">
        <v>44</v>
      </c>
      <c r="B100" s="4">
        <v>475484.82</v>
      </c>
      <c r="C100" s="4">
        <v>413543.52</v>
      </c>
      <c r="D100" s="4">
        <v>391115.32</v>
      </c>
      <c r="E100" s="4">
        <v>537385.92000000004</v>
      </c>
      <c r="F100" s="4">
        <v>493570.45</v>
      </c>
      <c r="G100" s="4">
        <v>717249.51</v>
      </c>
      <c r="H100" s="4">
        <v>671021.47</v>
      </c>
      <c r="I100" s="4">
        <v>796648.85</v>
      </c>
      <c r="J100" s="4">
        <v>853815.4</v>
      </c>
      <c r="K100" s="4">
        <v>908869.56521739101</v>
      </c>
      <c r="L100" s="4"/>
    </row>
    <row r="101" spans="1:12" x14ac:dyDescent="0.25">
      <c r="A101" t="s">
        <v>45</v>
      </c>
      <c r="B101" s="4">
        <v>907297.69</v>
      </c>
      <c r="C101" s="4">
        <v>949601.45</v>
      </c>
      <c r="D101" s="4">
        <v>1269645.6399999999</v>
      </c>
      <c r="E101" s="4">
        <v>1538069.18</v>
      </c>
      <c r="F101" s="4">
        <v>1672058.71</v>
      </c>
      <c r="G101" s="4">
        <v>2185769.08</v>
      </c>
      <c r="H101" s="4">
        <v>2286478.15</v>
      </c>
      <c r="I101" s="4">
        <v>2043140.82</v>
      </c>
      <c r="J101" s="4">
        <v>1925292.39</v>
      </c>
      <c r="K101" s="4">
        <v>2172521.7391304299</v>
      </c>
      <c r="L101" s="4"/>
    </row>
    <row r="102" spans="1:12" x14ac:dyDescent="0.25">
      <c r="A102" t="s">
        <v>46</v>
      </c>
      <c r="B102" s="4">
        <v>58146.42</v>
      </c>
      <c r="C102" s="4">
        <v>63579.06</v>
      </c>
      <c r="D102" s="4">
        <v>75515.899999999994</v>
      </c>
      <c r="E102" s="4">
        <v>86866.2</v>
      </c>
      <c r="F102" s="4">
        <v>68232.95</v>
      </c>
      <c r="G102" s="4">
        <v>112843.19</v>
      </c>
      <c r="H102" s="4">
        <v>142696.74</v>
      </c>
      <c r="I102" s="4">
        <v>114189.16</v>
      </c>
      <c r="J102" s="4">
        <v>114582.98</v>
      </c>
      <c r="K102" s="4">
        <v>125217.391304348</v>
      </c>
      <c r="L102" s="4"/>
    </row>
    <row r="103" spans="1:12" x14ac:dyDescent="0.25">
      <c r="A103" t="s">
        <v>47</v>
      </c>
      <c r="B103" s="4">
        <v>493037.86</v>
      </c>
      <c r="C103" s="4">
        <v>488382.3</v>
      </c>
      <c r="D103" s="4">
        <v>753917.32</v>
      </c>
      <c r="E103" s="4">
        <v>827107.79</v>
      </c>
      <c r="F103" s="4">
        <v>735603.73</v>
      </c>
      <c r="G103" s="4">
        <v>815610.63</v>
      </c>
      <c r="H103" s="4">
        <v>683139.03</v>
      </c>
      <c r="I103" s="4">
        <v>780456.07</v>
      </c>
      <c r="J103" s="4">
        <v>816295.47</v>
      </c>
      <c r="K103" s="4">
        <v>881739.13043478294</v>
      </c>
      <c r="L103" s="4"/>
    </row>
    <row r="104" spans="1:12" x14ac:dyDescent="0.25">
      <c r="A104" t="s">
        <v>48</v>
      </c>
      <c r="B104" s="4">
        <v>29089.599999999999</v>
      </c>
      <c r="C104" s="4">
        <v>64409.71</v>
      </c>
      <c r="D104" s="4">
        <v>89677.98</v>
      </c>
      <c r="E104" s="4">
        <v>75969.37</v>
      </c>
      <c r="F104" s="4">
        <v>50850.52</v>
      </c>
      <c r="G104" s="4">
        <v>47590.75</v>
      </c>
      <c r="H104" s="4">
        <v>94247.64</v>
      </c>
      <c r="I104" s="4">
        <v>99014.83</v>
      </c>
      <c r="J104" s="4">
        <v>134102.23000000001</v>
      </c>
      <c r="K104" s="4">
        <v>128347.82608695699</v>
      </c>
      <c r="L104" s="4"/>
    </row>
    <row r="105" spans="1:12" x14ac:dyDescent="0.25">
      <c r="A105" t="s">
        <v>49</v>
      </c>
      <c r="B105" s="4">
        <v>621144.44999999995</v>
      </c>
      <c r="C105" s="4">
        <v>647149.16</v>
      </c>
      <c r="D105" s="4">
        <v>655027.82999999996</v>
      </c>
      <c r="E105" s="4">
        <v>711980.1</v>
      </c>
      <c r="F105" s="4">
        <v>753618.66</v>
      </c>
      <c r="G105" s="4">
        <v>876887.85</v>
      </c>
      <c r="H105" s="4">
        <v>897139.85</v>
      </c>
      <c r="I105" s="4">
        <v>902474.95</v>
      </c>
      <c r="J105" s="4">
        <v>1071414.4099999999</v>
      </c>
      <c r="K105" s="4">
        <v>1060173.9130434799</v>
      </c>
      <c r="L105" s="4"/>
    </row>
    <row r="106" spans="1:12" x14ac:dyDescent="0.25">
      <c r="A106" t="s">
        <v>50</v>
      </c>
      <c r="B106" s="4">
        <v>3326571.65</v>
      </c>
      <c r="C106" s="4">
        <v>3080490.55</v>
      </c>
      <c r="D106" s="4">
        <v>3883062.98</v>
      </c>
      <c r="E106" s="4">
        <v>3969411.6</v>
      </c>
      <c r="F106" s="4">
        <v>4200574.3</v>
      </c>
      <c r="G106" s="4">
        <v>5476085.4199999999</v>
      </c>
      <c r="H106" s="4">
        <v>5784361.8499999996</v>
      </c>
      <c r="I106" s="4">
        <v>5214750.97</v>
      </c>
      <c r="J106" s="4">
        <v>5680964.6600000001</v>
      </c>
      <c r="K106" s="4">
        <v>6029217.3913043505</v>
      </c>
      <c r="L106" s="4"/>
    </row>
    <row r="107" spans="1:12" x14ac:dyDescent="0.25">
      <c r="A107" t="s">
        <v>51</v>
      </c>
      <c r="B107" s="4">
        <v>416464.37</v>
      </c>
      <c r="C107" s="4">
        <v>361115.17</v>
      </c>
      <c r="D107" s="4">
        <v>428878.67</v>
      </c>
      <c r="E107" s="4">
        <v>504331.04</v>
      </c>
      <c r="F107" s="4">
        <v>591288.77</v>
      </c>
      <c r="G107" s="4">
        <v>788775.37</v>
      </c>
      <c r="H107" s="4">
        <v>802811.99</v>
      </c>
      <c r="I107" s="4">
        <v>836859.55</v>
      </c>
      <c r="J107" s="4">
        <v>811169.9</v>
      </c>
      <c r="K107" s="4">
        <v>905739.13043478294</v>
      </c>
      <c r="L107" s="4"/>
    </row>
    <row r="108" spans="1:12" x14ac:dyDescent="0.25">
      <c r="A108" t="s">
        <v>52</v>
      </c>
      <c r="B108" s="4">
        <v>827282.28</v>
      </c>
      <c r="C108" s="4">
        <v>710325.88</v>
      </c>
      <c r="D108" s="4">
        <v>918802.78</v>
      </c>
      <c r="E108" s="4">
        <v>954876.48</v>
      </c>
      <c r="F108" s="4">
        <v>1184179.18</v>
      </c>
      <c r="G108" s="4">
        <v>1461900.92</v>
      </c>
      <c r="H108" s="4">
        <v>1383254.78</v>
      </c>
      <c r="I108" s="4">
        <v>1312522.02</v>
      </c>
      <c r="J108" s="4">
        <v>1693348.06</v>
      </c>
      <c r="K108" s="4">
        <v>1664347.82608696</v>
      </c>
      <c r="L108" s="4"/>
    </row>
    <row r="109" spans="1:12" x14ac:dyDescent="0.25">
      <c r="A109" t="s">
        <v>53</v>
      </c>
      <c r="B109" s="4">
        <v>49990.73</v>
      </c>
      <c r="C109" s="4">
        <v>36801.050000000003</v>
      </c>
      <c r="D109" s="4">
        <v>43628.92</v>
      </c>
      <c r="E109" s="4">
        <v>48597.98</v>
      </c>
      <c r="F109" s="4">
        <v>77525.710000000006</v>
      </c>
      <c r="G109" s="4">
        <v>57246.95</v>
      </c>
      <c r="H109" s="4">
        <v>41092.18</v>
      </c>
      <c r="I109" s="4">
        <v>37034.9</v>
      </c>
      <c r="J109" s="4">
        <v>65208.57</v>
      </c>
      <c r="K109" s="4">
        <v>56347.826086956498</v>
      </c>
      <c r="L109" s="4"/>
    </row>
    <row r="110" spans="1:12" x14ac:dyDescent="0.25">
      <c r="A110" t="s">
        <v>54</v>
      </c>
      <c r="B110" s="4">
        <v>1121337.43</v>
      </c>
      <c r="C110" s="4">
        <v>1044406.43</v>
      </c>
      <c r="D110" s="4">
        <v>1340465.17</v>
      </c>
      <c r="E110" s="4">
        <v>1490430.07</v>
      </c>
      <c r="F110" s="4">
        <v>1450586.83</v>
      </c>
      <c r="G110" s="4">
        <v>1912980.35</v>
      </c>
      <c r="H110" s="4">
        <v>2093979.76</v>
      </c>
      <c r="I110" s="4">
        <v>1893380.87</v>
      </c>
      <c r="J110" s="4">
        <v>2075675.79</v>
      </c>
      <c r="K110" s="4">
        <v>2184000</v>
      </c>
      <c r="L110" s="4"/>
    </row>
    <row r="111" spans="1:12" x14ac:dyDescent="0.25">
      <c r="A111" t="s">
        <v>55</v>
      </c>
      <c r="B111" s="4">
        <v>469635.83</v>
      </c>
      <c r="C111" s="4">
        <v>480260.58</v>
      </c>
      <c r="D111" s="4">
        <v>624424.85</v>
      </c>
      <c r="E111" s="4">
        <v>695958.45</v>
      </c>
      <c r="F111" s="4">
        <v>695615.6</v>
      </c>
      <c r="G111" s="4">
        <v>839012.05</v>
      </c>
      <c r="H111" s="4">
        <v>822343.04</v>
      </c>
      <c r="I111" s="4">
        <v>759777.56</v>
      </c>
      <c r="J111" s="4">
        <v>848564.85</v>
      </c>
      <c r="K111" s="4">
        <v>884869.56521739101</v>
      </c>
      <c r="L111" s="4"/>
    </row>
    <row r="112" spans="1:12" x14ac:dyDescent="0.25">
      <c r="A112" t="s">
        <v>56</v>
      </c>
      <c r="B112" s="4">
        <v>101356.36</v>
      </c>
      <c r="C112" s="4">
        <v>97066.63</v>
      </c>
      <c r="D112" s="4">
        <v>171974.39</v>
      </c>
      <c r="E112" s="4">
        <v>223501.15</v>
      </c>
      <c r="F112" s="4">
        <v>183810.33</v>
      </c>
      <c r="G112" s="4">
        <v>252964.88</v>
      </c>
      <c r="H112" s="4">
        <v>222654.85</v>
      </c>
      <c r="I112" s="4">
        <v>166436.14000000001</v>
      </c>
      <c r="J112" s="4">
        <v>227099.57</v>
      </c>
      <c r="K112" s="4">
        <v>217043.47826087</v>
      </c>
      <c r="L112" s="4"/>
    </row>
    <row r="113" spans="1:12" x14ac:dyDescent="0.25">
      <c r="A113" t="s">
        <v>57</v>
      </c>
      <c r="B113" s="4">
        <v>86856.04</v>
      </c>
      <c r="C113" s="4">
        <v>103598.98</v>
      </c>
      <c r="D113" s="4">
        <v>129698.8</v>
      </c>
      <c r="E113" s="4">
        <v>137387.41</v>
      </c>
      <c r="F113" s="4">
        <v>118936.56</v>
      </c>
      <c r="G113" s="4">
        <v>150452.07999999999</v>
      </c>
      <c r="H113" s="4">
        <v>164577.82999999999</v>
      </c>
      <c r="I113" s="4">
        <v>152392.81</v>
      </c>
      <c r="J113" s="4">
        <v>41650.089999999997</v>
      </c>
      <c r="K113" s="4">
        <v>104347.82608695699</v>
      </c>
      <c r="L113" s="4"/>
    </row>
    <row r="114" spans="1:12" x14ac:dyDescent="0.25">
      <c r="A114" t="s">
        <v>58</v>
      </c>
      <c r="B114" s="4">
        <f>SUM(B64:B113)</f>
        <v>32646704.93</v>
      </c>
      <c r="C114" s="4">
        <f t="shared" ref="C114:K114" si="58">SUM(C64:C113)</f>
        <v>31260789.419999998</v>
      </c>
      <c r="D114" s="4">
        <f t="shared" si="58"/>
        <v>39880999.389999993</v>
      </c>
      <c r="E114" s="4">
        <f t="shared" si="58"/>
        <v>43025171.199999996</v>
      </c>
      <c r="F114" s="4">
        <f t="shared" si="58"/>
        <v>45283999.459999993</v>
      </c>
      <c r="G114" s="4">
        <f t="shared" si="58"/>
        <v>57797907.360000007</v>
      </c>
      <c r="H114" s="4">
        <f t="shared" si="58"/>
        <v>59077406.960000001</v>
      </c>
      <c r="I114" s="4">
        <f t="shared" si="58"/>
        <v>55810174.490000002</v>
      </c>
      <c r="J114" s="4">
        <f t="shared" si="58"/>
        <v>62122282.449999981</v>
      </c>
      <c r="K114" s="4">
        <f t="shared" si="58"/>
        <v>64515130.434782594</v>
      </c>
      <c r="L114" s="4"/>
    </row>
    <row r="115" spans="1:12" x14ac:dyDescent="0.25">
      <c r="A115" t="s">
        <v>59</v>
      </c>
    </row>
    <row r="117" spans="1:12" x14ac:dyDescent="0.25">
      <c r="A117" t="s">
        <v>61</v>
      </c>
    </row>
    <row r="118" spans="1:12" x14ac:dyDescent="0.25">
      <c r="A118" t="s">
        <v>7</v>
      </c>
      <c r="B118">
        <v>2020</v>
      </c>
      <c r="C118">
        <v>2021</v>
      </c>
      <c r="D118">
        <v>2022</v>
      </c>
      <c r="E118">
        <f t="shared" ref="E118" si="59">D118+1</f>
        <v>2023</v>
      </c>
      <c r="F118" t="str">
        <f>K63</f>
        <v>Proj. 4/1/24- 3/31/25</v>
      </c>
    </row>
    <row r="119" spans="1:12" x14ac:dyDescent="0.25">
      <c r="A119" t="s">
        <v>8</v>
      </c>
      <c r="B119" s="4">
        <v>66358.58</v>
      </c>
      <c r="C119" s="4">
        <v>105374.07</v>
      </c>
      <c r="D119" s="4">
        <v>111545.60000000001</v>
      </c>
      <c r="E119" s="4">
        <v>90448.92</v>
      </c>
      <c r="F119" s="4">
        <v>122086.956521739</v>
      </c>
      <c r="G119" s="4"/>
      <c r="H119" s="4"/>
      <c r="I119" s="4"/>
      <c r="J119" s="4"/>
      <c r="K119" s="4"/>
      <c r="L119" s="4"/>
    </row>
    <row r="120" spans="1:12" x14ac:dyDescent="0.25">
      <c r="A120" t="s">
        <v>9</v>
      </c>
      <c r="B120" s="4">
        <v>165455.06</v>
      </c>
      <c r="C120" s="4">
        <v>404674.39</v>
      </c>
      <c r="D120" s="4">
        <v>577913.92000000004</v>
      </c>
      <c r="E120" s="4">
        <v>595730.31000000006</v>
      </c>
      <c r="F120" s="4">
        <v>720000</v>
      </c>
      <c r="G120" s="4"/>
      <c r="H120" s="4"/>
      <c r="I120" s="4"/>
      <c r="J120" s="4"/>
      <c r="K120" s="4"/>
      <c r="L120" s="4"/>
    </row>
    <row r="121" spans="1:12" x14ac:dyDescent="0.25">
      <c r="A121" t="s">
        <v>10</v>
      </c>
      <c r="B121" s="4">
        <v>84657.89</v>
      </c>
      <c r="C121" s="4">
        <v>261671.79</v>
      </c>
      <c r="D121" s="4">
        <v>336994.97</v>
      </c>
      <c r="E121" s="4">
        <v>367946.88</v>
      </c>
      <c r="F121" s="4">
        <v>434086.95652173902</v>
      </c>
      <c r="G121" s="4"/>
      <c r="H121" s="4"/>
      <c r="I121" s="4"/>
      <c r="J121" s="4"/>
      <c r="K121" s="4"/>
      <c r="L121" s="4"/>
    </row>
    <row r="122" spans="1:12" x14ac:dyDescent="0.25">
      <c r="A122" t="s">
        <v>11</v>
      </c>
      <c r="B122" s="4">
        <v>521637.59</v>
      </c>
      <c r="C122" s="4">
        <v>830925.44</v>
      </c>
      <c r="D122" s="4">
        <v>961233.41</v>
      </c>
      <c r="E122" s="4">
        <v>941426.64</v>
      </c>
      <c r="F122" s="4">
        <v>1145739.1304347799</v>
      </c>
      <c r="G122" s="4"/>
      <c r="H122" s="4"/>
      <c r="I122" s="4"/>
      <c r="J122" s="4"/>
      <c r="K122" s="4"/>
      <c r="L122" s="4"/>
    </row>
    <row r="123" spans="1:12" x14ac:dyDescent="0.25">
      <c r="A123" t="s">
        <v>12</v>
      </c>
      <c r="B123" s="4">
        <v>2440056.16</v>
      </c>
      <c r="C123" s="4">
        <v>4821245.24</v>
      </c>
      <c r="D123" s="4">
        <v>6152899.71</v>
      </c>
      <c r="E123" s="4">
        <v>6440011.4699999997</v>
      </c>
      <c r="F123" s="4">
        <v>7672695.6521739103</v>
      </c>
      <c r="G123" s="4"/>
      <c r="H123" s="4"/>
      <c r="I123" s="4"/>
      <c r="J123" s="4"/>
      <c r="K123" s="4"/>
      <c r="L123" s="4"/>
    </row>
    <row r="124" spans="1:12" x14ac:dyDescent="0.25">
      <c r="A124" t="s">
        <v>13</v>
      </c>
      <c r="B124" s="4">
        <v>358855.4</v>
      </c>
      <c r="C124" s="4">
        <v>746829.36</v>
      </c>
      <c r="D124" s="4">
        <v>877368.09</v>
      </c>
      <c r="E124" s="4">
        <v>833207.94</v>
      </c>
      <c r="F124" s="4">
        <v>1032000</v>
      </c>
      <c r="G124" s="4"/>
      <c r="H124" s="4"/>
      <c r="I124" s="4"/>
      <c r="J124" s="4"/>
      <c r="K124" s="4"/>
      <c r="L124" s="4"/>
    </row>
    <row r="125" spans="1:12" x14ac:dyDescent="0.25">
      <c r="A125" t="s">
        <v>14</v>
      </c>
      <c r="B125" s="4">
        <v>235305.79</v>
      </c>
      <c r="C125" s="4">
        <v>608816.35</v>
      </c>
      <c r="D125" s="4">
        <v>712036.26</v>
      </c>
      <c r="E125" s="4">
        <v>714457.19</v>
      </c>
      <c r="F125" s="4">
        <v>862956.52173913002</v>
      </c>
      <c r="G125" s="4"/>
      <c r="H125" s="4"/>
      <c r="I125" s="4"/>
      <c r="J125" s="4"/>
      <c r="K125" s="4"/>
      <c r="L125" s="4"/>
    </row>
    <row r="126" spans="1:12" x14ac:dyDescent="0.25">
      <c r="A126" t="s">
        <v>15</v>
      </c>
      <c r="B126" s="4">
        <v>14009.93</v>
      </c>
      <c r="C126" s="4">
        <v>24211.19</v>
      </c>
      <c r="D126" s="4">
        <v>36543.18</v>
      </c>
      <c r="E126" s="4">
        <v>43268.75</v>
      </c>
      <c r="F126" s="4">
        <v>46956.521739130403</v>
      </c>
      <c r="G126" s="4"/>
      <c r="H126" s="4"/>
      <c r="I126" s="4"/>
      <c r="J126" s="4"/>
      <c r="K126" s="4"/>
      <c r="L126" s="4"/>
    </row>
    <row r="127" spans="1:12" x14ac:dyDescent="0.25">
      <c r="A127" t="s">
        <v>16</v>
      </c>
      <c r="B127" s="4">
        <v>37500.78</v>
      </c>
      <c r="C127" s="4">
        <v>96299.42</v>
      </c>
      <c r="D127" s="4">
        <v>63678.06</v>
      </c>
      <c r="E127" s="4">
        <v>86160.63</v>
      </c>
      <c r="F127" s="4">
        <v>91826.0869565217</v>
      </c>
      <c r="G127" s="4"/>
      <c r="H127" s="4"/>
      <c r="I127" s="4"/>
      <c r="J127" s="4"/>
      <c r="K127" s="4"/>
      <c r="L127" s="4"/>
    </row>
    <row r="128" spans="1:12" x14ac:dyDescent="0.25">
      <c r="A128" t="s">
        <v>17</v>
      </c>
      <c r="B128" s="4">
        <v>1086603.97</v>
      </c>
      <c r="C128" s="4">
        <v>1792422.35</v>
      </c>
      <c r="D128" s="4">
        <v>2243886.36</v>
      </c>
      <c r="E128" s="4">
        <v>2309798.27</v>
      </c>
      <c r="F128" s="4">
        <v>2701565.2173913</v>
      </c>
      <c r="G128" s="4"/>
      <c r="H128" s="4"/>
      <c r="I128" s="4"/>
      <c r="J128" s="4"/>
      <c r="K128" s="4"/>
      <c r="L128" s="4"/>
    </row>
    <row r="129" spans="1:12" x14ac:dyDescent="0.25">
      <c r="A129" t="s">
        <v>18</v>
      </c>
      <c r="B129" s="4">
        <v>719724.81</v>
      </c>
      <c r="C129" s="4">
        <v>1410445.99</v>
      </c>
      <c r="D129" s="4">
        <v>2008608.98</v>
      </c>
      <c r="E129" s="4">
        <v>1985891.75</v>
      </c>
      <c r="F129" s="4">
        <v>2432347.8260869598</v>
      </c>
      <c r="G129" s="4"/>
      <c r="H129" s="4"/>
      <c r="I129" s="4"/>
      <c r="J129" s="4"/>
      <c r="K129" s="4"/>
      <c r="L129" s="4"/>
    </row>
    <row r="130" spans="1:12" x14ac:dyDescent="0.25">
      <c r="A130" t="s">
        <v>19</v>
      </c>
      <c r="B130" s="4">
        <v>181902.2</v>
      </c>
      <c r="C130" s="4">
        <v>396230.45</v>
      </c>
      <c r="D130" s="4">
        <v>447772.54</v>
      </c>
      <c r="E130" s="4">
        <v>399152.08</v>
      </c>
      <c r="F130" s="4">
        <v>524869.56521739101</v>
      </c>
      <c r="G130" s="4"/>
      <c r="H130" s="4"/>
      <c r="I130" s="4"/>
      <c r="J130" s="4"/>
      <c r="K130" s="4"/>
      <c r="L130" s="4"/>
    </row>
    <row r="131" spans="1:12" x14ac:dyDescent="0.25">
      <c r="A131" t="s">
        <v>20</v>
      </c>
      <c r="B131" s="4">
        <v>79434.8</v>
      </c>
      <c r="C131" s="4">
        <v>157984.39000000001</v>
      </c>
      <c r="D131" s="4">
        <v>320489.75</v>
      </c>
      <c r="E131" s="4">
        <v>297427.68</v>
      </c>
      <c r="F131" s="4">
        <v>360000</v>
      </c>
      <c r="G131" s="4"/>
      <c r="H131" s="4"/>
      <c r="I131" s="4"/>
      <c r="J131" s="4"/>
      <c r="K131" s="4"/>
      <c r="L131" s="4"/>
    </row>
    <row r="132" spans="1:12" x14ac:dyDescent="0.25">
      <c r="A132" t="s">
        <v>21</v>
      </c>
      <c r="B132" s="4">
        <v>568840.16</v>
      </c>
      <c r="C132" s="4">
        <v>1371632.3</v>
      </c>
      <c r="D132" s="4">
        <v>1857200.76</v>
      </c>
      <c r="E132" s="4">
        <v>1957005.42</v>
      </c>
      <c r="F132" s="4">
        <v>2336347.8260869598</v>
      </c>
      <c r="G132" s="4"/>
      <c r="H132" s="4"/>
      <c r="I132" s="4"/>
      <c r="J132" s="4"/>
      <c r="K132" s="4"/>
      <c r="L132" s="4"/>
    </row>
    <row r="133" spans="1:12" x14ac:dyDescent="0.25">
      <c r="A133" t="s">
        <v>22</v>
      </c>
      <c r="B133" s="4">
        <v>335437.71999999997</v>
      </c>
      <c r="C133" s="4">
        <v>825055.61</v>
      </c>
      <c r="D133" s="4">
        <v>1039288.57</v>
      </c>
      <c r="E133" s="4">
        <v>1023984.81</v>
      </c>
      <c r="F133" s="4">
        <v>1229217.39130435</v>
      </c>
      <c r="G133" s="4"/>
      <c r="H133" s="4"/>
      <c r="I133" s="4"/>
      <c r="J133" s="4"/>
      <c r="K133" s="4"/>
      <c r="L133" s="4"/>
    </row>
    <row r="134" spans="1:12" x14ac:dyDescent="0.25">
      <c r="A134" t="s">
        <v>23</v>
      </c>
      <c r="B134" s="4">
        <v>65705.850000000006</v>
      </c>
      <c r="C134" s="4">
        <v>135479.92000000001</v>
      </c>
      <c r="D134" s="4">
        <v>317129.37</v>
      </c>
      <c r="E134" s="4">
        <v>385081.59</v>
      </c>
      <c r="F134" s="4">
        <v>422608.69565217401</v>
      </c>
      <c r="G134" s="4"/>
      <c r="H134" s="4"/>
      <c r="I134" s="4"/>
      <c r="J134" s="4"/>
      <c r="K134" s="4"/>
      <c r="L134" s="4"/>
    </row>
    <row r="135" spans="1:12" x14ac:dyDescent="0.25">
      <c r="A135" t="s">
        <v>24</v>
      </c>
      <c r="B135" s="4">
        <v>185066.64</v>
      </c>
      <c r="C135" s="4">
        <v>254376.07</v>
      </c>
      <c r="D135" s="4">
        <v>305925.48</v>
      </c>
      <c r="E135" s="4">
        <v>391054.35</v>
      </c>
      <c r="F135" s="4">
        <v>406956.52173913002</v>
      </c>
      <c r="G135" s="4"/>
      <c r="H135" s="4"/>
      <c r="I135" s="4"/>
      <c r="J135" s="4"/>
      <c r="K135" s="4"/>
      <c r="L135" s="4"/>
    </row>
    <row r="136" spans="1:12" x14ac:dyDescent="0.25">
      <c r="A136" t="s">
        <v>25</v>
      </c>
      <c r="B136" s="4">
        <v>207074.07</v>
      </c>
      <c r="C136" s="4">
        <v>387689.63</v>
      </c>
      <c r="D136" s="4">
        <v>529998.99</v>
      </c>
      <c r="E136" s="4">
        <v>612434.04</v>
      </c>
      <c r="F136" s="4">
        <v>696000</v>
      </c>
      <c r="G136" s="4"/>
      <c r="H136" s="4"/>
      <c r="I136" s="4"/>
      <c r="J136" s="4"/>
      <c r="K136" s="4"/>
      <c r="L136" s="4"/>
    </row>
    <row r="137" spans="1:12" x14ac:dyDescent="0.25">
      <c r="A137" t="s">
        <v>26</v>
      </c>
      <c r="B137" s="4">
        <v>776995.7</v>
      </c>
      <c r="C137" s="4">
        <v>1154361.75</v>
      </c>
      <c r="D137" s="4">
        <v>1455292.32</v>
      </c>
      <c r="E137" s="4">
        <v>1367341.31</v>
      </c>
      <c r="F137" s="4">
        <v>1745739.1304347799</v>
      </c>
      <c r="G137" s="4"/>
      <c r="H137" s="4"/>
      <c r="I137" s="4"/>
      <c r="J137" s="4"/>
      <c r="K137" s="4"/>
      <c r="L137" s="4"/>
    </row>
    <row r="138" spans="1:12" x14ac:dyDescent="0.25">
      <c r="A138" t="s">
        <v>27</v>
      </c>
      <c r="B138" s="4">
        <v>471644.02</v>
      </c>
      <c r="C138" s="4">
        <v>1051485.56</v>
      </c>
      <c r="D138" s="4">
        <v>1233922.32</v>
      </c>
      <c r="E138" s="4">
        <v>1210359.46</v>
      </c>
      <c r="F138" s="4">
        <v>1460869.56521739</v>
      </c>
      <c r="G138" s="4"/>
      <c r="H138" s="4"/>
      <c r="I138" s="4"/>
      <c r="J138" s="4"/>
      <c r="K138" s="4"/>
      <c r="L138" s="4"/>
    </row>
    <row r="139" spans="1:12" x14ac:dyDescent="0.25">
      <c r="A139" t="s">
        <v>28</v>
      </c>
      <c r="B139" s="4">
        <v>50849.63</v>
      </c>
      <c r="C139" s="4">
        <v>114567.8</v>
      </c>
      <c r="D139" s="4">
        <v>130366.71</v>
      </c>
      <c r="E139" s="4">
        <v>154042.07999999999</v>
      </c>
      <c r="F139" s="4">
        <v>165913.04347826101</v>
      </c>
      <c r="G139" s="4"/>
      <c r="H139" s="4"/>
      <c r="I139" s="4"/>
      <c r="J139" s="4"/>
      <c r="K139" s="4"/>
      <c r="L139" s="4"/>
    </row>
    <row r="140" spans="1:12" x14ac:dyDescent="0.25">
      <c r="A140" t="s">
        <v>29</v>
      </c>
      <c r="B140" s="4">
        <v>344549.79</v>
      </c>
      <c r="C140" s="4">
        <v>816805.85</v>
      </c>
      <c r="D140" s="4">
        <v>940482.45</v>
      </c>
      <c r="E140" s="4">
        <v>1098955.25</v>
      </c>
      <c r="F140" s="4">
        <v>1214608.6956521701</v>
      </c>
      <c r="G140" s="4"/>
      <c r="H140" s="4"/>
      <c r="I140" s="4"/>
      <c r="J140" s="4"/>
      <c r="K140" s="4"/>
      <c r="L140" s="4"/>
    </row>
    <row r="141" spans="1:12" x14ac:dyDescent="0.25">
      <c r="A141" t="s">
        <v>30</v>
      </c>
      <c r="B141" s="4">
        <v>315181.15000000002</v>
      </c>
      <c r="C141" s="4">
        <v>616486.77</v>
      </c>
      <c r="D141" s="4">
        <v>775139.16</v>
      </c>
      <c r="E141" s="4">
        <v>758235.04</v>
      </c>
      <c r="F141" s="4">
        <v>908869.56521739101</v>
      </c>
      <c r="G141" s="4"/>
      <c r="H141" s="4"/>
      <c r="I141" s="4"/>
      <c r="J141" s="4"/>
      <c r="K141" s="4"/>
      <c r="L141" s="4"/>
    </row>
    <row r="142" spans="1:12" x14ac:dyDescent="0.25">
      <c r="A142" t="s">
        <v>31</v>
      </c>
      <c r="B142" s="4">
        <v>244561.19</v>
      </c>
      <c r="C142" s="4">
        <v>641710.69999999995</v>
      </c>
      <c r="D142" s="4">
        <v>881535.53</v>
      </c>
      <c r="E142" s="4">
        <v>751102.38</v>
      </c>
      <c r="F142" s="4">
        <v>973565.21739130397</v>
      </c>
      <c r="G142" s="4"/>
      <c r="H142" s="4"/>
      <c r="I142" s="4"/>
      <c r="J142" s="4"/>
      <c r="K142" s="4"/>
      <c r="L142" s="4"/>
    </row>
    <row r="143" spans="1:12" x14ac:dyDescent="0.25">
      <c r="A143" t="s">
        <v>32</v>
      </c>
      <c r="B143" s="4">
        <v>102796.94</v>
      </c>
      <c r="C143" s="4">
        <v>204725.64</v>
      </c>
      <c r="D143" s="4">
        <v>237500.46</v>
      </c>
      <c r="E143" s="4">
        <v>253505.51</v>
      </c>
      <c r="F143" s="4">
        <v>300521.73913043499</v>
      </c>
      <c r="G143" s="4"/>
      <c r="H143" s="4"/>
      <c r="I143" s="4"/>
      <c r="J143" s="4"/>
      <c r="K143" s="4"/>
      <c r="L143" s="4"/>
    </row>
    <row r="144" spans="1:12" x14ac:dyDescent="0.25">
      <c r="A144" t="s">
        <v>33</v>
      </c>
      <c r="B144" s="4">
        <v>20778.63</v>
      </c>
      <c r="C144" s="4">
        <v>63353.09</v>
      </c>
      <c r="D144" s="4">
        <v>125655.79</v>
      </c>
      <c r="E144" s="4">
        <v>157347.37</v>
      </c>
      <c r="F144" s="4">
        <v>165913.04347826101</v>
      </c>
      <c r="G144" s="4"/>
      <c r="H144" s="4"/>
      <c r="I144" s="4"/>
      <c r="J144" s="4"/>
      <c r="K144" s="4"/>
      <c r="L144" s="4"/>
    </row>
    <row r="145" spans="1:12" x14ac:dyDescent="0.25">
      <c r="A145" t="s">
        <v>34</v>
      </c>
      <c r="B145" s="4">
        <v>423385.43</v>
      </c>
      <c r="C145" s="4">
        <v>925896.75</v>
      </c>
      <c r="D145" s="4">
        <v>1173282.1299999999</v>
      </c>
      <c r="E145" s="4">
        <v>1237510.1599999999</v>
      </c>
      <c r="F145" s="4">
        <v>1452521.7391304299</v>
      </c>
      <c r="G145" s="4"/>
      <c r="H145" s="4"/>
      <c r="I145" s="4"/>
      <c r="J145" s="4"/>
      <c r="K145" s="4"/>
      <c r="L145" s="4"/>
    </row>
    <row r="146" spans="1:12" x14ac:dyDescent="0.25">
      <c r="A146" t="s">
        <v>35</v>
      </c>
      <c r="B146" s="4">
        <v>5947.56</v>
      </c>
      <c r="C146" s="4">
        <v>98373.02</v>
      </c>
      <c r="D146" s="4">
        <v>118327.12</v>
      </c>
      <c r="E146" s="4">
        <v>89372.07</v>
      </c>
      <c r="F146" s="4">
        <v>124173.91304347799</v>
      </c>
      <c r="G146" s="4"/>
      <c r="H146" s="4"/>
      <c r="I146" s="4"/>
      <c r="J146" s="4"/>
      <c r="K146" s="4"/>
      <c r="L146" s="4"/>
    </row>
    <row r="147" spans="1:12" x14ac:dyDescent="0.25">
      <c r="A147" t="s">
        <v>36</v>
      </c>
      <c r="B147" s="4">
        <v>56395.15</v>
      </c>
      <c r="C147" s="4">
        <v>149627.67000000001</v>
      </c>
      <c r="D147" s="4">
        <v>167993.93</v>
      </c>
      <c r="E147" s="4">
        <v>186030.48</v>
      </c>
      <c r="F147" s="4">
        <v>211826.08695652199</v>
      </c>
      <c r="G147" s="4"/>
      <c r="H147" s="4"/>
      <c r="I147" s="4"/>
      <c r="J147" s="4"/>
      <c r="K147" s="4"/>
      <c r="L147" s="4"/>
    </row>
    <row r="148" spans="1:12" x14ac:dyDescent="0.25">
      <c r="A148" t="s">
        <v>37</v>
      </c>
      <c r="B148" s="4">
        <v>41971.64</v>
      </c>
      <c r="C148" s="4">
        <v>55047.98</v>
      </c>
      <c r="D148" s="4">
        <v>198324.85</v>
      </c>
      <c r="E148" s="4">
        <v>275268.40000000002</v>
      </c>
      <c r="F148" s="4">
        <v>289043.47826086998</v>
      </c>
      <c r="G148" s="4"/>
      <c r="H148" s="4"/>
      <c r="I148" s="4"/>
      <c r="J148" s="4"/>
      <c r="K148" s="4"/>
      <c r="L148" s="4"/>
    </row>
    <row r="149" spans="1:12" x14ac:dyDescent="0.25">
      <c r="A149" t="s">
        <v>38</v>
      </c>
      <c r="B149" s="4">
        <v>486052.55</v>
      </c>
      <c r="C149" s="4">
        <v>930615.15</v>
      </c>
      <c r="D149" s="4">
        <v>1174885.03</v>
      </c>
      <c r="E149" s="4">
        <v>1208579.3400000001</v>
      </c>
      <c r="F149" s="4">
        <v>1434782.60869565</v>
      </c>
      <c r="G149" s="4"/>
      <c r="H149" s="4"/>
      <c r="I149" s="4"/>
      <c r="J149" s="4"/>
      <c r="K149" s="4"/>
      <c r="L149" s="4"/>
    </row>
    <row r="150" spans="1:12" x14ac:dyDescent="0.25">
      <c r="A150" t="s">
        <v>39</v>
      </c>
      <c r="B150" s="4">
        <v>95178.04</v>
      </c>
      <c r="C150" s="4">
        <v>118101.74</v>
      </c>
      <c r="D150" s="4">
        <v>117376.57</v>
      </c>
      <c r="E150" s="4">
        <v>86420.46</v>
      </c>
      <c r="F150" s="4">
        <v>125217.391304348</v>
      </c>
      <c r="G150" s="4"/>
      <c r="H150" s="4"/>
      <c r="I150" s="4"/>
      <c r="J150" s="4"/>
      <c r="K150" s="4"/>
      <c r="L150" s="4"/>
    </row>
    <row r="151" spans="1:12" x14ac:dyDescent="0.25">
      <c r="A151" t="s">
        <v>40</v>
      </c>
      <c r="B151" s="4">
        <v>138904.64000000001</v>
      </c>
      <c r="C151" s="4">
        <v>344011.04</v>
      </c>
      <c r="D151" s="4">
        <v>514443.34</v>
      </c>
      <c r="E151" s="4">
        <v>617754.52</v>
      </c>
      <c r="F151" s="4">
        <v>686608.69565217395</v>
      </c>
      <c r="G151" s="4"/>
      <c r="H151" s="4"/>
      <c r="I151" s="4"/>
      <c r="J151" s="4"/>
      <c r="K151" s="4"/>
      <c r="L151" s="4"/>
    </row>
    <row r="152" spans="1:12" x14ac:dyDescent="0.25">
      <c r="A152" t="s">
        <v>41</v>
      </c>
      <c r="B152" s="4">
        <v>1335303.3600000001</v>
      </c>
      <c r="C152" s="4">
        <v>3073809.32</v>
      </c>
      <c r="D152" s="4">
        <v>3703074.98</v>
      </c>
      <c r="E152" s="4">
        <v>3455455.86</v>
      </c>
      <c r="F152" s="4">
        <v>4134260.8695652201</v>
      </c>
      <c r="G152" s="4"/>
      <c r="H152" s="4"/>
      <c r="I152" s="4"/>
      <c r="J152" s="4"/>
      <c r="K152" s="4"/>
      <c r="L152" s="4"/>
    </row>
    <row r="153" spans="1:12" x14ac:dyDescent="0.25">
      <c r="A153" t="s">
        <v>42</v>
      </c>
      <c r="B153" s="4">
        <v>709084.87</v>
      </c>
      <c r="C153" s="4">
        <v>1285113.8899999999</v>
      </c>
      <c r="D153" s="4">
        <v>1725813.45</v>
      </c>
      <c r="E153" s="4">
        <v>1545353.79</v>
      </c>
      <c r="F153" s="4">
        <v>1888695.6521739101</v>
      </c>
      <c r="G153" s="4"/>
      <c r="H153" s="4"/>
      <c r="I153" s="4"/>
      <c r="J153" s="4"/>
      <c r="K153" s="4"/>
      <c r="L153" s="4"/>
    </row>
    <row r="154" spans="1:12" x14ac:dyDescent="0.25">
      <c r="A154" t="s">
        <v>43</v>
      </c>
      <c r="B154" s="4">
        <v>105911.07</v>
      </c>
      <c r="C154" s="4">
        <v>314680.69</v>
      </c>
      <c r="D154" s="4">
        <v>503912.42</v>
      </c>
      <c r="E154" s="4">
        <v>504237.07</v>
      </c>
      <c r="F154" s="4">
        <v>589565.21739130397</v>
      </c>
      <c r="G154" s="4"/>
      <c r="H154" s="4"/>
      <c r="I154" s="4"/>
      <c r="J154" s="4"/>
      <c r="K154" s="4"/>
      <c r="L154" s="4"/>
    </row>
    <row r="155" spans="1:12" x14ac:dyDescent="0.25">
      <c r="A155" t="s">
        <v>44</v>
      </c>
      <c r="B155" s="4">
        <v>311396.40000000002</v>
      </c>
      <c r="C155" s="4">
        <v>605918.22</v>
      </c>
      <c r="D155" s="4">
        <v>651175.98</v>
      </c>
      <c r="E155" s="4">
        <v>498896.27</v>
      </c>
      <c r="F155" s="4">
        <v>700173.91304347804</v>
      </c>
      <c r="G155" s="4"/>
      <c r="H155" s="4"/>
      <c r="I155" s="4"/>
      <c r="J155" s="4"/>
      <c r="K155" s="4"/>
      <c r="L155" s="4"/>
    </row>
    <row r="156" spans="1:12" x14ac:dyDescent="0.25">
      <c r="A156" t="s">
        <v>45</v>
      </c>
      <c r="B156" s="4">
        <v>475330.07</v>
      </c>
      <c r="C156" s="4">
        <v>935208.36</v>
      </c>
      <c r="D156" s="4">
        <v>1197205.6499999999</v>
      </c>
      <c r="E156" s="4">
        <v>1130083.8799999999</v>
      </c>
      <c r="F156" s="4">
        <v>1387826.0869565201</v>
      </c>
      <c r="G156" s="4"/>
      <c r="H156" s="4"/>
      <c r="I156" s="4"/>
      <c r="J156" s="4"/>
      <c r="K156" s="4"/>
      <c r="L156" s="4"/>
    </row>
    <row r="157" spans="1:12" x14ac:dyDescent="0.25">
      <c r="A157" t="s">
        <v>46</v>
      </c>
      <c r="B157" s="4">
        <v>63061.98</v>
      </c>
      <c r="C157" s="4">
        <v>88813.04</v>
      </c>
      <c r="D157" s="4">
        <v>62792.4</v>
      </c>
      <c r="E157" s="4">
        <v>126510.21</v>
      </c>
      <c r="F157" s="4">
        <v>113739.130434783</v>
      </c>
      <c r="G157" s="4"/>
      <c r="H157" s="4"/>
      <c r="I157" s="4"/>
      <c r="J157" s="4"/>
      <c r="K157" s="4"/>
      <c r="L157" s="4"/>
    </row>
    <row r="158" spans="1:12" x14ac:dyDescent="0.25">
      <c r="A158" t="s">
        <v>47</v>
      </c>
      <c r="B158" s="4">
        <v>299212.02</v>
      </c>
      <c r="C158" s="4">
        <v>391150.21</v>
      </c>
      <c r="D158" s="4">
        <v>594634.76</v>
      </c>
      <c r="E158" s="4">
        <v>476362.42</v>
      </c>
      <c r="F158" s="4">
        <v>651130.43478260899</v>
      </c>
      <c r="G158" s="4"/>
      <c r="H158" s="4"/>
      <c r="I158" s="4"/>
      <c r="J158" s="4"/>
      <c r="K158" s="4"/>
      <c r="L158" s="4"/>
    </row>
    <row r="159" spans="1:12" x14ac:dyDescent="0.25">
      <c r="A159" t="s">
        <v>48</v>
      </c>
      <c r="B159" s="4">
        <v>9805.66</v>
      </c>
      <c r="C159" s="4">
        <v>99188.93</v>
      </c>
      <c r="D159" s="4">
        <v>95545.99</v>
      </c>
      <c r="E159" s="4">
        <v>121633.62</v>
      </c>
      <c r="F159" s="4">
        <v>130434.782608696</v>
      </c>
      <c r="G159" s="4"/>
      <c r="H159" s="4"/>
      <c r="I159" s="4"/>
      <c r="J159" s="4"/>
      <c r="K159" s="4"/>
      <c r="L159" s="4"/>
    </row>
    <row r="160" spans="1:12" x14ac:dyDescent="0.25">
      <c r="A160" t="s">
        <v>49</v>
      </c>
      <c r="B160" s="4">
        <v>238592.22</v>
      </c>
      <c r="C160" s="4">
        <v>672387.64</v>
      </c>
      <c r="D160" s="4">
        <v>857877.07</v>
      </c>
      <c r="E160" s="4">
        <v>905725.38</v>
      </c>
      <c r="F160" s="4">
        <v>1041391.30434783</v>
      </c>
      <c r="G160" s="4"/>
      <c r="H160" s="4"/>
      <c r="I160" s="4"/>
      <c r="J160" s="4"/>
      <c r="K160" s="4"/>
      <c r="L160" s="4"/>
    </row>
    <row r="161" spans="1:12" x14ac:dyDescent="0.25">
      <c r="A161" t="s">
        <v>50</v>
      </c>
      <c r="B161" s="4">
        <v>1758915.04</v>
      </c>
      <c r="C161" s="4">
        <v>3255465</v>
      </c>
      <c r="D161" s="4">
        <v>4063748.13</v>
      </c>
      <c r="E161" s="4">
        <v>3643186.74</v>
      </c>
      <c r="F161" s="4">
        <v>4550608.6956521701</v>
      </c>
      <c r="G161" s="4"/>
      <c r="H161" s="4"/>
      <c r="I161" s="4"/>
      <c r="J161" s="4"/>
      <c r="K161" s="4"/>
      <c r="L161" s="4"/>
    </row>
    <row r="162" spans="1:12" x14ac:dyDescent="0.25">
      <c r="A162" t="s">
        <v>51</v>
      </c>
      <c r="B162" s="4">
        <v>157947.47</v>
      </c>
      <c r="C162" s="4">
        <v>404001.88</v>
      </c>
      <c r="D162" s="4">
        <v>541253.41</v>
      </c>
      <c r="E162" s="4">
        <v>506322.06</v>
      </c>
      <c r="F162" s="4">
        <v>625043.47826086998</v>
      </c>
      <c r="G162" s="4"/>
      <c r="H162" s="4"/>
      <c r="I162" s="4"/>
      <c r="J162" s="4"/>
      <c r="K162" s="4"/>
      <c r="L162" s="4"/>
    </row>
    <row r="163" spans="1:12" x14ac:dyDescent="0.25">
      <c r="A163" t="s">
        <v>52</v>
      </c>
      <c r="B163" s="4">
        <v>449092.21</v>
      </c>
      <c r="C163" s="4">
        <v>996784.34</v>
      </c>
      <c r="D163" s="4">
        <v>1236288.74</v>
      </c>
      <c r="E163" s="4">
        <v>1322953.74</v>
      </c>
      <c r="F163" s="4">
        <v>1552695.6521739101</v>
      </c>
      <c r="G163" s="4"/>
      <c r="H163" s="4"/>
      <c r="I163" s="4"/>
      <c r="J163" s="4"/>
      <c r="K163" s="4"/>
      <c r="L163" s="4"/>
    </row>
    <row r="164" spans="1:12" x14ac:dyDescent="0.25">
      <c r="A164" t="s">
        <v>53</v>
      </c>
      <c r="B164" s="4">
        <v>5034.87</v>
      </c>
      <c r="C164" s="4">
        <v>10679.75</v>
      </c>
      <c r="D164" s="4">
        <v>32419.03</v>
      </c>
      <c r="E164" s="4">
        <v>81128.320000000007</v>
      </c>
      <c r="F164" s="4">
        <v>68869.565217391297</v>
      </c>
      <c r="G164" s="4"/>
      <c r="H164" s="4"/>
      <c r="I164" s="4"/>
      <c r="J164" s="4"/>
      <c r="K164" s="4"/>
      <c r="L164" s="4"/>
    </row>
    <row r="165" spans="1:12" x14ac:dyDescent="0.25">
      <c r="A165" t="s">
        <v>54</v>
      </c>
      <c r="B165" s="4">
        <v>417872.16</v>
      </c>
      <c r="C165" s="4">
        <v>1213560.47</v>
      </c>
      <c r="D165" s="4">
        <v>1595862.99</v>
      </c>
      <c r="E165" s="4">
        <v>1363804.17</v>
      </c>
      <c r="F165" s="4">
        <v>1778086.95652174</v>
      </c>
      <c r="G165" s="4"/>
      <c r="H165" s="4"/>
      <c r="I165" s="4"/>
      <c r="J165" s="4"/>
      <c r="K165" s="4"/>
      <c r="L165" s="4"/>
    </row>
    <row r="166" spans="1:12" x14ac:dyDescent="0.25">
      <c r="A166" t="s">
        <v>55</v>
      </c>
      <c r="B166" s="4">
        <v>219139.73</v>
      </c>
      <c r="C166" s="4">
        <v>550615.16</v>
      </c>
      <c r="D166" s="4">
        <v>643920.67000000004</v>
      </c>
      <c r="E166" s="4">
        <v>602728.63</v>
      </c>
      <c r="F166" s="4">
        <v>744000</v>
      </c>
      <c r="G166" s="4"/>
      <c r="H166" s="4"/>
      <c r="I166" s="4"/>
      <c r="J166" s="4"/>
      <c r="K166" s="4"/>
      <c r="L166" s="4"/>
    </row>
    <row r="167" spans="1:12" x14ac:dyDescent="0.25">
      <c r="A167" t="s">
        <v>56</v>
      </c>
      <c r="B167" s="4">
        <v>93087.98</v>
      </c>
      <c r="C167" s="4">
        <v>163574.84</v>
      </c>
      <c r="D167" s="4">
        <v>275948.94</v>
      </c>
      <c r="E167" s="4">
        <v>244058.74</v>
      </c>
      <c r="F167" s="4">
        <v>312000</v>
      </c>
      <c r="G167" s="4"/>
      <c r="H167" s="4"/>
      <c r="I167" s="4"/>
      <c r="J167" s="4"/>
      <c r="K167" s="4"/>
      <c r="L167" s="4"/>
    </row>
    <row r="168" spans="1:12" x14ac:dyDescent="0.25">
      <c r="A168" t="s">
        <v>57</v>
      </c>
      <c r="B168" s="4">
        <v>47864.04</v>
      </c>
      <c r="C168" s="4">
        <v>97676.2</v>
      </c>
      <c r="D168" s="4">
        <v>111673.05</v>
      </c>
      <c r="E168" s="4">
        <v>43531.23</v>
      </c>
      <c r="F168" s="4">
        <v>96000</v>
      </c>
      <c r="G168" s="4"/>
      <c r="H168" s="4"/>
      <c r="I168" s="4"/>
      <c r="J168" s="4"/>
      <c r="K168" s="4"/>
      <c r="L168" s="4"/>
    </row>
    <row r="169" spans="1:12" x14ac:dyDescent="0.25">
      <c r="A169" t="s">
        <v>58</v>
      </c>
      <c r="B169" s="4">
        <f t="shared" ref="B169:F169" si="60">SUM(B119:B168)</f>
        <v>17625470.610000003</v>
      </c>
      <c r="C169" s="4">
        <f t="shared" si="60"/>
        <v>36075162.410000004</v>
      </c>
      <c r="D169" s="4">
        <f t="shared" si="60"/>
        <v>46038189.369999997</v>
      </c>
      <c r="E169" s="4">
        <f t="shared" si="60"/>
        <v>45498284.680000015</v>
      </c>
      <c r="F169" s="4">
        <f t="shared" si="60"/>
        <v>54862956.52173911</v>
      </c>
      <c r="G169" s="4"/>
      <c r="H169" s="4"/>
      <c r="I169" s="4"/>
      <c r="J169" s="4"/>
      <c r="K169" s="4"/>
      <c r="L169" s="4"/>
    </row>
    <row r="170" spans="1:12" x14ac:dyDescent="0.25">
      <c r="A170" t="s">
        <v>59</v>
      </c>
    </row>
    <row r="172" spans="1:12" x14ac:dyDescent="0.25">
      <c r="A172" t="s">
        <v>62</v>
      </c>
    </row>
    <row r="173" spans="1:12" x14ac:dyDescent="0.25">
      <c r="A173" t="s">
        <v>7</v>
      </c>
      <c r="B173">
        <v>2015</v>
      </c>
      <c r="C173">
        <f t="shared" ref="C173:J173" si="61">B173+1</f>
        <v>2016</v>
      </c>
      <c r="D173">
        <f t="shared" si="61"/>
        <v>2017</v>
      </c>
      <c r="E173">
        <f t="shared" si="61"/>
        <v>2018</v>
      </c>
      <c r="F173">
        <f t="shared" si="61"/>
        <v>2019</v>
      </c>
      <c r="G173">
        <f t="shared" si="61"/>
        <v>2020</v>
      </c>
      <c r="H173">
        <f t="shared" si="61"/>
        <v>2021</v>
      </c>
      <c r="I173">
        <f t="shared" si="61"/>
        <v>2022</v>
      </c>
      <c r="J173">
        <f t="shared" si="61"/>
        <v>2023</v>
      </c>
      <c r="K173" t="str">
        <f>F118</f>
        <v>Proj. 4/1/24- 3/31/25</v>
      </c>
    </row>
    <row r="174" spans="1:12" x14ac:dyDescent="0.25">
      <c r="A174" t="s">
        <v>8</v>
      </c>
      <c r="B174" s="4">
        <v>28171.56</v>
      </c>
      <c r="C174" s="4">
        <v>47969.38</v>
      </c>
      <c r="D174" s="4">
        <v>112829.46</v>
      </c>
      <c r="E174" s="4">
        <v>128475.66</v>
      </c>
      <c r="F174" s="4">
        <v>97253.55</v>
      </c>
      <c r="G174" s="4">
        <v>126975.35</v>
      </c>
      <c r="H174" s="4">
        <v>64128.79</v>
      </c>
      <c r="I174" s="4">
        <v>60225.14</v>
      </c>
      <c r="J174" s="4">
        <v>40445.360000000001</v>
      </c>
      <c r="K174" s="4">
        <v>56347.826086956498</v>
      </c>
      <c r="L174" s="4"/>
    </row>
    <row r="175" spans="1:12" x14ac:dyDescent="0.25">
      <c r="A175" t="s">
        <v>9</v>
      </c>
      <c r="B175" s="4">
        <v>117862.51</v>
      </c>
      <c r="C175" s="4">
        <v>342271.6</v>
      </c>
      <c r="D175" s="4">
        <v>474782.74</v>
      </c>
      <c r="E175" s="4">
        <v>435358.62</v>
      </c>
      <c r="F175" s="4">
        <v>523696.92</v>
      </c>
      <c r="G175" s="4">
        <v>465881.36</v>
      </c>
      <c r="H175" s="4">
        <v>506427.48</v>
      </c>
      <c r="I175" s="4">
        <v>562655.56999999995</v>
      </c>
      <c r="J175" s="4">
        <v>562634.86</v>
      </c>
      <c r="K175" s="4">
        <v>618782.60869565199</v>
      </c>
      <c r="L175" s="4"/>
    </row>
    <row r="176" spans="1:12" x14ac:dyDescent="0.25">
      <c r="A176" t="s">
        <v>10</v>
      </c>
      <c r="B176" s="4">
        <v>93622.11</v>
      </c>
      <c r="C176" s="4">
        <v>217728.86</v>
      </c>
      <c r="D176" s="4">
        <v>276283.69</v>
      </c>
      <c r="E176" s="4">
        <v>266928.09999999998</v>
      </c>
      <c r="F176" s="4">
        <v>291757.65000000002</v>
      </c>
      <c r="G176" s="4">
        <v>304302.49</v>
      </c>
      <c r="H176" s="4">
        <v>282920.55</v>
      </c>
      <c r="I176" s="4">
        <v>299136</v>
      </c>
      <c r="J176" s="4">
        <v>320596.90999999997</v>
      </c>
      <c r="K176" s="4">
        <v>345391.30434782599</v>
      </c>
      <c r="L176" s="4"/>
    </row>
    <row r="177" spans="1:12" x14ac:dyDescent="0.25">
      <c r="A177" t="s">
        <v>11</v>
      </c>
      <c r="B177" s="4">
        <v>274823.84000000003</v>
      </c>
      <c r="C177" s="4">
        <v>576861.30000000005</v>
      </c>
      <c r="D177" s="4">
        <v>601437.43000000005</v>
      </c>
      <c r="E177" s="4">
        <v>635613.74</v>
      </c>
      <c r="F177" s="4">
        <v>734077.36</v>
      </c>
      <c r="G177" s="4">
        <v>711800</v>
      </c>
      <c r="H177" s="4">
        <v>887072.31</v>
      </c>
      <c r="I177" s="4">
        <v>1018943.14</v>
      </c>
      <c r="J177" s="4">
        <v>873160.97</v>
      </c>
      <c r="K177" s="4">
        <v>1030956.52173913</v>
      </c>
      <c r="L177" s="4"/>
    </row>
    <row r="178" spans="1:12" x14ac:dyDescent="0.25">
      <c r="A178" t="s">
        <v>12</v>
      </c>
      <c r="B178" s="4">
        <v>1546333.12</v>
      </c>
      <c r="C178" s="4">
        <v>3335788.4</v>
      </c>
      <c r="D178" s="4">
        <v>3989886.34</v>
      </c>
      <c r="E178" s="4">
        <v>4437832.78</v>
      </c>
      <c r="F178" s="4">
        <v>4832093.7300000004</v>
      </c>
      <c r="G178" s="4">
        <v>5323849.16</v>
      </c>
      <c r="H178" s="4">
        <v>5793790.0199999996</v>
      </c>
      <c r="I178" s="4">
        <v>6829464.5700000003</v>
      </c>
      <c r="J178" s="4">
        <v>6469109.9299999997</v>
      </c>
      <c r="K178" s="4">
        <v>7220869.5652173897</v>
      </c>
      <c r="L178" s="4"/>
    </row>
    <row r="179" spans="1:12" x14ac:dyDescent="0.25">
      <c r="A179" t="s">
        <v>13</v>
      </c>
      <c r="B179" s="4">
        <v>289351.57</v>
      </c>
      <c r="C179" s="4">
        <v>502285.59</v>
      </c>
      <c r="D179" s="4">
        <v>575329.67000000004</v>
      </c>
      <c r="E179" s="4">
        <v>734468.97</v>
      </c>
      <c r="F179" s="4">
        <v>828417.22</v>
      </c>
      <c r="G179" s="4">
        <v>865330.75</v>
      </c>
      <c r="H179" s="4">
        <v>779588.06</v>
      </c>
      <c r="I179" s="4">
        <v>909429.92</v>
      </c>
      <c r="J179" s="4">
        <v>962131.14</v>
      </c>
      <c r="K179" s="4">
        <v>1046608.69565217</v>
      </c>
      <c r="L179" s="4"/>
    </row>
    <row r="180" spans="1:12" x14ac:dyDescent="0.25">
      <c r="A180" t="s">
        <v>14</v>
      </c>
      <c r="B180" s="4">
        <v>221060.06</v>
      </c>
      <c r="C180" s="4">
        <v>455910.42</v>
      </c>
      <c r="D180" s="4">
        <v>417094.09</v>
      </c>
      <c r="E180" s="4">
        <v>430492.41</v>
      </c>
      <c r="F180" s="4">
        <v>377581.85</v>
      </c>
      <c r="G180" s="4">
        <v>480092.61</v>
      </c>
      <c r="H180" s="4">
        <v>502095.72</v>
      </c>
      <c r="I180" s="4">
        <v>464143.99</v>
      </c>
      <c r="J180" s="4">
        <v>575728.9</v>
      </c>
      <c r="K180" s="4">
        <v>564521.73913043505</v>
      </c>
      <c r="L180" s="4"/>
    </row>
    <row r="181" spans="1:12" x14ac:dyDescent="0.25">
      <c r="A181" t="s">
        <v>15</v>
      </c>
      <c r="B181" s="4">
        <v>37990.43</v>
      </c>
      <c r="C181" s="4">
        <v>73964.100000000006</v>
      </c>
      <c r="D181" s="4">
        <v>101668.38</v>
      </c>
      <c r="E181" s="4">
        <v>64220.51</v>
      </c>
      <c r="F181" s="4">
        <v>57075.37</v>
      </c>
      <c r="G181" s="4">
        <v>61054.81</v>
      </c>
      <c r="H181" s="4">
        <v>59167.83</v>
      </c>
      <c r="I181" s="4">
        <v>84967.33</v>
      </c>
      <c r="J181" s="4">
        <v>43295.6</v>
      </c>
      <c r="K181" s="4">
        <v>69913.043478260894</v>
      </c>
      <c r="L181" s="4"/>
    </row>
    <row r="182" spans="1:12" x14ac:dyDescent="0.25">
      <c r="A182" t="s">
        <v>16</v>
      </c>
      <c r="B182" s="4">
        <v>61231.62</v>
      </c>
      <c r="C182" s="4">
        <v>76605.77</v>
      </c>
      <c r="D182" s="4">
        <v>45387.87</v>
      </c>
      <c r="E182" s="4">
        <v>88330.84</v>
      </c>
      <c r="F182" s="4">
        <v>80640.429999999993</v>
      </c>
      <c r="G182" s="4">
        <v>131893.69</v>
      </c>
      <c r="H182" s="4">
        <v>150362.57</v>
      </c>
      <c r="I182" s="4">
        <v>200572.16</v>
      </c>
      <c r="J182" s="4">
        <v>201151.29</v>
      </c>
      <c r="K182" s="4">
        <v>224347.82608695701</v>
      </c>
      <c r="L182" s="4"/>
    </row>
    <row r="183" spans="1:12" x14ac:dyDescent="0.25">
      <c r="A183" t="s">
        <v>17</v>
      </c>
      <c r="B183" s="4">
        <v>665073.6</v>
      </c>
      <c r="C183" s="4">
        <v>1455419.46</v>
      </c>
      <c r="D183" s="4">
        <v>1633128.99</v>
      </c>
      <c r="E183" s="4">
        <v>1939060.44</v>
      </c>
      <c r="F183" s="4">
        <v>2080665.75</v>
      </c>
      <c r="G183" s="4">
        <v>2211278.92</v>
      </c>
      <c r="H183" s="4">
        <v>2588011.71</v>
      </c>
      <c r="I183" s="4">
        <v>2607441.2799999998</v>
      </c>
      <c r="J183" s="4">
        <v>2596438.7000000002</v>
      </c>
      <c r="K183" s="4">
        <v>2838260.8695652201</v>
      </c>
      <c r="L183" s="4"/>
    </row>
    <row r="184" spans="1:12" x14ac:dyDescent="0.25">
      <c r="A184" t="s">
        <v>18</v>
      </c>
      <c r="B184" s="4">
        <v>382678.39</v>
      </c>
      <c r="C184" s="4">
        <v>665623.57999999996</v>
      </c>
      <c r="D184" s="4">
        <v>827693.86</v>
      </c>
      <c r="E184" s="4">
        <v>988388.25</v>
      </c>
      <c r="F184" s="4">
        <v>1114156.17</v>
      </c>
      <c r="G184" s="4">
        <v>1207287.27</v>
      </c>
      <c r="H184" s="4">
        <v>1298476.79</v>
      </c>
      <c r="I184" s="4">
        <v>1647982.77</v>
      </c>
      <c r="J184" s="4">
        <v>1702506.98</v>
      </c>
      <c r="K184" s="4">
        <v>1834434.7826087</v>
      </c>
      <c r="L184" s="4"/>
    </row>
    <row r="185" spans="1:12" x14ac:dyDescent="0.25">
      <c r="A185" t="s">
        <v>19</v>
      </c>
      <c r="B185" s="4">
        <v>46373.06</v>
      </c>
      <c r="C185" s="4">
        <v>135990.41</v>
      </c>
      <c r="D185" s="4">
        <v>196369.19</v>
      </c>
      <c r="E185" s="4">
        <v>293388.82</v>
      </c>
      <c r="F185" s="4">
        <v>386275.71</v>
      </c>
      <c r="G185" s="4">
        <v>401757.49</v>
      </c>
      <c r="H185" s="4">
        <v>477302.39</v>
      </c>
      <c r="I185" s="4">
        <v>488745.12</v>
      </c>
      <c r="J185" s="4">
        <v>495759.23</v>
      </c>
      <c r="K185" s="4">
        <v>532173.91304347804</v>
      </c>
      <c r="L185" s="4"/>
    </row>
    <row r="186" spans="1:12" x14ac:dyDescent="0.25">
      <c r="A186" t="s">
        <v>20</v>
      </c>
      <c r="B186" s="4">
        <v>13643.1</v>
      </c>
      <c r="C186" s="4">
        <v>69116.63</v>
      </c>
      <c r="D186" s="4">
        <v>102834.94</v>
      </c>
      <c r="E186" s="4">
        <v>100312.3</v>
      </c>
      <c r="F186" s="4">
        <v>92474.22</v>
      </c>
      <c r="G186" s="4">
        <v>99173.35</v>
      </c>
      <c r="H186" s="4">
        <v>155592.23000000001</v>
      </c>
      <c r="I186" s="4">
        <v>172719.89</v>
      </c>
      <c r="J186" s="4">
        <v>89601.27</v>
      </c>
      <c r="K186" s="4">
        <v>142956.52173913</v>
      </c>
      <c r="L186" s="4"/>
    </row>
    <row r="187" spans="1:12" x14ac:dyDescent="0.25">
      <c r="A187" t="s">
        <v>21</v>
      </c>
      <c r="B187" s="4">
        <v>496720.96</v>
      </c>
      <c r="C187" s="4">
        <v>849317.48</v>
      </c>
      <c r="D187" s="4">
        <v>1136766.5</v>
      </c>
      <c r="E187" s="4">
        <v>1304258.43</v>
      </c>
      <c r="F187" s="4">
        <v>1433546.6</v>
      </c>
      <c r="G187" s="4">
        <v>1476785.9</v>
      </c>
      <c r="H187" s="4">
        <v>1803941.28</v>
      </c>
      <c r="I187" s="4">
        <v>2229409.7400000002</v>
      </c>
      <c r="J187" s="4">
        <v>2134522.48</v>
      </c>
      <c r="K187" s="4">
        <v>2404173.9130434799</v>
      </c>
      <c r="L187" s="4"/>
    </row>
    <row r="188" spans="1:12" x14ac:dyDescent="0.25">
      <c r="A188" t="s">
        <v>22</v>
      </c>
      <c r="B188" s="4">
        <v>250065.14</v>
      </c>
      <c r="C188" s="4">
        <v>431617.02</v>
      </c>
      <c r="D188" s="4">
        <v>479380.45</v>
      </c>
      <c r="E188" s="4">
        <v>486710.41</v>
      </c>
      <c r="F188" s="4">
        <v>641442.61</v>
      </c>
      <c r="G188" s="4">
        <v>754949.18</v>
      </c>
      <c r="H188" s="4">
        <v>764938.01</v>
      </c>
      <c r="I188" s="4">
        <v>847330.91</v>
      </c>
      <c r="J188" s="4">
        <v>816432.8</v>
      </c>
      <c r="K188" s="4">
        <v>923478.26086956495</v>
      </c>
      <c r="L188" s="4"/>
    </row>
    <row r="189" spans="1:12" x14ac:dyDescent="0.25">
      <c r="A189" t="s">
        <v>23</v>
      </c>
      <c r="B189" s="4">
        <v>34334.83</v>
      </c>
      <c r="C189" s="4">
        <v>114320.5</v>
      </c>
      <c r="D189" s="4">
        <v>146244.17000000001</v>
      </c>
      <c r="E189" s="4">
        <v>173212.42</v>
      </c>
      <c r="F189" s="4">
        <v>253512.02</v>
      </c>
      <c r="G189" s="4">
        <v>320620.28999999998</v>
      </c>
      <c r="H189" s="4">
        <v>339642.35</v>
      </c>
      <c r="I189" s="4">
        <v>353604.61</v>
      </c>
      <c r="J189" s="4">
        <v>279733.62</v>
      </c>
      <c r="K189" s="4">
        <v>346434.78260869603</v>
      </c>
      <c r="L189" s="4"/>
    </row>
    <row r="190" spans="1:12" x14ac:dyDescent="0.25">
      <c r="A190" t="s">
        <v>24</v>
      </c>
      <c r="B190" s="4">
        <v>59049.61</v>
      </c>
      <c r="C190" s="4">
        <v>113086.27</v>
      </c>
      <c r="D190" s="4">
        <v>215378.16</v>
      </c>
      <c r="E190" s="4">
        <v>297406.38</v>
      </c>
      <c r="F190" s="4">
        <v>399707.21</v>
      </c>
      <c r="G190" s="4">
        <v>430680.16</v>
      </c>
      <c r="H190" s="4">
        <v>486100.61</v>
      </c>
      <c r="I190" s="4">
        <v>582226.5</v>
      </c>
      <c r="J190" s="4">
        <v>541743.67000000004</v>
      </c>
      <c r="K190" s="4">
        <v>612521.73913043505</v>
      </c>
      <c r="L190" s="4"/>
    </row>
    <row r="191" spans="1:12" x14ac:dyDescent="0.25">
      <c r="A191" t="s">
        <v>25</v>
      </c>
      <c r="B191" s="4">
        <v>127055.33</v>
      </c>
      <c r="C191" s="4">
        <v>331781.2</v>
      </c>
      <c r="D191" s="4">
        <v>448181.66</v>
      </c>
      <c r="E191" s="4">
        <v>471132.84</v>
      </c>
      <c r="F191" s="4">
        <v>594037.94999999995</v>
      </c>
      <c r="G191" s="4">
        <v>639868.1</v>
      </c>
      <c r="H191" s="4">
        <v>592366.11</v>
      </c>
      <c r="I191" s="4">
        <v>673491.13</v>
      </c>
      <c r="J191" s="4">
        <v>615342.24</v>
      </c>
      <c r="K191" s="4">
        <v>694956.52173913002</v>
      </c>
      <c r="L191" s="4"/>
    </row>
    <row r="192" spans="1:12" x14ac:dyDescent="0.25">
      <c r="A192" t="s">
        <v>26</v>
      </c>
      <c r="B192" s="4">
        <v>404989.85</v>
      </c>
      <c r="C192" s="4">
        <v>1152220.96</v>
      </c>
      <c r="D192" s="4">
        <v>1355086.58</v>
      </c>
      <c r="E192" s="4">
        <v>1277627.76</v>
      </c>
      <c r="F192" s="4">
        <v>1230091.9099999999</v>
      </c>
      <c r="G192" s="4">
        <v>1429596.43</v>
      </c>
      <c r="H192" s="4">
        <v>1533445.3</v>
      </c>
      <c r="I192" s="4">
        <v>1530854.87</v>
      </c>
      <c r="J192" s="4">
        <v>1627258.13</v>
      </c>
      <c r="K192" s="4">
        <v>1768695.6521739101</v>
      </c>
      <c r="L192" s="4"/>
    </row>
    <row r="193" spans="1:12" x14ac:dyDescent="0.25">
      <c r="A193" t="s">
        <v>27</v>
      </c>
      <c r="B193" s="4">
        <v>181438.46</v>
      </c>
      <c r="C193" s="4">
        <v>484617.36</v>
      </c>
      <c r="D193" s="4">
        <v>606055.87</v>
      </c>
      <c r="E193" s="4">
        <v>794960.3</v>
      </c>
      <c r="F193" s="4">
        <v>897575.49</v>
      </c>
      <c r="G193" s="4">
        <v>1078205.99</v>
      </c>
      <c r="H193" s="4">
        <v>1148695.01</v>
      </c>
      <c r="I193" s="4">
        <v>1358760.45</v>
      </c>
      <c r="J193" s="4">
        <v>1371370.98</v>
      </c>
      <c r="K193" s="4">
        <v>1509913.04347826</v>
      </c>
      <c r="L193" s="4"/>
    </row>
    <row r="194" spans="1:12" x14ac:dyDescent="0.25">
      <c r="A194" t="s">
        <v>28</v>
      </c>
      <c r="B194" s="4">
        <v>50086.61</v>
      </c>
      <c r="C194" s="4">
        <v>87037.58</v>
      </c>
      <c r="D194" s="4">
        <v>117143.64</v>
      </c>
      <c r="E194" s="4">
        <v>115082.91</v>
      </c>
      <c r="F194" s="4">
        <v>199127.83</v>
      </c>
      <c r="G194" s="4">
        <v>168228.55</v>
      </c>
      <c r="H194" s="4">
        <v>217572.85</v>
      </c>
      <c r="I194" s="4">
        <v>219233.74</v>
      </c>
      <c r="J194" s="4">
        <v>213042.36</v>
      </c>
      <c r="K194" s="4">
        <v>232695.652173913</v>
      </c>
      <c r="L194" s="4"/>
    </row>
    <row r="195" spans="1:12" x14ac:dyDescent="0.25">
      <c r="A195" t="s">
        <v>29</v>
      </c>
      <c r="B195" s="4">
        <v>294428.55</v>
      </c>
      <c r="C195" s="4">
        <v>633050.85</v>
      </c>
      <c r="D195" s="4">
        <v>657122.29</v>
      </c>
      <c r="E195" s="4">
        <v>756313.53</v>
      </c>
      <c r="F195" s="4">
        <v>765538.1</v>
      </c>
      <c r="G195" s="4">
        <v>845404.54</v>
      </c>
      <c r="H195" s="4">
        <v>963248.11</v>
      </c>
      <c r="I195" s="4">
        <v>1221572.3799999999</v>
      </c>
      <c r="J195" s="4">
        <v>1221252.06</v>
      </c>
      <c r="K195" s="4">
        <v>1338782.60869565</v>
      </c>
      <c r="L195" s="4"/>
    </row>
    <row r="196" spans="1:12" x14ac:dyDescent="0.25">
      <c r="A196" t="s">
        <v>30</v>
      </c>
      <c r="B196" s="4">
        <v>262518.31</v>
      </c>
      <c r="C196" s="4">
        <v>372167.88</v>
      </c>
      <c r="D196" s="4">
        <v>526859.5</v>
      </c>
      <c r="E196" s="4">
        <v>481430.55</v>
      </c>
      <c r="F196" s="4">
        <v>592733.71</v>
      </c>
      <c r="G196" s="4">
        <v>579762.56000000006</v>
      </c>
      <c r="H196" s="4">
        <v>646761.27</v>
      </c>
      <c r="I196" s="4">
        <v>703601.74</v>
      </c>
      <c r="J196" s="4">
        <v>691570.03</v>
      </c>
      <c r="K196" s="4">
        <v>760695.65217391297</v>
      </c>
      <c r="L196" s="4"/>
    </row>
    <row r="197" spans="1:12" x14ac:dyDescent="0.25">
      <c r="A197" t="s">
        <v>31</v>
      </c>
      <c r="B197" s="4">
        <v>219924.97</v>
      </c>
      <c r="C197" s="4">
        <v>421400.48</v>
      </c>
      <c r="D197" s="4">
        <v>518442.13</v>
      </c>
      <c r="E197" s="4">
        <v>569210</v>
      </c>
      <c r="F197" s="4">
        <v>620098.04</v>
      </c>
      <c r="G197" s="4">
        <v>643004.67000000004</v>
      </c>
      <c r="H197" s="4">
        <v>749601.86</v>
      </c>
      <c r="I197" s="4">
        <v>856870.24</v>
      </c>
      <c r="J197" s="4">
        <v>780595.22</v>
      </c>
      <c r="K197" s="4">
        <v>913043.47826086998</v>
      </c>
      <c r="L197" s="4"/>
    </row>
    <row r="198" spans="1:12" x14ac:dyDescent="0.25">
      <c r="A198" t="s">
        <v>32</v>
      </c>
      <c r="B198" s="4">
        <v>58596.03</v>
      </c>
      <c r="C198" s="4">
        <v>82233.350000000006</v>
      </c>
      <c r="D198" s="4">
        <v>82227.86</v>
      </c>
      <c r="E198" s="4">
        <v>117234.99</v>
      </c>
      <c r="F198" s="4">
        <v>140296.95000000001</v>
      </c>
      <c r="G198" s="4">
        <v>136759.63</v>
      </c>
      <c r="H198" s="4">
        <v>144899.4</v>
      </c>
      <c r="I198" s="4">
        <v>164302.63</v>
      </c>
      <c r="J198" s="4">
        <v>183089.23</v>
      </c>
      <c r="K198" s="4">
        <v>192000</v>
      </c>
      <c r="L198" s="4"/>
    </row>
    <row r="199" spans="1:12" x14ac:dyDescent="0.25">
      <c r="A199" t="s">
        <v>33</v>
      </c>
      <c r="B199" s="4">
        <v>10186.17</v>
      </c>
      <c r="C199" s="4">
        <v>14165.07</v>
      </c>
      <c r="D199" s="4">
        <v>53906.98</v>
      </c>
      <c r="E199" s="4">
        <v>70763.98</v>
      </c>
      <c r="F199" s="4">
        <v>94021.32</v>
      </c>
      <c r="G199" s="4">
        <v>134070.66</v>
      </c>
      <c r="H199" s="4">
        <v>82738.66</v>
      </c>
      <c r="I199" s="4">
        <v>86963.77</v>
      </c>
      <c r="J199" s="4">
        <v>104655.01</v>
      </c>
      <c r="K199" s="4">
        <v>105391.30434782599</v>
      </c>
      <c r="L199" s="4"/>
    </row>
    <row r="200" spans="1:12" x14ac:dyDescent="0.25">
      <c r="A200" t="s">
        <v>34</v>
      </c>
      <c r="B200" s="4">
        <v>261578.32</v>
      </c>
      <c r="C200" s="4">
        <v>759868.52</v>
      </c>
      <c r="D200" s="4">
        <v>827599.69</v>
      </c>
      <c r="E200" s="4">
        <v>904608.25</v>
      </c>
      <c r="F200" s="4">
        <v>1019744.29</v>
      </c>
      <c r="G200" s="4">
        <v>1123595.18</v>
      </c>
      <c r="H200" s="4">
        <v>1132657.54</v>
      </c>
      <c r="I200" s="4">
        <v>1325794.8999999999</v>
      </c>
      <c r="J200" s="4">
        <v>1235623.8899999999</v>
      </c>
      <c r="K200" s="4">
        <v>1395130.43478261</v>
      </c>
      <c r="L200" s="4"/>
    </row>
    <row r="201" spans="1:12" x14ac:dyDescent="0.25">
      <c r="A201" t="s">
        <v>35</v>
      </c>
      <c r="B201" s="4">
        <v>4832.01</v>
      </c>
      <c r="C201" s="4">
        <v>28877.82</v>
      </c>
      <c r="D201" s="4">
        <v>38849.75</v>
      </c>
      <c r="E201" s="4">
        <v>40512.53</v>
      </c>
      <c r="F201" s="4">
        <v>43811.67</v>
      </c>
      <c r="G201" s="4">
        <v>60267.68</v>
      </c>
      <c r="H201" s="4">
        <v>127244.13</v>
      </c>
      <c r="I201" s="4">
        <v>133206.43</v>
      </c>
      <c r="J201" s="4">
        <v>129858.67</v>
      </c>
      <c r="K201" s="4">
        <v>146086.95652173899</v>
      </c>
      <c r="L201" s="4"/>
    </row>
    <row r="202" spans="1:12" x14ac:dyDescent="0.25">
      <c r="A202" t="s">
        <v>36</v>
      </c>
      <c r="B202" s="4">
        <v>172216.2</v>
      </c>
      <c r="C202" s="4">
        <v>272326.43</v>
      </c>
      <c r="D202" s="4">
        <v>278085.59999999998</v>
      </c>
      <c r="E202" s="4">
        <v>331060.53000000003</v>
      </c>
      <c r="F202" s="4">
        <v>297218.48</v>
      </c>
      <c r="G202" s="4">
        <v>387561.53</v>
      </c>
      <c r="H202" s="4">
        <v>525323.96</v>
      </c>
      <c r="I202" s="4">
        <v>501655.38</v>
      </c>
      <c r="J202" s="4">
        <v>461019.01</v>
      </c>
      <c r="K202" s="4">
        <v>530086.95652173902</v>
      </c>
      <c r="L202" s="4"/>
    </row>
    <row r="203" spans="1:12" x14ac:dyDescent="0.25">
      <c r="A203" t="s">
        <v>37</v>
      </c>
      <c r="B203" s="4">
        <v>33727.14</v>
      </c>
      <c r="C203" s="4">
        <v>24039.040000000001</v>
      </c>
      <c r="D203" s="4">
        <v>49385.51</v>
      </c>
      <c r="E203" s="4">
        <v>57177.5</v>
      </c>
      <c r="F203" s="4">
        <v>102924.55</v>
      </c>
      <c r="G203" s="4">
        <v>111940.86</v>
      </c>
      <c r="H203" s="4">
        <v>95133.46</v>
      </c>
      <c r="I203" s="4">
        <v>157141.34</v>
      </c>
      <c r="J203" s="4">
        <v>159816.43</v>
      </c>
      <c r="K203" s="4">
        <v>173217.39130434801</v>
      </c>
      <c r="L203" s="4"/>
    </row>
    <row r="204" spans="1:12" x14ac:dyDescent="0.25">
      <c r="A204" t="s">
        <v>38</v>
      </c>
      <c r="B204" s="4">
        <v>326761.8</v>
      </c>
      <c r="C204" s="4">
        <v>580321.78</v>
      </c>
      <c r="D204" s="4">
        <v>719105.88</v>
      </c>
      <c r="E204" s="4">
        <v>818725.03</v>
      </c>
      <c r="F204" s="4">
        <v>906955.8</v>
      </c>
      <c r="G204" s="4">
        <v>955556.4</v>
      </c>
      <c r="H204" s="4">
        <v>950534.16</v>
      </c>
      <c r="I204" s="4">
        <v>1220418.3700000001</v>
      </c>
      <c r="J204" s="4">
        <v>1174693.1299999999</v>
      </c>
      <c r="K204" s="4">
        <v>1350260.8695652201</v>
      </c>
      <c r="L204" s="4"/>
    </row>
    <row r="205" spans="1:12" x14ac:dyDescent="0.25">
      <c r="A205" t="s">
        <v>39</v>
      </c>
      <c r="B205" s="4">
        <v>13537.43</v>
      </c>
      <c r="C205" s="4">
        <v>87319.45</v>
      </c>
      <c r="D205" s="4">
        <v>128816.59</v>
      </c>
      <c r="E205" s="4">
        <v>159226.56</v>
      </c>
      <c r="F205" s="4">
        <v>191472.65</v>
      </c>
      <c r="G205" s="4">
        <v>224333.15</v>
      </c>
      <c r="H205" s="4">
        <v>272010.98</v>
      </c>
      <c r="I205" s="4">
        <v>245142.52</v>
      </c>
      <c r="J205" s="4">
        <v>235561.79</v>
      </c>
      <c r="K205" s="4">
        <v>259826.08695652199</v>
      </c>
      <c r="L205" s="4"/>
    </row>
    <row r="206" spans="1:12" x14ac:dyDescent="0.25">
      <c r="A206" t="s">
        <v>40</v>
      </c>
      <c r="B206" s="4">
        <v>55766.15</v>
      </c>
      <c r="C206" s="4">
        <v>112324.93</v>
      </c>
      <c r="D206" s="4">
        <v>150952.9</v>
      </c>
      <c r="E206" s="4">
        <v>199547.57</v>
      </c>
      <c r="F206" s="4">
        <v>256933.05</v>
      </c>
      <c r="G206" s="4">
        <v>335237.40000000002</v>
      </c>
      <c r="H206" s="4">
        <v>316334.93</v>
      </c>
      <c r="I206" s="4">
        <v>442611.73</v>
      </c>
      <c r="J206" s="4">
        <v>478360.92</v>
      </c>
      <c r="K206" s="4">
        <v>518608.69565217401</v>
      </c>
      <c r="L206" s="4"/>
    </row>
    <row r="207" spans="1:12" x14ac:dyDescent="0.25">
      <c r="A207" t="s">
        <v>41</v>
      </c>
      <c r="B207" s="4">
        <v>1052555.1000000001</v>
      </c>
      <c r="C207" s="4">
        <v>2224525.89</v>
      </c>
      <c r="D207" s="4">
        <v>2340541.5099999998</v>
      </c>
      <c r="E207" s="4">
        <v>2541095.2599999998</v>
      </c>
      <c r="F207" s="4">
        <v>2850331.5</v>
      </c>
      <c r="G207" s="4">
        <v>2980594.77</v>
      </c>
      <c r="H207" s="4">
        <v>3055393.42</v>
      </c>
      <c r="I207" s="4">
        <v>3392923.05</v>
      </c>
      <c r="J207" s="4">
        <v>3460844.31</v>
      </c>
      <c r="K207" s="4">
        <v>3793043.4782608701</v>
      </c>
      <c r="L207" s="4"/>
    </row>
    <row r="208" spans="1:12" x14ac:dyDescent="0.25">
      <c r="A208" t="s">
        <v>42</v>
      </c>
      <c r="B208" s="4">
        <v>526459.79</v>
      </c>
      <c r="C208" s="4">
        <v>1093340.73</v>
      </c>
      <c r="D208" s="4">
        <v>1303155.1299999999</v>
      </c>
      <c r="E208" s="4">
        <v>1433553.88</v>
      </c>
      <c r="F208" s="4">
        <v>1549858.45</v>
      </c>
      <c r="G208" s="4">
        <v>1399369.24</v>
      </c>
      <c r="H208" s="4">
        <v>1454989.54</v>
      </c>
      <c r="I208" s="4">
        <v>1596079.36</v>
      </c>
      <c r="J208" s="4">
        <v>1576506.16</v>
      </c>
      <c r="K208" s="4">
        <v>1740521.7391304299</v>
      </c>
      <c r="L208" s="4"/>
    </row>
    <row r="209" spans="1:12" x14ac:dyDescent="0.25">
      <c r="A209" t="s">
        <v>43</v>
      </c>
      <c r="B209" s="4">
        <v>167336.59</v>
      </c>
      <c r="C209" s="4">
        <v>286136.14</v>
      </c>
      <c r="D209" s="4">
        <v>211202.3</v>
      </c>
      <c r="E209" s="4">
        <v>274675.59000000003</v>
      </c>
      <c r="F209" s="4">
        <v>299238.53999999998</v>
      </c>
      <c r="G209" s="4">
        <v>289537.83</v>
      </c>
      <c r="H209" s="4">
        <v>335645.72</v>
      </c>
      <c r="I209" s="4">
        <v>294316.53000000003</v>
      </c>
      <c r="J209" s="4">
        <v>240471.35</v>
      </c>
      <c r="K209" s="4">
        <v>295304.34782608697</v>
      </c>
      <c r="L209" s="4"/>
    </row>
    <row r="210" spans="1:12" x14ac:dyDescent="0.25">
      <c r="A210" t="s">
        <v>44</v>
      </c>
      <c r="B210" s="4">
        <v>165415.12</v>
      </c>
      <c r="C210" s="4">
        <v>260634.69</v>
      </c>
      <c r="D210" s="4">
        <v>391403.37</v>
      </c>
      <c r="E210" s="4">
        <v>439098.04</v>
      </c>
      <c r="F210" s="4">
        <v>457620.11</v>
      </c>
      <c r="G210" s="4">
        <v>412722.84</v>
      </c>
      <c r="H210" s="4">
        <v>426298.98</v>
      </c>
      <c r="I210" s="4">
        <v>550945.31000000006</v>
      </c>
      <c r="J210" s="4">
        <v>568588.02</v>
      </c>
      <c r="K210" s="4">
        <v>619826.08695652196</v>
      </c>
      <c r="L210" s="4"/>
    </row>
    <row r="211" spans="1:12" x14ac:dyDescent="0.25">
      <c r="A211" t="s">
        <v>45</v>
      </c>
      <c r="B211" s="4">
        <v>512825.01</v>
      </c>
      <c r="C211" s="4">
        <v>1003817.84</v>
      </c>
      <c r="D211" s="4">
        <v>1310923.24</v>
      </c>
      <c r="E211" s="4">
        <v>1557691.91</v>
      </c>
      <c r="F211" s="4">
        <v>1693342.72</v>
      </c>
      <c r="G211" s="4">
        <v>1911802.12</v>
      </c>
      <c r="H211" s="4">
        <v>2049803.54</v>
      </c>
      <c r="I211" s="4">
        <v>1912627.11</v>
      </c>
      <c r="J211" s="4">
        <v>1991557.82</v>
      </c>
      <c r="K211" s="4">
        <v>2153739.1304347799</v>
      </c>
      <c r="L211" s="4"/>
    </row>
    <row r="212" spans="1:12" x14ac:dyDescent="0.25">
      <c r="A212" t="s">
        <v>46</v>
      </c>
      <c r="B212" s="4">
        <v>54048.76</v>
      </c>
      <c r="C212" s="4">
        <v>83916.38</v>
      </c>
      <c r="D212" s="4">
        <v>113766.72</v>
      </c>
      <c r="E212" s="4">
        <v>115033.98</v>
      </c>
      <c r="F212" s="4">
        <v>102297.95</v>
      </c>
      <c r="G212" s="4">
        <v>179639.01</v>
      </c>
      <c r="H212" s="4">
        <v>197147.78</v>
      </c>
      <c r="I212" s="4">
        <v>289996.12</v>
      </c>
      <c r="J212" s="4">
        <v>258946.79</v>
      </c>
      <c r="K212" s="4">
        <v>308869.56521739101</v>
      </c>
      <c r="L212" s="4"/>
    </row>
    <row r="213" spans="1:12" x14ac:dyDescent="0.25">
      <c r="A213" t="s">
        <v>47</v>
      </c>
      <c r="B213" s="4">
        <v>100301.91</v>
      </c>
      <c r="C213" s="4">
        <v>324707.62</v>
      </c>
      <c r="D213" s="4">
        <v>370338.01</v>
      </c>
      <c r="E213" s="4">
        <v>396626.38</v>
      </c>
      <c r="F213" s="4">
        <v>472194.02</v>
      </c>
      <c r="G213" s="4">
        <v>471212.16</v>
      </c>
      <c r="H213" s="4">
        <v>449045.43</v>
      </c>
      <c r="I213" s="4">
        <v>571443.06999999995</v>
      </c>
      <c r="J213" s="4">
        <v>550696.18000000005</v>
      </c>
      <c r="K213" s="4">
        <v>629217.39130434801</v>
      </c>
      <c r="L213" s="4"/>
    </row>
    <row r="214" spans="1:12" x14ac:dyDescent="0.25">
      <c r="A214" t="s">
        <v>48</v>
      </c>
      <c r="B214" s="4">
        <v>41517.440000000002</v>
      </c>
      <c r="C214" s="4">
        <v>75355.360000000001</v>
      </c>
      <c r="D214" s="4">
        <v>87933.06</v>
      </c>
      <c r="E214" s="4">
        <v>84541.07</v>
      </c>
      <c r="F214" s="4">
        <v>58805.86</v>
      </c>
      <c r="G214" s="4">
        <v>56487.62</v>
      </c>
      <c r="H214" s="4">
        <v>52221.37</v>
      </c>
      <c r="I214" s="4">
        <v>19640.04</v>
      </c>
      <c r="J214" s="4">
        <v>38997.699999999997</v>
      </c>
      <c r="K214" s="4">
        <v>32347.826086956498</v>
      </c>
      <c r="L214" s="4"/>
    </row>
    <row r="215" spans="1:12" x14ac:dyDescent="0.25">
      <c r="A215" t="s">
        <v>49</v>
      </c>
      <c r="B215" s="4">
        <v>354402.13</v>
      </c>
      <c r="C215" s="4">
        <v>602254.97</v>
      </c>
      <c r="D215" s="4">
        <v>656948.09</v>
      </c>
      <c r="E215" s="4">
        <v>660183</v>
      </c>
      <c r="F215" s="4">
        <v>759141.3</v>
      </c>
      <c r="G215" s="4">
        <v>797954.28</v>
      </c>
      <c r="H215" s="4">
        <v>808756.96</v>
      </c>
      <c r="I215" s="4">
        <v>920593.51</v>
      </c>
      <c r="J215" s="4">
        <v>927041.45</v>
      </c>
      <c r="K215" s="4">
        <v>1036173.91304348</v>
      </c>
      <c r="L215" s="4"/>
    </row>
    <row r="216" spans="1:12" x14ac:dyDescent="0.25">
      <c r="A216" t="s">
        <v>50</v>
      </c>
      <c r="B216" s="4">
        <v>1492600.25</v>
      </c>
      <c r="C216" s="4">
        <v>2452438.6800000002</v>
      </c>
      <c r="D216" s="4">
        <v>2842917.86</v>
      </c>
      <c r="E216" s="4">
        <v>2975889.76</v>
      </c>
      <c r="F216" s="4">
        <v>2924197.08</v>
      </c>
      <c r="G216" s="4">
        <v>3202383.1</v>
      </c>
      <c r="H216" s="4">
        <v>3531997.47</v>
      </c>
      <c r="I216" s="4">
        <v>4137591.44</v>
      </c>
      <c r="J216" s="4">
        <v>4393077.37</v>
      </c>
      <c r="K216" s="4">
        <v>4723826.0869565196</v>
      </c>
      <c r="L216" s="4"/>
    </row>
    <row r="217" spans="1:12" x14ac:dyDescent="0.25">
      <c r="A217" t="s">
        <v>51</v>
      </c>
      <c r="B217" s="4">
        <v>104871.05</v>
      </c>
      <c r="C217" s="4">
        <v>349675.79</v>
      </c>
      <c r="D217" s="4">
        <v>314948.09000000003</v>
      </c>
      <c r="E217" s="4">
        <v>355817.72</v>
      </c>
      <c r="F217" s="4">
        <v>386278.27</v>
      </c>
      <c r="G217" s="4">
        <v>458071.56</v>
      </c>
      <c r="H217" s="4">
        <v>372054.32</v>
      </c>
      <c r="I217" s="4">
        <v>368228.18</v>
      </c>
      <c r="J217" s="4">
        <v>435350.19</v>
      </c>
      <c r="K217" s="4">
        <v>433043.47826086998</v>
      </c>
      <c r="L217" s="4"/>
    </row>
    <row r="218" spans="1:12" x14ac:dyDescent="0.25">
      <c r="A218" t="s">
        <v>52</v>
      </c>
      <c r="B218" s="4">
        <v>368550.74</v>
      </c>
      <c r="C218" s="4">
        <v>842522.84</v>
      </c>
      <c r="D218" s="4">
        <v>954290.41</v>
      </c>
      <c r="E218" s="4">
        <v>860117.67</v>
      </c>
      <c r="F218" s="4">
        <v>820483.13</v>
      </c>
      <c r="G218" s="4">
        <v>1000982.12</v>
      </c>
      <c r="H218" s="4">
        <v>1064031.17</v>
      </c>
      <c r="I218" s="4">
        <v>1236149.99</v>
      </c>
      <c r="J218" s="4">
        <v>1313624.08</v>
      </c>
      <c r="K218" s="4">
        <v>1406608.6956521701</v>
      </c>
      <c r="L218" s="4"/>
    </row>
    <row r="219" spans="1:12" x14ac:dyDescent="0.25">
      <c r="A219" t="s">
        <v>53</v>
      </c>
      <c r="B219" s="4">
        <v>33530.019999999997</v>
      </c>
      <c r="C219" s="4">
        <v>121795.54</v>
      </c>
      <c r="D219" s="4">
        <v>167411.57999999999</v>
      </c>
      <c r="E219" s="4">
        <v>178891.96</v>
      </c>
      <c r="F219" s="4">
        <v>176747.24</v>
      </c>
      <c r="G219" s="4">
        <v>128128.34</v>
      </c>
      <c r="H219" s="4">
        <v>107174.39</v>
      </c>
      <c r="I219" s="4">
        <v>116028.54</v>
      </c>
      <c r="J219" s="4">
        <v>66280.509999999995</v>
      </c>
      <c r="K219" s="4">
        <v>102260.869565217</v>
      </c>
      <c r="L219" s="4"/>
    </row>
    <row r="220" spans="1:12" x14ac:dyDescent="0.25">
      <c r="A220" t="s">
        <v>54</v>
      </c>
      <c r="B220" s="4">
        <v>385834.33</v>
      </c>
      <c r="C220" s="4">
        <v>787762.95</v>
      </c>
      <c r="D220" s="4">
        <v>938619.53</v>
      </c>
      <c r="E220" s="4">
        <v>1040429.44</v>
      </c>
      <c r="F220" s="4">
        <v>1045724.63</v>
      </c>
      <c r="G220" s="4">
        <v>1329678.31</v>
      </c>
      <c r="H220" s="4">
        <v>1502050.16</v>
      </c>
      <c r="I220" s="4">
        <v>1683765.21</v>
      </c>
      <c r="J220" s="4">
        <v>1648336.77</v>
      </c>
      <c r="K220" s="4">
        <v>1830260.8695652201</v>
      </c>
      <c r="L220" s="4"/>
    </row>
    <row r="221" spans="1:12" x14ac:dyDescent="0.25">
      <c r="A221" t="s">
        <v>55</v>
      </c>
      <c r="B221" s="4">
        <v>326668.09999999998</v>
      </c>
      <c r="C221" s="4">
        <v>590437.15</v>
      </c>
      <c r="D221" s="4">
        <v>639828.88</v>
      </c>
      <c r="E221" s="4">
        <v>758720.5</v>
      </c>
      <c r="F221" s="4">
        <v>726287.37</v>
      </c>
      <c r="G221" s="4">
        <v>778476.38</v>
      </c>
      <c r="H221" s="4">
        <v>1045520.52</v>
      </c>
      <c r="I221" s="4">
        <v>1140186.82</v>
      </c>
      <c r="J221" s="4">
        <v>951144.52</v>
      </c>
      <c r="K221" s="4">
        <v>1130086.95652174</v>
      </c>
      <c r="L221" s="4"/>
    </row>
    <row r="222" spans="1:12" x14ac:dyDescent="0.25">
      <c r="A222" t="s">
        <v>56</v>
      </c>
      <c r="B222" s="4">
        <v>38448.35</v>
      </c>
      <c r="C222" s="4">
        <v>62677.9</v>
      </c>
      <c r="D222" s="4">
        <v>79413.52</v>
      </c>
      <c r="E222" s="4">
        <v>87018.63</v>
      </c>
      <c r="F222" s="4">
        <v>95142.78</v>
      </c>
      <c r="G222" s="4">
        <v>85386.91</v>
      </c>
      <c r="H222" s="4">
        <v>89422.94</v>
      </c>
      <c r="I222" s="4">
        <v>122587.68</v>
      </c>
      <c r="J222" s="4">
        <v>211107.26</v>
      </c>
      <c r="K222" s="4">
        <v>184695.652173913</v>
      </c>
      <c r="L222" s="4"/>
    </row>
    <row r="223" spans="1:12" x14ac:dyDescent="0.25">
      <c r="A223" t="s">
        <v>57</v>
      </c>
      <c r="B223" s="4">
        <v>31624.13</v>
      </c>
      <c r="C223" s="4">
        <v>73619.81</v>
      </c>
      <c r="D223" s="4">
        <v>99389.46</v>
      </c>
      <c r="E223" s="4">
        <v>86342.97</v>
      </c>
      <c r="F223" s="4">
        <v>88073.95</v>
      </c>
      <c r="G223" s="4">
        <v>74037.2</v>
      </c>
      <c r="H223" s="4">
        <v>80466.78</v>
      </c>
      <c r="I223" s="4">
        <v>84548.9</v>
      </c>
      <c r="J223" s="4">
        <v>67497.37</v>
      </c>
      <c r="K223" s="4">
        <v>82434.782608695605</v>
      </c>
      <c r="L223" s="4"/>
    </row>
    <row r="224" spans="1:12" x14ac:dyDescent="0.25">
      <c r="A224" t="s">
        <v>58</v>
      </c>
      <c r="B224" s="4">
        <f t="shared" ref="B224:K224" si="62">SUM(B174:B223)</f>
        <v>12853017.66</v>
      </c>
      <c r="C224" s="4">
        <f t="shared" si="62"/>
        <v>26143249.749999985</v>
      </c>
      <c r="D224" s="4">
        <f t="shared" si="62"/>
        <v>30713349.119999994</v>
      </c>
      <c r="E224" s="4">
        <f t="shared" si="62"/>
        <v>33814801.670000009</v>
      </c>
      <c r="F224" s="4">
        <f t="shared" si="62"/>
        <v>36682721.06000001</v>
      </c>
      <c r="G224" s="4">
        <f t="shared" si="62"/>
        <v>39783569.899999999</v>
      </c>
      <c r="H224" s="4">
        <f t="shared" si="62"/>
        <v>43060146.920000002</v>
      </c>
      <c r="I224" s="4">
        <f t="shared" si="62"/>
        <v>48638271.119999982</v>
      </c>
      <c r="J224" s="4">
        <f t="shared" si="62"/>
        <v>48088170.660000004</v>
      </c>
      <c r="K224" s="4">
        <f t="shared" si="62"/>
        <v>53203826.086956516</v>
      </c>
      <c r="L224" s="4"/>
    </row>
    <row r="225" spans="1:1" x14ac:dyDescent="0.25">
      <c r="A22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2117-53D4-4103-867F-D209ED63DB4A}">
  <dimension ref="A1:O1200"/>
  <sheetViews>
    <sheetView workbookViewId="0">
      <selection activeCell="H13" sqref="H13"/>
    </sheetView>
  </sheetViews>
  <sheetFormatPr defaultRowHeight="15" x14ac:dyDescent="0.25"/>
  <cols>
    <col min="1" max="1" width="41.42578125" bestFit="1" customWidth="1"/>
    <col min="2" max="2" width="14.140625" bestFit="1" customWidth="1"/>
    <col min="3" max="3" width="15.140625" bestFit="1" customWidth="1"/>
    <col min="4" max="4" width="11.85546875" bestFit="1" customWidth="1"/>
    <col min="5" max="5" width="13.85546875" bestFit="1" customWidth="1"/>
    <col min="6" max="6" width="9.7109375" bestFit="1" customWidth="1"/>
    <col min="7" max="7" width="14.140625" bestFit="1" customWidth="1"/>
    <col min="8" max="8" width="13.42578125" bestFit="1" customWidth="1"/>
    <col min="9" max="9" width="13.140625" bestFit="1" customWidth="1"/>
    <col min="10" max="11" width="12" bestFit="1" customWidth="1"/>
    <col min="12" max="12" width="11" bestFit="1" customWidth="1"/>
    <col min="13" max="13" width="15.28515625" bestFit="1" customWidth="1"/>
    <col min="14" max="14" width="13.42578125" bestFit="1" customWidth="1"/>
    <col min="15" max="15" width="56.28515625" bestFit="1" customWidth="1"/>
  </cols>
  <sheetData>
    <row r="1" spans="1:15" x14ac:dyDescent="0.25">
      <c r="A1" t="str">
        <f>'WP by State &amp; Segment'!A1</f>
        <v>Insurer NJ Umbrella</v>
      </c>
    </row>
    <row r="2" spans="1:15" x14ac:dyDescent="0.25">
      <c r="A2" t="str">
        <f>'WP by State &amp; Segment'!A2</f>
        <v>Umbrella Excess of Loss reinsurance program</v>
      </c>
    </row>
    <row r="3" spans="1:15" x14ac:dyDescent="0.25">
      <c r="A3" t="str">
        <f>'WP by State &amp; Segment'!A3</f>
        <v>Effective: 04/01/2024</v>
      </c>
    </row>
    <row r="4" spans="1:15" x14ac:dyDescent="0.25">
      <c r="A4" t="str">
        <f>'WP by State &amp; Segment'!A4</f>
        <v>Data as of: 11/30/2023</v>
      </c>
    </row>
    <row r="6" spans="1:15" x14ac:dyDescent="0.25">
      <c r="A6" t="s">
        <v>91</v>
      </c>
    </row>
    <row r="7" spans="1:15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77</v>
      </c>
    </row>
    <row r="8" spans="1:15" x14ac:dyDescent="0.25">
      <c r="A8" t="s">
        <v>107</v>
      </c>
      <c r="B8" t="s">
        <v>108</v>
      </c>
      <c r="C8" t="s">
        <v>109</v>
      </c>
      <c r="D8" t="s">
        <v>110</v>
      </c>
      <c r="E8" s="2">
        <v>43189</v>
      </c>
      <c r="F8" t="s">
        <v>12</v>
      </c>
      <c r="G8">
        <v>1000000</v>
      </c>
      <c r="H8" s="2">
        <v>43476</v>
      </c>
      <c r="I8">
        <v>2019</v>
      </c>
      <c r="J8">
        <v>2887.1455973564398</v>
      </c>
      <c r="K8">
        <v>10595.104402643599</v>
      </c>
      <c r="L8">
        <v>92217.56</v>
      </c>
      <c r="M8">
        <v>0</v>
      </c>
      <c r="N8">
        <v>105699.81</v>
      </c>
      <c r="O8" t="s">
        <v>111</v>
      </c>
    </row>
    <row r="9" spans="1:15" x14ac:dyDescent="0.25">
      <c r="A9" t="s">
        <v>112</v>
      </c>
      <c r="B9" t="s">
        <v>113</v>
      </c>
      <c r="C9" t="s">
        <v>114</v>
      </c>
      <c r="D9" t="s">
        <v>110</v>
      </c>
      <c r="E9" s="2">
        <v>43402</v>
      </c>
      <c r="F9" t="s">
        <v>50</v>
      </c>
      <c r="G9">
        <v>5000000</v>
      </c>
      <c r="H9" s="2">
        <v>43470</v>
      </c>
      <c r="I9">
        <v>2019</v>
      </c>
      <c r="J9">
        <v>52398.252590432399</v>
      </c>
      <c r="K9">
        <v>132229.377409568</v>
      </c>
      <c r="L9">
        <v>644894.14</v>
      </c>
      <c r="M9">
        <v>0</v>
      </c>
      <c r="N9">
        <v>829521.77</v>
      </c>
      <c r="O9" t="s">
        <v>115</v>
      </c>
    </row>
    <row r="10" spans="1:15" x14ac:dyDescent="0.25">
      <c r="A10" t="s">
        <v>116</v>
      </c>
      <c r="B10" t="s">
        <v>117</v>
      </c>
      <c r="C10" t="s">
        <v>118</v>
      </c>
      <c r="D10" t="s">
        <v>110</v>
      </c>
      <c r="E10" s="2">
        <v>43231</v>
      </c>
      <c r="F10" t="s">
        <v>12</v>
      </c>
      <c r="G10">
        <v>3000000</v>
      </c>
      <c r="H10" s="2">
        <v>43483</v>
      </c>
      <c r="I10">
        <v>2019</v>
      </c>
      <c r="J10">
        <v>5697.6917184159101</v>
      </c>
      <c r="K10">
        <v>20374.4282815841</v>
      </c>
      <c r="L10">
        <v>88081.14</v>
      </c>
      <c r="M10">
        <v>0</v>
      </c>
      <c r="N10">
        <v>114153.26</v>
      </c>
      <c r="O10" t="s">
        <v>119</v>
      </c>
    </row>
    <row r="11" spans="1:15" x14ac:dyDescent="0.25">
      <c r="A11" t="s">
        <v>120</v>
      </c>
      <c r="B11" t="s">
        <v>121</v>
      </c>
      <c r="C11" t="s">
        <v>122</v>
      </c>
      <c r="D11" t="s">
        <v>110</v>
      </c>
      <c r="E11" s="2">
        <v>43469</v>
      </c>
      <c r="F11" t="s">
        <v>14</v>
      </c>
      <c r="G11">
        <v>1000000</v>
      </c>
      <c r="H11" s="2">
        <v>43508</v>
      </c>
      <c r="I11">
        <v>2019</v>
      </c>
      <c r="J11">
        <v>5426.1299890138398</v>
      </c>
      <c r="K11">
        <v>17867.110010986202</v>
      </c>
      <c r="L11">
        <v>136294.26999999999</v>
      </c>
      <c r="M11">
        <v>0</v>
      </c>
      <c r="N11">
        <v>159587.51</v>
      </c>
      <c r="O11" t="s">
        <v>123</v>
      </c>
    </row>
    <row r="12" spans="1:15" x14ac:dyDescent="0.25">
      <c r="A12" t="s">
        <v>124</v>
      </c>
      <c r="B12" t="s">
        <v>125</v>
      </c>
      <c r="C12" t="s">
        <v>126</v>
      </c>
      <c r="D12" t="s">
        <v>110</v>
      </c>
      <c r="E12" s="2">
        <v>43189</v>
      </c>
      <c r="F12" t="s">
        <v>21</v>
      </c>
      <c r="G12">
        <v>1000000</v>
      </c>
      <c r="H12" s="2">
        <v>43477</v>
      </c>
      <c r="I12">
        <v>2019</v>
      </c>
      <c r="J12">
        <v>8909.9500188138009</v>
      </c>
      <c r="K12">
        <v>30440.6799811862</v>
      </c>
      <c r="L12">
        <v>242341.53</v>
      </c>
      <c r="M12">
        <v>0</v>
      </c>
      <c r="N12">
        <v>281692.15999999997</v>
      </c>
      <c r="O12" t="s">
        <v>127</v>
      </c>
    </row>
    <row r="13" spans="1:15" x14ac:dyDescent="0.25">
      <c r="A13" t="s">
        <v>128</v>
      </c>
      <c r="B13" t="s">
        <v>129</v>
      </c>
      <c r="C13" t="s">
        <v>130</v>
      </c>
      <c r="D13" t="s">
        <v>110</v>
      </c>
      <c r="E13" s="2">
        <v>43374</v>
      </c>
      <c r="F13" t="s">
        <v>52</v>
      </c>
      <c r="G13">
        <v>5000000</v>
      </c>
      <c r="H13" s="2">
        <v>43510</v>
      </c>
      <c r="I13">
        <v>2019</v>
      </c>
      <c r="J13">
        <v>56504.768114137303</v>
      </c>
      <c r="K13">
        <v>161313.78188586299</v>
      </c>
      <c r="L13">
        <v>1282992.6399999999</v>
      </c>
      <c r="M13">
        <v>0</v>
      </c>
      <c r="N13">
        <v>1500811.19</v>
      </c>
      <c r="O13" t="s">
        <v>131</v>
      </c>
    </row>
    <row r="14" spans="1:15" x14ac:dyDescent="0.25">
      <c r="A14" t="s">
        <v>132</v>
      </c>
      <c r="B14" t="s">
        <v>133</v>
      </c>
      <c r="C14" t="s">
        <v>134</v>
      </c>
      <c r="D14" t="s">
        <v>110</v>
      </c>
      <c r="E14" s="2">
        <v>43175</v>
      </c>
      <c r="F14" t="s">
        <v>50</v>
      </c>
      <c r="G14">
        <v>3000000</v>
      </c>
      <c r="H14" s="2">
        <v>43474</v>
      </c>
      <c r="I14">
        <v>2019</v>
      </c>
      <c r="J14">
        <v>6444.6442743875004</v>
      </c>
      <c r="K14">
        <v>18116.765725612498</v>
      </c>
      <c r="L14">
        <v>113088.32000000001</v>
      </c>
      <c r="M14">
        <v>0</v>
      </c>
      <c r="N14">
        <v>137649.73000000001</v>
      </c>
      <c r="O14" t="s">
        <v>135</v>
      </c>
    </row>
    <row r="15" spans="1:15" x14ac:dyDescent="0.25">
      <c r="A15" t="s">
        <v>136</v>
      </c>
      <c r="B15" t="s">
        <v>137</v>
      </c>
      <c r="C15" t="s">
        <v>138</v>
      </c>
      <c r="D15" t="s">
        <v>110</v>
      </c>
      <c r="E15" s="2">
        <v>43145</v>
      </c>
      <c r="F15" t="s">
        <v>19</v>
      </c>
      <c r="G15">
        <v>2000000</v>
      </c>
      <c r="H15" s="2">
        <v>43500</v>
      </c>
      <c r="I15">
        <v>2019</v>
      </c>
      <c r="J15">
        <v>2433.5113121023601</v>
      </c>
      <c r="K15">
        <v>5824.6986878976404</v>
      </c>
      <c r="L15">
        <v>54840.98</v>
      </c>
      <c r="M15">
        <v>0</v>
      </c>
      <c r="N15">
        <v>63099.19</v>
      </c>
      <c r="O15" t="s">
        <v>139</v>
      </c>
    </row>
    <row r="16" spans="1:15" x14ac:dyDescent="0.25">
      <c r="A16" t="s">
        <v>140</v>
      </c>
      <c r="B16" t="s">
        <v>141</v>
      </c>
      <c r="C16" t="s">
        <v>142</v>
      </c>
      <c r="D16" t="s">
        <v>110</v>
      </c>
      <c r="E16" s="2">
        <v>43439</v>
      </c>
      <c r="F16" t="s">
        <v>17</v>
      </c>
      <c r="G16">
        <v>10000000</v>
      </c>
      <c r="H16" s="2">
        <v>43491</v>
      </c>
      <c r="I16">
        <v>2019</v>
      </c>
      <c r="J16">
        <v>60232.864966311099</v>
      </c>
      <c r="K16">
        <v>199993.885033689</v>
      </c>
      <c r="L16">
        <v>1049079.0900000001</v>
      </c>
      <c r="M16">
        <v>0</v>
      </c>
      <c r="N16">
        <v>1309305.8400000001</v>
      </c>
      <c r="O16" t="s">
        <v>143</v>
      </c>
    </row>
    <row r="17" spans="1:15" x14ac:dyDescent="0.25">
      <c r="A17" t="s">
        <v>144</v>
      </c>
      <c r="B17" t="s">
        <v>145</v>
      </c>
      <c r="C17" t="s">
        <v>146</v>
      </c>
      <c r="D17" t="s">
        <v>110</v>
      </c>
      <c r="E17" s="2">
        <v>43491</v>
      </c>
      <c r="F17" t="s">
        <v>12</v>
      </c>
      <c r="G17">
        <v>3000000</v>
      </c>
      <c r="H17" s="2">
        <v>43517</v>
      </c>
      <c r="I17">
        <v>2019</v>
      </c>
      <c r="J17">
        <v>4069.4230058467101</v>
      </c>
      <c r="K17">
        <v>10677.136994153299</v>
      </c>
      <c r="L17">
        <v>84284.86</v>
      </c>
      <c r="M17">
        <v>0</v>
      </c>
      <c r="N17">
        <v>99031.42</v>
      </c>
      <c r="O17" t="s">
        <v>119</v>
      </c>
    </row>
    <row r="18" spans="1:15" x14ac:dyDescent="0.25">
      <c r="A18" t="s">
        <v>147</v>
      </c>
      <c r="B18" t="s">
        <v>148</v>
      </c>
      <c r="C18" t="s">
        <v>149</v>
      </c>
      <c r="D18" t="s">
        <v>110</v>
      </c>
      <c r="E18" s="2">
        <v>43122</v>
      </c>
      <c r="F18" t="s">
        <v>12</v>
      </c>
      <c r="G18">
        <v>3000000</v>
      </c>
      <c r="H18" s="2">
        <v>43470</v>
      </c>
      <c r="I18">
        <v>2019</v>
      </c>
      <c r="J18">
        <v>2408.8941524144502</v>
      </c>
      <c r="K18">
        <v>5944.8958475855497</v>
      </c>
      <c r="L18">
        <v>61317.75</v>
      </c>
      <c r="M18">
        <v>0</v>
      </c>
      <c r="N18">
        <v>69671.539999999994</v>
      </c>
      <c r="O18" t="s">
        <v>150</v>
      </c>
    </row>
    <row r="19" spans="1:15" x14ac:dyDescent="0.25">
      <c r="A19" t="s">
        <v>151</v>
      </c>
      <c r="B19" t="s">
        <v>152</v>
      </c>
      <c r="C19" t="s">
        <v>153</v>
      </c>
      <c r="D19" t="s">
        <v>110</v>
      </c>
      <c r="E19" s="2">
        <v>43305</v>
      </c>
      <c r="F19" t="s">
        <v>41</v>
      </c>
      <c r="G19">
        <v>5000000</v>
      </c>
      <c r="H19" s="2">
        <v>43492</v>
      </c>
      <c r="I19">
        <v>2019</v>
      </c>
      <c r="J19">
        <v>7391.3287013631098</v>
      </c>
      <c r="K19">
        <v>24362.881298636901</v>
      </c>
      <c r="L19">
        <v>132401.04</v>
      </c>
      <c r="M19">
        <v>0</v>
      </c>
      <c r="N19">
        <v>164155.25</v>
      </c>
      <c r="O19" t="s">
        <v>123</v>
      </c>
    </row>
    <row r="20" spans="1:15" x14ac:dyDescent="0.25">
      <c r="A20" t="s">
        <v>154</v>
      </c>
      <c r="B20" t="s">
        <v>155</v>
      </c>
      <c r="C20" t="s">
        <v>156</v>
      </c>
      <c r="D20" t="s">
        <v>110</v>
      </c>
      <c r="E20" s="2">
        <v>43428</v>
      </c>
      <c r="F20" t="s">
        <v>50</v>
      </c>
      <c r="G20">
        <v>1000000</v>
      </c>
      <c r="H20" s="2">
        <v>43517</v>
      </c>
      <c r="I20">
        <v>2019</v>
      </c>
      <c r="J20">
        <v>1926.4775787149699</v>
      </c>
      <c r="K20">
        <v>4750.9424212850299</v>
      </c>
      <c r="L20">
        <v>56118.94</v>
      </c>
      <c r="M20">
        <v>0</v>
      </c>
      <c r="N20">
        <v>62796.36</v>
      </c>
      <c r="O20" t="s">
        <v>157</v>
      </c>
    </row>
    <row r="21" spans="1:15" x14ac:dyDescent="0.25">
      <c r="A21" t="s">
        <v>158</v>
      </c>
      <c r="B21" t="s">
        <v>159</v>
      </c>
      <c r="C21" t="s">
        <v>160</v>
      </c>
      <c r="D21" t="s">
        <v>110</v>
      </c>
      <c r="E21" s="2">
        <v>43206</v>
      </c>
      <c r="F21" t="s">
        <v>45</v>
      </c>
      <c r="G21">
        <v>1000000</v>
      </c>
      <c r="H21" s="2">
        <v>43494</v>
      </c>
      <c r="I21">
        <v>2019</v>
      </c>
      <c r="J21">
        <v>3086.88344553874</v>
      </c>
      <c r="K21">
        <v>10780.676554461301</v>
      </c>
      <c r="L21">
        <v>55901.59</v>
      </c>
      <c r="M21">
        <v>0</v>
      </c>
      <c r="N21">
        <v>69769.149999999994</v>
      </c>
      <c r="O21" t="s">
        <v>157</v>
      </c>
    </row>
    <row r="22" spans="1:15" x14ac:dyDescent="0.25">
      <c r="A22" t="s">
        <v>161</v>
      </c>
      <c r="B22" t="s">
        <v>162</v>
      </c>
      <c r="C22" t="s">
        <v>163</v>
      </c>
      <c r="D22" t="s">
        <v>110</v>
      </c>
      <c r="E22" s="2">
        <v>43433</v>
      </c>
      <c r="F22" t="s">
        <v>34</v>
      </c>
      <c r="G22">
        <v>2000000</v>
      </c>
      <c r="H22" s="2">
        <v>43520</v>
      </c>
      <c r="I22">
        <v>2019</v>
      </c>
      <c r="J22">
        <v>4870.1723429203703</v>
      </c>
      <c r="K22">
        <v>18104.4876570796</v>
      </c>
      <c r="L22">
        <v>103718.78</v>
      </c>
      <c r="M22">
        <v>0</v>
      </c>
      <c r="N22">
        <v>126693.44</v>
      </c>
      <c r="O22" t="s">
        <v>164</v>
      </c>
    </row>
    <row r="23" spans="1:15" x14ac:dyDescent="0.25">
      <c r="A23" t="s">
        <v>165</v>
      </c>
      <c r="B23" t="s">
        <v>166</v>
      </c>
      <c r="C23" t="s">
        <v>167</v>
      </c>
      <c r="D23" t="s">
        <v>110</v>
      </c>
      <c r="E23" s="2">
        <v>43480</v>
      </c>
      <c r="F23" t="s">
        <v>50</v>
      </c>
      <c r="G23">
        <v>2000000</v>
      </c>
      <c r="H23" s="2">
        <v>43538</v>
      </c>
      <c r="I23">
        <v>2019</v>
      </c>
      <c r="J23">
        <v>6616.4625189434601</v>
      </c>
      <c r="K23">
        <v>26069.9274810565</v>
      </c>
      <c r="L23">
        <v>179007.32</v>
      </c>
      <c r="M23">
        <v>0</v>
      </c>
      <c r="N23">
        <v>211693.71</v>
      </c>
      <c r="O23" t="s">
        <v>168</v>
      </c>
    </row>
    <row r="24" spans="1:15" x14ac:dyDescent="0.25">
      <c r="A24" t="s">
        <v>169</v>
      </c>
      <c r="B24" t="s">
        <v>170</v>
      </c>
      <c r="C24" t="s">
        <v>171</v>
      </c>
      <c r="D24" t="s">
        <v>110</v>
      </c>
      <c r="E24" s="2">
        <v>43485</v>
      </c>
      <c r="F24" t="s">
        <v>50</v>
      </c>
      <c r="G24">
        <v>2000000</v>
      </c>
      <c r="H24" s="2">
        <v>43550</v>
      </c>
      <c r="I24">
        <v>2019</v>
      </c>
      <c r="J24">
        <v>9851.7930765277397</v>
      </c>
      <c r="K24">
        <v>27053.9469234723</v>
      </c>
      <c r="L24">
        <v>191115.88</v>
      </c>
      <c r="M24">
        <v>0</v>
      </c>
      <c r="N24">
        <v>228021.62</v>
      </c>
      <c r="O24" t="s">
        <v>172</v>
      </c>
    </row>
    <row r="25" spans="1:15" x14ac:dyDescent="0.25">
      <c r="A25" t="s">
        <v>173</v>
      </c>
      <c r="B25" t="s">
        <v>174</v>
      </c>
      <c r="C25" t="s">
        <v>175</v>
      </c>
      <c r="D25" t="s">
        <v>110</v>
      </c>
      <c r="E25" s="2">
        <v>43508</v>
      </c>
      <c r="F25" t="s">
        <v>22</v>
      </c>
      <c r="G25">
        <v>10000000</v>
      </c>
      <c r="H25" s="2">
        <v>43549</v>
      </c>
      <c r="I25">
        <v>2019</v>
      </c>
      <c r="J25">
        <v>35365.627373469099</v>
      </c>
      <c r="K25">
        <v>88402.162626530902</v>
      </c>
      <c r="L25">
        <v>770259.66</v>
      </c>
      <c r="M25">
        <v>0</v>
      </c>
      <c r="N25">
        <v>894027.45</v>
      </c>
      <c r="O25" t="s">
        <v>143</v>
      </c>
    </row>
    <row r="26" spans="1:15" x14ac:dyDescent="0.25">
      <c r="A26" t="s">
        <v>176</v>
      </c>
      <c r="B26" t="s">
        <v>177</v>
      </c>
      <c r="C26" t="s">
        <v>178</v>
      </c>
      <c r="D26" t="s">
        <v>110</v>
      </c>
      <c r="E26" s="2">
        <v>43562</v>
      </c>
      <c r="F26" t="s">
        <v>32</v>
      </c>
      <c r="G26">
        <v>5000000</v>
      </c>
      <c r="H26" s="2">
        <v>43563</v>
      </c>
      <c r="I26">
        <v>2019</v>
      </c>
      <c r="J26">
        <v>23302.543499598301</v>
      </c>
      <c r="K26">
        <v>74513.476500401695</v>
      </c>
      <c r="L26">
        <v>468658.01</v>
      </c>
      <c r="M26">
        <v>0</v>
      </c>
      <c r="N26">
        <v>566474.03</v>
      </c>
      <c r="O26" t="s">
        <v>179</v>
      </c>
    </row>
    <row r="27" spans="1:15" x14ac:dyDescent="0.25">
      <c r="A27" t="s">
        <v>180</v>
      </c>
      <c r="B27" t="s">
        <v>181</v>
      </c>
      <c r="C27" t="s">
        <v>182</v>
      </c>
      <c r="D27" t="s">
        <v>110</v>
      </c>
      <c r="E27" s="2">
        <v>43280</v>
      </c>
      <c r="F27" t="s">
        <v>18</v>
      </c>
      <c r="G27">
        <v>10000000</v>
      </c>
      <c r="H27" s="2">
        <v>43565</v>
      </c>
      <c r="I27">
        <v>2019</v>
      </c>
      <c r="J27">
        <v>8797.9825913618206</v>
      </c>
      <c r="K27">
        <v>28838.987408638201</v>
      </c>
      <c r="L27">
        <v>245649.24</v>
      </c>
      <c r="M27">
        <v>0</v>
      </c>
      <c r="N27">
        <v>283286.21000000002</v>
      </c>
      <c r="O27" t="s">
        <v>127</v>
      </c>
    </row>
    <row r="28" spans="1:15" x14ac:dyDescent="0.25">
      <c r="A28" t="s">
        <v>183</v>
      </c>
      <c r="B28" t="s">
        <v>184</v>
      </c>
      <c r="C28" t="s">
        <v>185</v>
      </c>
      <c r="D28" t="s">
        <v>110</v>
      </c>
      <c r="E28" s="2">
        <v>43460</v>
      </c>
      <c r="F28" t="s">
        <v>14</v>
      </c>
      <c r="G28">
        <v>5000000</v>
      </c>
      <c r="H28" s="2">
        <v>43560</v>
      </c>
      <c r="I28">
        <v>2019</v>
      </c>
      <c r="J28">
        <v>4758.5481075132802</v>
      </c>
      <c r="K28">
        <v>13203.1018924867</v>
      </c>
      <c r="L28">
        <v>124347.5</v>
      </c>
      <c r="M28">
        <v>0</v>
      </c>
      <c r="N28">
        <v>142309.15</v>
      </c>
      <c r="O28" t="s">
        <v>186</v>
      </c>
    </row>
    <row r="29" spans="1:15" x14ac:dyDescent="0.25">
      <c r="A29" t="s">
        <v>187</v>
      </c>
      <c r="B29" t="s">
        <v>188</v>
      </c>
      <c r="C29" t="s">
        <v>189</v>
      </c>
      <c r="D29" t="s">
        <v>110</v>
      </c>
      <c r="E29" s="2">
        <v>43352</v>
      </c>
      <c r="F29" t="s">
        <v>13</v>
      </c>
      <c r="G29">
        <v>1000000</v>
      </c>
      <c r="H29" s="2">
        <v>43570</v>
      </c>
      <c r="I29">
        <v>2019</v>
      </c>
      <c r="J29">
        <v>19482.852722418698</v>
      </c>
      <c r="K29">
        <v>58371.177277581301</v>
      </c>
      <c r="L29">
        <v>458382.59</v>
      </c>
      <c r="M29">
        <v>0</v>
      </c>
      <c r="N29">
        <v>536236.62</v>
      </c>
      <c r="O29" t="s">
        <v>179</v>
      </c>
    </row>
    <row r="30" spans="1:15" x14ac:dyDescent="0.25">
      <c r="A30" t="s">
        <v>190</v>
      </c>
      <c r="B30" t="s">
        <v>191</v>
      </c>
      <c r="C30" t="s">
        <v>192</v>
      </c>
      <c r="D30" t="s">
        <v>110</v>
      </c>
      <c r="E30" s="2">
        <v>43293</v>
      </c>
      <c r="F30" t="s">
        <v>12</v>
      </c>
      <c r="G30">
        <v>5000000</v>
      </c>
      <c r="H30" s="2">
        <v>43568</v>
      </c>
      <c r="I30">
        <v>2019</v>
      </c>
      <c r="J30">
        <v>8343.3713970869503</v>
      </c>
      <c r="K30">
        <v>21338.728602913001</v>
      </c>
      <c r="L30">
        <v>139210.59</v>
      </c>
      <c r="M30">
        <v>0</v>
      </c>
      <c r="N30">
        <v>168892.69</v>
      </c>
      <c r="O30" t="s">
        <v>193</v>
      </c>
    </row>
    <row r="31" spans="1:15" x14ac:dyDescent="0.25">
      <c r="A31" t="s">
        <v>194</v>
      </c>
      <c r="B31" t="s">
        <v>195</v>
      </c>
      <c r="C31" t="s">
        <v>196</v>
      </c>
      <c r="D31" t="s">
        <v>110</v>
      </c>
      <c r="E31" s="2">
        <v>43448</v>
      </c>
      <c r="F31" t="s">
        <v>18</v>
      </c>
      <c r="G31">
        <v>5000000</v>
      </c>
      <c r="H31" s="2">
        <v>43572</v>
      </c>
      <c r="I31">
        <v>2019</v>
      </c>
      <c r="J31">
        <v>4485.8590860806698</v>
      </c>
      <c r="K31">
        <v>11842.830913919301</v>
      </c>
      <c r="L31">
        <v>74507.199999999997</v>
      </c>
      <c r="M31">
        <v>0</v>
      </c>
      <c r="N31">
        <v>90835.89</v>
      </c>
      <c r="O31" t="s">
        <v>197</v>
      </c>
    </row>
    <row r="32" spans="1:15" x14ac:dyDescent="0.25">
      <c r="A32" t="s">
        <v>198</v>
      </c>
      <c r="B32" t="s">
        <v>199</v>
      </c>
      <c r="C32" t="s">
        <v>200</v>
      </c>
      <c r="D32" t="s">
        <v>110</v>
      </c>
      <c r="E32" s="2">
        <v>43419</v>
      </c>
      <c r="F32" t="s">
        <v>17</v>
      </c>
      <c r="G32">
        <v>5000000</v>
      </c>
      <c r="H32" s="2">
        <v>43591</v>
      </c>
      <c r="I32">
        <v>2019</v>
      </c>
      <c r="J32">
        <v>8727.1011648356598</v>
      </c>
      <c r="K32">
        <v>21121.238835164299</v>
      </c>
      <c r="L32">
        <v>115082.75</v>
      </c>
      <c r="M32">
        <v>0</v>
      </c>
      <c r="N32">
        <v>144931.09</v>
      </c>
      <c r="O32" t="s">
        <v>186</v>
      </c>
    </row>
    <row r="33" spans="1:15" x14ac:dyDescent="0.25">
      <c r="A33" t="s">
        <v>201</v>
      </c>
      <c r="B33" t="s">
        <v>202</v>
      </c>
      <c r="C33" t="s">
        <v>203</v>
      </c>
      <c r="D33" t="s">
        <v>110</v>
      </c>
      <c r="E33" s="2">
        <v>43445</v>
      </c>
      <c r="F33" t="s">
        <v>55</v>
      </c>
      <c r="G33">
        <v>2000000</v>
      </c>
      <c r="H33" s="2">
        <v>43590</v>
      </c>
      <c r="I33">
        <v>2019</v>
      </c>
      <c r="J33">
        <v>5451.9326425097097</v>
      </c>
      <c r="K33">
        <v>14587.717357490301</v>
      </c>
      <c r="L33">
        <v>94181.78</v>
      </c>
      <c r="M33">
        <v>0</v>
      </c>
      <c r="N33">
        <v>114221.43</v>
      </c>
      <c r="O33" t="s">
        <v>111</v>
      </c>
    </row>
    <row r="34" spans="1:15" x14ac:dyDescent="0.25">
      <c r="A34" t="s">
        <v>204</v>
      </c>
      <c r="B34" t="s">
        <v>205</v>
      </c>
      <c r="C34" t="s">
        <v>206</v>
      </c>
      <c r="D34" t="s">
        <v>110</v>
      </c>
      <c r="E34" s="2">
        <v>43447</v>
      </c>
      <c r="F34" t="s">
        <v>41</v>
      </c>
      <c r="G34">
        <v>2000000</v>
      </c>
      <c r="H34" s="2">
        <v>43560</v>
      </c>
      <c r="I34">
        <v>2019</v>
      </c>
      <c r="J34">
        <v>1903.5246579539501</v>
      </c>
      <c r="K34">
        <v>5081.3453420460501</v>
      </c>
      <c r="L34">
        <v>69154.649999999994</v>
      </c>
      <c r="M34">
        <v>0</v>
      </c>
      <c r="N34">
        <v>76139.520000000004</v>
      </c>
      <c r="O34" t="s">
        <v>207</v>
      </c>
    </row>
    <row r="35" spans="1:15" x14ac:dyDescent="0.25">
      <c r="A35" t="s">
        <v>208</v>
      </c>
      <c r="B35" t="s">
        <v>209</v>
      </c>
      <c r="C35" t="s">
        <v>210</v>
      </c>
      <c r="D35" t="s">
        <v>110</v>
      </c>
      <c r="E35" s="2">
        <v>43353</v>
      </c>
      <c r="F35" t="s">
        <v>41</v>
      </c>
      <c r="G35">
        <v>5000000</v>
      </c>
      <c r="H35" s="2">
        <v>43612</v>
      </c>
      <c r="I35">
        <v>2019</v>
      </c>
      <c r="J35">
        <v>7871.0396499631997</v>
      </c>
      <c r="K35">
        <v>25919.870350036799</v>
      </c>
      <c r="L35">
        <v>149857.34</v>
      </c>
      <c r="M35">
        <v>0</v>
      </c>
      <c r="N35">
        <v>183648.25</v>
      </c>
      <c r="O35" t="s">
        <v>211</v>
      </c>
    </row>
    <row r="36" spans="1:15" x14ac:dyDescent="0.25">
      <c r="A36" t="s">
        <v>212</v>
      </c>
      <c r="B36" t="s">
        <v>213</v>
      </c>
      <c r="C36" t="s">
        <v>214</v>
      </c>
      <c r="D36" t="s">
        <v>110</v>
      </c>
      <c r="E36" s="2">
        <v>43339</v>
      </c>
      <c r="F36" t="s">
        <v>43</v>
      </c>
      <c r="G36">
        <v>2000000</v>
      </c>
      <c r="H36" s="2">
        <v>43594</v>
      </c>
      <c r="I36">
        <v>2019</v>
      </c>
      <c r="J36">
        <v>11575.689526910801</v>
      </c>
      <c r="K36">
        <v>33034.140473089203</v>
      </c>
      <c r="L36">
        <v>187472.42</v>
      </c>
      <c r="M36">
        <v>0</v>
      </c>
      <c r="N36">
        <v>232082.25</v>
      </c>
      <c r="O36" t="s">
        <v>172</v>
      </c>
    </row>
    <row r="37" spans="1:15" x14ac:dyDescent="0.25">
      <c r="A37" t="s">
        <v>215</v>
      </c>
      <c r="B37" t="s">
        <v>216</v>
      </c>
      <c r="C37" t="s">
        <v>217</v>
      </c>
      <c r="D37" t="s">
        <v>110</v>
      </c>
      <c r="E37" s="2">
        <v>43284</v>
      </c>
      <c r="F37" t="s">
        <v>12</v>
      </c>
      <c r="G37">
        <v>4000000</v>
      </c>
      <c r="H37" s="2">
        <v>43585</v>
      </c>
      <c r="I37">
        <v>2019</v>
      </c>
      <c r="J37">
        <v>7328.5800649313696</v>
      </c>
      <c r="K37">
        <v>18032.249935068601</v>
      </c>
      <c r="L37">
        <v>239575.73</v>
      </c>
      <c r="M37">
        <v>0</v>
      </c>
      <c r="N37">
        <v>264936.56</v>
      </c>
      <c r="O37" t="s">
        <v>127</v>
      </c>
    </row>
    <row r="38" spans="1:15" x14ac:dyDescent="0.25">
      <c r="A38" t="s">
        <v>218</v>
      </c>
      <c r="B38" t="s">
        <v>219</v>
      </c>
      <c r="C38" t="s">
        <v>220</v>
      </c>
      <c r="D38" t="s">
        <v>110</v>
      </c>
      <c r="E38" s="2">
        <v>43515</v>
      </c>
      <c r="F38" t="s">
        <v>12</v>
      </c>
      <c r="G38">
        <v>2000000</v>
      </c>
      <c r="H38" s="2">
        <v>43601</v>
      </c>
      <c r="I38">
        <v>2019</v>
      </c>
      <c r="J38">
        <v>7443.2513107792502</v>
      </c>
      <c r="K38">
        <v>20255.928689220698</v>
      </c>
      <c r="L38">
        <v>233191.55</v>
      </c>
      <c r="M38">
        <v>0</v>
      </c>
      <c r="N38">
        <v>260890.73</v>
      </c>
      <c r="O38" t="s">
        <v>127</v>
      </c>
    </row>
    <row r="39" spans="1:15" x14ac:dyDescent="0.25">
      <c r="A39" t="s">
        <v>221</v>
      </c>
      <c r="B39" t="s">
        <v>222</v>
      </c>
      <c r="C39" t="s">
        <v>223</v>
      </c>
      <c r="D39" t="s">
        <v>110</v>
      </c>
      <c r="E39" s="2">
        <v>43219</v>
      </c>
      <c r="F39" t="s">
        <v>29</v>
      </c>
      <c r="G39">
        <v>2000000</v>
      </c>
      <c r="H39" s="2">
        <v>43576</v>
      </c>
      <c r="I39">
        <v>2019</v>
      </c>
      <c r="J39">
        <v>34039.492315939802</v>
      </c>
      <c r="K39">
        <v>92147.047684060104</v>
      </c>
      <c r="L39">
        <v>619321.71</v>
      </c>
      <c r="M39">
        <v>0</v>
      </c>
      <c r="N39">
        <v>745508.25</v>
      </c>
      <c r="O39" t="s">
        <v>115</v>
      </c>
    </row>
    <row r="40" spans="1:15" x14ac:dyDescent="0.25">
      <c r="A40" t="s">
        <v>224</v>
      </c>
      <c r="B40" t="s">
        <v>225</v>
      </c>
      <c r="C40" t="s">
        <v>226</v>
      </c>
      <c r="D40" t="s">
        <v>110</v>
      </c>
      <c r="E40" s="2">
        <v>43327</v>
      </c>
      <c r="F40" t="s">
        <v>38</v>
      </c>
      <c r="G40">
        <v>3000000</v>
      </c>
      <c r="H40" s="2">
        <v>43607</v>
      </c>
      <c r="I40">
        <v>2019</v>
      </c>
      <c r="J40">
        <v>8825.6455482915208</v>
      </c>
      <c r="K40">
        <v>33129.674451708503</v>
      </c>
      <c r="L40">
        <v>189744.19</v>
      </c>
      <c r="M40">
        <v>0</v>
      </c>
      <c r="N40">
        <v>231699.51</v>
      </c>
      <c r="O40" t="s">
        <v>172</v>
      </c>
    </row>
    <row r="41" spans="1:15" x14ac:dyDescent="0.25">
      <c r="A41" t="s">
        <v>227</v>
      </c>
      <c r="B41" t="s">
        <v>228</v>
      </c>
      <c r="C41" t="s">
        <v>229</v>
      </c>
      <c r="D41" t="s">
        <v>110</v>
      </c>
      <c r="E41" s="2">
        <v>43372</v>
      </c>
      <c r="F41" t="s">
        <v>38</v>
      </c>
      <c r="G41">
        <v>1000000</v>
      </c>
      <c r="H41" s="2">
        <v>43632</v>
      </c>
      <c r="I41">
        <v>2019</v>
      </c>
      <c r="J41">
        <v>5200.5028743726598</v>
      </c>
      <c r="K41">
        <v>12586.0571256273</v>
      </c>
      <c r="L41">
        <v>65832.12</v>
      </c>
      <c r="M41">
        <v>0</v>
      </c>
      <c r="N41">
        <v>83618.679999999993</v>
      </c>
      <c r="O41" t="s">
        <v>207</v>
      </c>
    </row>
    <row r="42" spans="1:15" x14ac:dyDescent="0.25">
      <c r="A42" t="s">
        <v>230</v>
      </c>
      <c r="B42" t="s">
        <v>231</v>
      </c>
      <c r="C42" t="s">
        <v>232</v>
      </c>
      <c r="D42" t="s">
        <v>110</v>
      </c>
      <c r="E42" s="2">
        <v>43540</v>
      </c>
      <c r="F42" t="s">
        <v>52</v>
      </c>
      <c r="G42">
        <v>5000000</v>
      </c>
      <c r="H42" s="2">
        <v>43604</v>
      </c>
      <c r="I42">
        <v>2019</v>
      </c>
      <c r="J42">
        <v>13839.207400572201</v>
      </c>
      <c r="K42">
        <v>51140.5525994278</v>
      </c>
      <c r="L42">
        <v>224539.66</v>
      </c>
      <c r="M42">
        <v>0</v>
      </c>
      <c r="N42">
        <v>289519.42</v>
      </c>
      <c r="O42" t="s">
        <v>233</v>
      </c>
    </row>
    <row r="43" spans="1:15" x14ac:dyDescent="0.25">
      <c r="A43" t="s">
        <v>234</v>
      </c>
      <c r="B43" t="s">
        <v>235</v>
      </c>
      <c r="C43" t="s">
        <v>236</v>
      </c>
      <c r="D43" t="s">
        <v>110</v>
      </c>
      <c r="E43" s="2">
        <v>43375</v>
      </c>
      <c r="F43" t="s">
        <v>38</v>
      </c>
      <c r="G43">
        <v>3000000</v>
      </c>
      <c r="H43" s="2">
        <v>43493</v>
      </c>
      <c r="I43">
        <v>2019</v>
      </c>
      <c r="J43">
        <v>25370.4655944808</v>
      </c>
      <c r="K43">
        <v>85980.974405519199</v>
      </c>
      <c r="L43">
        <v>494281.86</v>
      </c>
      <c r="M43">
        <v>0</v>
      </c>
      <c r="N43">
        <v>605633.30000000005</v>
      </c>
      <c r="O43" t="s">
        <v>179</v>
      </c>
    </row>
    <row r="44" spans="1:15" x14ac:dyDescent="0.25">
      <c r="A44" t="s">
        <v>237</v>
      </c>
      <c r="B44" t="s">
        <v>238</v>
      </c>
      <c r="C44" t="s">
        <v>239</v>
      </c>
      <c r="D44" t="s">
        <v>110</v>
      </c>
      <c r="E44" s="2">
        <v>43428</v>
      </c>
      <c r="F44" t="s">
        <v>34</v>
      </c>
      <c r="G44">
        <v>1000000</v>
      </c>
      <c r="H44" s="2">
        <v>43609</v>
      </c>
      <c r="I44">
        <v>2019</v>
      </c>
      <c r="J44">
        <v>4246.0762158195303</v>
      </c>
      <c r="K44">
        <v>10183.843784180501</v>
      </c>
      <c r="L44">
        <v>75681.17</v>
      </c>
      <c r="M44">
        <v>0</v>
      </c>
      <c r="N44">
        <v>90111.09</v>
      </c>
      <c r="O44" t="s">
        <v>240</v>
      </c>
    </row>
    <row r="45" spans="1:15" x14ac:dyDescent="0.25">
      <c r="A45" t="s">
        <v>241</v>
      </c>
      <c r="B45" t="s">
        <v>242</v>
      </c>
      <c r="C45" t="s">
        <v>243</v>
      </c>
      <c r="D45" t="s">
        <v>110</v>
      </c>
      <c r="E45" s="2">
        <v>43252</v>
      </c>
      <c r="F45" t="s">
        <v>50</v>
      </c>
      <c r="G45">
        <v>3000000</v>
      </c>
      <c r="H45" s="2">
        <v>43586</v>
      </c>
      <c r="I45">
        <v>2019</v>
      </c>
      <c r="J45">
        <v>5339.8428410824799</v>
      </c>
      <c r="K45">
        <v>12762.4971589175</v>
      </c>
      <c r="L45">
        <v>127099.43</v>
      </c>
      <c r="M45">
        <v>0</v>
      </c>
      <c r="N45">
        <v>145201.76999999999</v>
      </c>
      <c r="O45" t="s">
        <v>123</v>
      </c>
    </row>
    <row r="46" spans="1:15" x14ac:dyDescent="0.25">
      <c r="A46" t="s">
        <v>244</v>
      </c>
      <c r="B46" t="s">
        <v>245</v>
      </c>
      <c r="C46" t="s">
        <v>246</v>
      </c>
      <c r="D46" t="s">
        <v>110</v>
      </c>
      <c r="E46" s="2">
        <v>43538</v>
      </c>
      <c r="F46" t="s">
        <v>50</v>
      </c>
      <c r="G46">
        <v>2000000</v>
      </c>
      <c r="H46" s="2">
        <v>43571</v>
      </c>
      <c r="I46">
        <v>2019</v>
      </c>
      <c r="J46">
        <v>3789.9925428802799</v>
      </c>
      <c r="K46">
        <v>11036.6074571197</v>
      </c>
      <c r="L46">
        <v>137180.91</v>
      </c>
      <c r="M46">
        <v>0</v>
      </c>
      <c r="N46">
        <v>152007.51</v>
      </c>
      <c r="O46" t="s">
        <v>123</v>
      </c>
    </row>
    <row r="47" spans="1:15" x14ac:dyDescent="0.25">
      <c r="A47" t="s">
        <v>247</v>
      </c>
      <c r="B47" t="s">
        <v>248</v>
      </c>
      <c r="C47" t="s">
        <v>249</v>
      </c>
      <c r="D47" t="s">
        <v>110</v>
      </c>
      <c r="E47" s="2">
        <v>43357</v>
      </c>
      <c r="F47" t="s">
        <v>12</v>
      </c>
      <c r="G47">
        <v>5000000</v>
      </c>
      <c r="H47" s="2">
        <v>43669</v>
      </c>
      <c r="I47">
        <v>2019</v>
      </c>
      <c r="J47">
        <v>7184.6525807871103</v>
      </c>
      <c r="K47">
        <v>17870.987419212899</v>
      </c>
      <c r="L47">
        <v>237993.29</v>
      </c>
      <c r="M47">
        <v>0</v>
      </c>
      <c r="N47">
        <v>263048.93</v>
      </c>
      <c r="O47" t="s">
        <v>127</v>
      </c>
    </row>
    <row r="48" spans="1:15" x14ac:dyDescent="0.25">
      <c r="A48" t="s">
        <v>250</v>
      </c>
      <c r="B48" t="s">
        <v>251</v>
      </c>
      <c r="C48" t="s">
        <v>252</v>
      </c>
      <c r="D48" t="s">
        <v>110</v>
      </c>
      <c r="E48" s="2">
        <v>43548</v>
      </c>
      <c r="F48" t="s">
        <v>12</v>
      </c>
      <c r="G48">
        <v>5000000</v>
      </c>
      <c r="H48" s="2">
        <v>43648</v>
      </c>
      <c r="I48">
        <v>2019</v>
      </c>
      <c r="J48">
        <v>4628.5412070853399</v>
      </c>
      <c r="K48">
        <v>15201.4387929147</v>
      </c>
      <c r="L48">
        <v>157705.09</v>
      </c>
      <c r="M48">
        <v>0</v>
      </c>
      <c r="N48">
        <v>177535.07</v>
      </c>
      <c r="O48" t="s">
        <v>211</v>
      </c>
    </row>
    <row r="49" spans="1:15" x14ac:dyDescent="0.25">
      <c r="A49" t="s">
        <v>253</v>
      </c>
      <c r="B49" t="s">
        <v>254</v>
      </c>
      <c r="C49" t="s">
        <v>255</v>
      </c>
      <c r="D49" t="s">
        <v>110</v>
      </c>
      <c r="E49" s="2">
        <v>43295</v>
      </c>
      <c r="F49" t="s">
        <v>50</v>
      </c>
      <c r="G49">
        <v>1000000</v>
      </c>
      <c r="H49" s="2">
        <v>43658</v>
      </c>
      <c r="I49">
        <v>2019</v>
      </c>
      <c r="J49">
        <v>3061.5546137596398</v>
      </c>
      <c r="K49">
        <v>8906.9253862403602</v>
      </c>
      <c r="L49">
        <v>55190.78</v>
      </c>
      <c r="M49">
        <v>0</v>
      </c>
      <c r="N49">
        <v>67159.259999999995</v>
      </c>
      <c r="O49" t="s">
        <v>139</v>
      </c>
    </row>
    <row r="50" spans="1:15" x14ac:dyDescent="0.25">
      <c r="A50" t="s">
        <v>256</v>
      </c>
      <c r="B50" t="s">
        <v>257</v>
      </c>
      <c r="C50" t="s">
        <v>258</v>
      </c>
      <c r="D50" t="s">
        <v>110</v>
      </c>
      <c r="E50" s="2">
        <v>43561</v>
      </c>
      <c r="F50" t="s">
        <v>27</v>
      </c>
      <c r="G50">
        <v>5000000</v>
      </c>
      <c r="H50" s="2">
        <v>43662</v>
      </c>
      <c r="I50">
        <v>2019</v>
      </c>
      <c r="J50">
        <v>14726.857030917001</v>
      </c>
      <c r="K50">
        <v>41148.082969083</v>
      </c>
      <c r="L50">
        <v>232298.32</v>
      </c>
      <c r="M50">
        <v>0</v>
      </c>
      <c r="N50">
        <v>288173.26</v>
      </c>
      <c r="O50" t="s">
        <v>127</v>
      </c>
    </row>
    <row r="51" spans="1:15" x14ac:dyDescent="0.25">
      <c r="A51" t="s">
        <v>259</v>
      </c>
      <c r="B51" t="s">
        <v>260</v>
      </c>
      <c r="C51" t="s">
        <v>261</v>
      </c>
      <c r="D51" t="s">
        <v>110</v>
      </c>
      <c r="E51" s="2">
        <v>43562</v>
      </c>
      <c r="F51" t="s">
        <v>34</v>
      </c>
      <c r="G51">
        <v>2000000</v>
      </c>
      <c r="H51" s="2">
        <v>43639</v>
      </c>
      <c r="I51">
        <v>2019</v>
      </c>
      <c r="J51">
        <v>2165.0573365466398</v>
      </c>
      <c r="K51">
        <v>5497.0426634533596</v>
      </c>
      <c r="L51">
        <v>60074.01</v>
      </c>
      <c r="M51">
        <v>0</v>
      </c>
      <c r="N51">
        <v>67736.11</v>
      </c>
      <c r="O51" t="s">
        <v>150</v>
      </c>
    </row>
    <row r="52" spans="1:15" x14ac:dyDescent="0.25">
      <c r="A52" t="s">
        <v>262</v>
      </c>
      <c r="B52" t="s">
        <v>263</v>
      </c>
      <c r="C52" t="s">
        <v>264</v>
      </c>
      <c r="D52" t="s">
        <v>110</v>
      </c>
      <c r="E52" s="2">
        <v>43389</v>
      </c>
      <c r="F52" t="s">
        <v>11</v>
      </c>
      <c r="G52">
        <v>5000000</v>
      </c>
      <c r="H52" s="2">
        <v>43579</v>
      </c>
      <c r="I52">
        <v>2019</v>
      </c>
      <c r="J52">
        <v>3219.3149316332601</v>
      </c>
      <c r="K52">
        <v>8642.0650683667409</v>
      </c>
      <c r="L52">
        <v>78981.289999999994</v>
      </c>
      <c r="M52">
        <v>0</v>
      </c>
      <c r="N52">
        <v>90842.67</v>
      </c>
      <c r="O52" t="s">
        <v>240</v>
      </c>
    </row>
    <row r="53" spans="1:15" x14ac:dyDescent="0.25">
      <c r="A53" t="s">
        <v>265</v>
      </c>
      <c r="B53" t="s">
        <v>266</v>
      </c>
      <c r="C53" t="s">
        <v>267</v>
      </c>
      <c r="D53" t="s">
        <v>110</v>
      </c>
      <c r="E53" s="2">
        <v>43434</v>
      </c>
      <c r="F53" t="s">
        <v>17</v>
      </c>
      <c r="G53">
        <v>5000000</v>
      </c>
      <c r="H53" s="2">
        <v>43647</v>
      </c>
      <c r="I53">
        <v>2019</v>
      </c>
      <c r="J53">
        <v>19534.881286463398</v>
      </c>
      <c r="K53">
        <v>48447.798713536497</v>
      </c>
      <c r="L53">
        <v>442080.83</v>
      </c>
      <c r="M53">
        <v>0</v>
      </c>
      <c r="N53">
        <v>510063.51</v>
      </c>
      <c r="O53" t="s">
        <v>179</v>
      </c>
    </row>
    <row r="54" spans="1:15" x14ac:dyDescent="0.25">
      <c r="A54" t="s">
        <v>268</v>
      </c>
      <c r="B54" t="s">
        <v>269</v>
      </c>
      <c r="C54" t="s">
        <v>270</v>
      </c>
      <c r="D54" t="s">
        <v>110</v>
      </c>
      <c r="E54" s="2">
        <v>43514</v>
      </c>
      <c r="F54" t="s">
        <v>30</v>
      </c>
      <c r="G54">
        <v>2000000</v>
      </c>
      <c r="H54" s="2">
        <v>43657</v>
      </c>
      <c r="I54">
        <v>2019</v>
      </c>
      <c r="J54">
        <v>6689.5821100659996</v>
      </c>
      <c r="K54">
        <v>15861.527889933999</v>
      </c>
      <c r="L54">
        <v>136461.81</v>
      </c>
      <c r="M54">
        <v>0</v>
      </c>
      <c r="N54">
        <v>159012.92000000001</v>
      </c>
      <c r="O54" t="s">
        <v>123</v>
      </c>
    </row>
    <row r="55" spans="1:15" x14ac:dyDescent="0.25">
      <c r="A55" t="s">
        <v>271</v>
      </c>
      <c r="B55" t="s">
        <v>272</v>
      </c>
      <c r="C55" t="s">
        <v>273</v>
      </c>
      <c r="D55" t="s">
        <v>110</v>
      </c>
      <c r="E55" s="2">
        <v>43571</v>
      </c>
      <c r="F55" t="s">
        <v>38</v>
      </c>
      <c r="G55">
        <v>5000000</v>
      </c>
      <c r="H55" s="2">
        <v>43680</v>
      </c>
      <c r="I55">
        <v>2019</v>
      </c>
      <c r="J55">
        <v>8878.5168439908794</v>
      </c>
      <c r="K55">
        <v>30408.593156009101</v>
      </c>
      <c r="L55">
        <v>324455.40000000002</v>
      </c>
      <c r="M55">
        <v>0</v>
      </c>
      <c r="N55">
        <v>363742.51</v>
      </c>
      <c r="O55" t="s">
        <v>274</v>
      </c>
    </row>
    <row r="56" spans="1:15" x14ac:dyDescent="0.25">
      <c r="A56" t="s">
        <v>275</v>
      </c>
      <c r="B56" t="s">
        <v>276</v>
      </c>
      <c r="C56" t="s">
        <v>277</v>
      </c>
      <c r="D56" t="s">
        <v>110</v>
      </c>
      <c r="E56" s="2">
        <v>43398</v>
      </c>
      <c r="F56" t="s">
        <v>47</v>
      </c>
      <c r="G56">
        <v>1000000</v>
      </c>
      <c r="H56" s="2">
        <v>43556</v>
      </c>
      <c r="I56">
        <v>2019</v>
      </c>
      <c r="J56">
        <v>1751.8209613814199</v>
      </c>
      <c r="K56">
        <v>5172.1890386185796</v>
      </c>
      <c r="L56">
        <v>56846.03</v>
      </c>
      <c r="M56">
        <v>0</v>
      </c>
      <c r="N56">
        <v>63770.04</v>
      </c>
      <c r="O56" t="s">
        <v>157</v>
      </c>
    </row>
    <row r="57" spans="1:15" x14ac:dyDescent="0.25">
      <c r="A57" t="s">
        <v>278</v>
      </c>
      <c r="B57" t="s">
        <v>279</v>
      </c>
      <c r="C57" t="s">
        <v>280</v>
      </c>
      <c r="D57" t="s">
        <v>110</v>
      </c>
      <c r="E57" s="2">
        <v>43491</v>
      </c>
      <c r="F57" t="s">
        <v>36</v>
      </c>
      <c r="G57">
        <v>5000000</v>
      </c>
      <c r="H57" s="2">
        <v>43673</v>
      </c>
      <c r="I57">
        <v>2019</v>
      </c>
      <c r="J57">
        <v>40996.176244259397</v>
      </c>
      <c r="K57">
        <v>96510.173755740601</v>
      </c>
      <c r="L57">
        <v>1038773.32</v>
      </c>
      <c r="M57">
        <v>0</v>
      </c>
      <c r="N57">
        <v>1176279.67</v>
      </c>
      <c r="O57" t="s">
        <v>143</v>
      </c>
    </row>
    <row r="58" spans="1:15" x14ac:dyDescent="0.25">
      <c r="A58" t="s">
        <v>281</v>
      </c>
      <c r="B58" t="s">
        <v>282</v>
      </c>
      <c r="C58" t="s">
        <v>283</v>
      </c>
      <c r="D58" t="s">
        <v>110</v>
      </c>
      <c r="E58" s="2">
        <v>43418</v>
      </c>
      <c r="F58" t="s">
        <v>13</v>
      </c>
      <c r="G58">
        <v>5000000</v>
      </c>
      <c r="H58" s="2">
        <v>43683</v>
      </c>
      <c r="I58">
        <v>2019</v>
      </c>
      <c r="J58">
        <v>6671.4939495394101</v>
      </c>
      <c r="K58">
        <v>26169.2160504606</v>
      </c>
      <c r="L58">
        <v>130889.82</v>
      </c>
      <c r="M58">
        <v>0</v>
      </c>
      <c r="N58">
        <v>163730.53</v>
      </c>
      <c r="O58" t="s">
        <v>123</v>
      </c>
    </row>
    <row r="59" spans="1:15" x14ac:dyDescent="0.25">
      <c r="A59" t="s">
        <v>284</v>
      </c>
      <c r="B59" t="s">
        <v>285</v>
      </c>
      <c r="C59" t="s">
        <v>286</v>
      </c>
      <c r="D59" t="s">
        <v>110</v>
      </c>
      <c r="E59" s="2">
        <v>43381</v>
      </c>
      <c r="F59" t="s">
        <v>30</v>
      </c>
      <c r="G59">
        <v>4000000</v>
      </c>
      <c r="H59" s="2">
        <v>43686</v>
      </c>
      <c r="I59">
        <v>2019</v>
      </c>
      <c r="J59">
        <v>72475.221507285096</v>
      </c>
      <c r="K59">
        <v>233174.898492715</v>
      </c>
      <c r="L59">
        <v>1159137.0900000001</v>
      </c>
      <c r="M59">
        <v>0</v>
      </c>
      <c r="N59">
        <v>1464787.21</v>
      </c>
      <c r="O59" t="s">
        <v>131</v>
      </c>
    </row>
    <row r="60" spans="1:15" x14ac:dyDescent="0.25">
      <c r="A60" t="s">
        <v>287</v>
      </c>
      <c r="B60" t="s">
        <v>288</v>
      </c>
      <c r="C60" t="s">
        <v>289</v>
      </c>
      <c r="D60" t="s">
        <v>110</v>
      </c>
      <c r="E60" s="2">
        <v>43418</v>
      </c>
      <c r="F60" t="s">
        <v>12</v>
      </c>
      <c r="G60">
        <v>1000000</v>
      </c>
      <c r="H60" s="2">
        <v>43560</v>
      </c>
      <c r="I60">
        <v>2019</v>
      </c>
      <c r="J60">
        <v>15290.6502668744</v>
      </c>
      <c r="K60">
        <v>47108.199733125599</v>
      </c>
      <c r="L60">
        <v>336176.06</v>
      </c>
      <c r="M60">
        <v>0</v>
      </c>
      <c r="N60">
        <v>398574.91</v>
      </c>
      <c r="O60" t="s">
        <v>274</v>
      </c>
    </row>
    <row r="61" spans="1:15" x14ac:dyDescent="0.25">
      <c r="A61" t="s">
        <v>290</v>
      </c>
      <c r="B61" t="s">
        <v>291</v>
      </c>
      <c r="C61" t="s">
        <v>292</v>
      </c>
      <c r="D61" t="s">
        <v>110</v>
      </c>
      <c r="E61" s="2">
        <v>43480</v>
      </c>
      <c r="F61" t="s">
        <v>52</v>
      </c>
      <c r="G61">
        <v>2000000</v>
      </c>
      <c r="H61" s="2">
        <v>43674</v>
      </c>
      <c r="I61">
        <v>2019</v>
      </c>
      <c r="J61">
        <v>8323.0270407190801</v>
      </c>
      <c r="K61">
        <v>28604.452959280901</v>
      </c>
      <c r="L61">
        <v>226131.18</v>
      </c>
      <c r="M61">
        <v>0</v>
      </c>
      <c r="N61">
        <v>263058.65999999997</v>
      </c>
      <c r="O61" t="s">
        <v>233</v>
      </c>
    </row>
    <row r="62" spans="1:15" x14ac:dyDescent="0.25">
      <c r="A62" t="s">
        <v>293</v>
      </c>
      <c r="B62" t="s">
        <v>294</v>
      </c>
      <c r="C62" t="s">
        <v>295</v>
      </c>
      <c r="D62" t="s">
        <v>110</v>
      </c>
      <c r="E62" s="2">
        <v>43689</v>
      </c>
      <c r="F62" t="s">
        <v>17</v>
      </c>
      <c r="G62">
        <v>1000000</v>
      </c>
      <c r="H62" s="2">
        <v>43700</v>
      </c>
      <c r="I62">
        <v>2019</v>
      </c>
      <c r="J62">
        <v>1622.62578298376</v>
      </c>
      <c r="K62">
        <v>4876.56421701624</v>
      </c>
      <c r="L62">
        <v>52547.31</v>
      </c>
      <c r="M62">
        <v>0</v>
      </c>
      <c r="N62">
        <v>59046.5</v>
      </c>
      <c r="O62" t="s">
        <v>139</v>
      </c>
    </row>
    <row r="63" spans="1:15" x14ac:dyDescent="0.25">
      <c r="A63" t="s">
        <v>296</v>
      </c>
      <c r="B63" t="s">
        <v>297</v>
      </c>
      <c r="C63" t="s">
        <v>298</v>
      </c>
      <c r="D63" t="s">
        <v>110</v>
      </c>
      <c r="E63" s="2">
        <v>43404</v>
      </c>
      <c r="F63" t="s">
        <v>17</v>
      </c>
      <c r="G63">
        <v>5000000</v>
      </c>
      <c r="H63" s="2">
        <v>43688</v>
      </c>
      <c r="I63">
        <v>2019</v>
      </c>
      <c r="J63">
        <v>6883.9959021669401</v>
      </c>
      <c r="K63">
        <v>26666.9440978331</v>
      </c>
      <c r="L63">
        <v>170015.21</v>
      </c>
      <c r="M63">
        <v>0</v>
      </c>
      <c r="N63">
        <v>203566.15</v>
      </c>
      <c r="O63" t="s">
        <v>168</v>
      </c>
    </row>
    <row r="64" spans="1:15" x14ac:dyDescent="0.25">
      <c r="A64" t="s">
        <v>299</v>
      </c>
      <c r="B64" t="s">
        <v>300</v>
      </c>
      <c r="C64" t="s">
        <v>301</v>
      </c>
      <c r="D64" t="s">
        <v>110</v>
      </c>
      <c r="E64" s="2">
        <v>43497</v>
      </c>
      <c r="F64" t="s">
        <v>20</v>
      </c>
      <c r="G64">
        <v>2000000</v>
      </c>
      <c r="H64" s="2">
        <v>43689</v>
      </c>
      <c r="I64">
        <v>2019</v>
      </c>
      <c r="J64">
        <v>8705.1322407975204</v>
      </c>
      <c r="K64">
        <v>20796.3077592025</v>
      </c>
      <c r="L64">
        <v>115877.31</v>
      </c>
      <c r="M64">
        <v>0</v>
      </c>
      <c r="N64">
        <v>145378.75</v>
      </c>
      <c r="O64" t="s">
        <v>186</v>
      </c>
    </row>
    <row r="65" spans="1:15" x14ac:dyDescent="0.25">
      <c r="A65" t="s">
        <v>302</v>
      </c>
      <c r="B65" t="s">
        <v>303</v>
      </c>
      <c r="C65" t="s">
        <v>304</v>
      </c>
      <c r="D65" t="s">
        <v>110</v>
      </c>
      <c r="E65" s="2">
        <v>43292</v>
      </c>
      <c r="F65" t="s">
        <v>22</v>
      </c>
      <c r="G65">
        <v>3000000</v>
      </c>
      <c r="H65" s="2">
        <v>43537</v>
      </c>
      <c r="I65">
        <v>2019</v>
      </c>
      <c r="J65">
        <v>7644.4105958242999</v>
      </c>
      <c r="K65">
        <v>22854.869404175701</v>
      </c>
      <c r="L65">
        <v>114318.06</v>
      </c>
      <c r="M65">
        <v>0</v>
      </c>
      <c r="N65">
        <v>144817.34</v>
      </c>
      <c r="O65" t="s">
        <v>135</v>
      </c>
    </row>
    <row r="66" spans="1:15" x14ac:dyDescent="0.25">
      <c r="A66" t="s">
        <v>305</v>
      </c>
      <c r="B66" t="s">
        <v>306</v>
      </c>
      <c r="C66" t="s">
        <v>307</v>
      </c>
      <c r="D66" t="s">
        <v>110</v>
      </c>
      <c r="E66" s="2">
        <v>43404</v>
      </c>
      <c r="F66" t="s">
        <v>22</v>
      </c>
      <c r="G66">
        <v>5000000</v>
      </c>
      <c r="H66" s="2">
        <v>43671</v>
      </c>
      <c r="I66">
        <v>2019</v>
      </c>
      <c r="J66">
        <v>6434.6049751340097</v>
      </c>
      <c r="K66">
        <v>21281.905024865999</v>
      </c>
      <c r="L66">
        <v>117744.05</v>
      </c>
      <c r="M66">
        <v>0</v>
      </c>
      <c r="N66">
        <v>145460.56</v>
      </c>
      <c r="O66" t="s">
        <v>186</v>
      </c>
    </row>
    <row r="67" spans="1:15" x14ac:dyDescent="0.25">
      <c r="A67" t="s">
        <v>308</v>
      </c>
      <c r="B67" t="s">
        <v>309</v>
      </c>
      <c r="C67" t="s">
        <v>310</v>
      </c>
      <c r="D67" t="s">
        <v>110</v>
      </c>
      <c r="E67" s="2">
        <v>43489</v>
      </c>
      <c r="F67" t="s">
        <v>50</v>
      </c>
      <c r="G67">
        <v>5000000</v>
      </c>
      <c r="H67" s="2">
        <v>43706</v>
      </c>
      <c r="I67">
        <v>2019</v>
      </c>
      <c r="J67">
        <v>4488.7584186468803</v>
      </c>
      <c r="K67">
        <v>12510.9715813531</v>
      </c>
      <c r="L67">
        <v>126389.69</v>
      </c>
      <c r="M67">
        <v>0</v>
      </c>
      <c r="N67">
        <v>143389.42000000001</v>
      </c>
      <c r="O67" t="s">
        <v>123</v>
      </c>
    </row>
    <row r="68" spans="1:15" x14ac:dyDescent="0.25">
      <c r="A68" t="s">
        <v>311</v>
      </c>
      <c r="B68" t="s">
        <v>312</v>
      </c>
      <c r="C68" t="s">
        <v>313</v>
      </c>
      <c r="D68" t="s">
        <v>110</v>
      </c>
      <c r="E68" s="2">
        <v>43669</v>
      </c>
      <c r="F68" t="s">
        <v>18</v>
      </c>
      <c r="G68">
        <v>3000000</v>
      </c>
      <c r="H68" s="2">
        <v>43721</v>
      </c>
      <c r="I68">
        <v>2019</v>
      </c>
      <c r="J68">
        <v>89103.356667692904</v>
      </c>
      <c r="K68">
        <v>253224.833332307</v>
      </c>
      <c r="L68">
        <v>1628994.81</v>
      </c>
      <c r="M68">
        <v>0</v>
      </c>
      <c r="N68">
        <v>1971323</v>
      </c>
      <c r="O68" t="s">
        <v>131</v>
      </c>
    </row>
    <row r="69" spans="1:15" x14ac:dyDescent="0.25">
      <c r="A69" t="s">
        <v>314</v>
      </c>
      <c r="B69" t="s">
        <v>315</v>
      </c>
      <c r="C69" t="s">
        <v>316</v>
      </c>
      <c r="D69" t="s">
        <v>110</v>
      </c>
      <c r="E69" s="2">
        <v>43399</v>
      </c>
      <c r="F69" t="s">
        <v>26</v>
      </c>
      <c r="G69">
        <v>5000000</v>
      </c>
      <c r="H69" s="2">
        <v>43708</v>
      </c>
      <c r="I69">
        <v>2019</v>
      </c>
      <c r="J69">
        <v>2101.4417133072302</v>
      </c>
      <c r="K69">
        <v>6387.3282866927702</v>
      </c>
      <c r="L69">
        <v>70950.73</v>
      </c>
      <c r="M69">
        <v>0</v>
      </c>
      <c r="N69">
        <v>79439.5</v>
      </c>
      <c r="O69" t="s">
        <v>197</v>
      </c>
    </row>
    <row r="70" spans="1:15" x14ac:dyDescent="0.25">
      <c r="A70" t="s">
        <v>317</v>
      </c>
      <c r="B70" t="s">
        <v>318</v>
      </c>
      <c r="C70" t="s">
        <v>319</v>
      </c>
      <c r="D70" t="s">
        <v>110</v>
      </c>
      <c r="E70" s="2">
        <v>43628</v>
      </c>
      <c r="F70" t="s">
        <v>22</v>
      </c>
      <c r="G70">
        <v>3000000</v>
      </c>
      <c r="H70" s="2">
        <v>43698</v>
      </c>
      <c r="I70">
        <v>2019</v>
      </c>
      <c r="J70">
        <v>4318.7225999594502</v>
      </c>
      <c r="K70">
        <v>15020.2474000406</v>
      </c>
      <c r="L70">
        <v>170424.39</v>
      </c>
      <c r="M70">
        <v>0</v>
      </c>
      <c r="N70">
        <v>189763.36</v>
      </c>
      <c r="O70" t="s">
        <v>168</v>
      </c>
    </row>
    <row r="71" spans="1:15" x14ac:dyDescent="0.25">
      <c r="A71" t="s">
        <v>320</v>
      </c>
      <c r="B71" t="s">
        <v>321</v>
      </c>
      <c r="C71" t="s">
        <v>322</v>
      </c>
      <c r="D71" t="s">
        <v>110</v>
      </c>
      <c r="E71" s="2">
        <v>43440</v>
      </c>
      <c r="F71" t="s">
        <v>29</v>
      </c>
      <c r="G71">
        <v>5000000</v>
      </c>
      <c r="H71" s="2">
        <v>43719</v>
      </c>
      <c r="I71">
        <v>2019</v>
      </c>
      <c r="J71">
        <v>26117.986744848698</v>
      </c>
      <c r="K71">
        <v>99574.323255151307</v>
      </c>
      <c r="L71">
        <v>1060299.98</v>
      </c>
      <c r="M71">
        <v>0</v>
      </c>
      <c r="N71">
        <v>1185992.29</v>
      </c>
      <c r="O71" t="s">
        <v>131</v>
      </c>
    </row>
    <row r="72" spans="1:15" x14ac:dyDescent="0.25">
      <c r="A72" t="s">
        <v>323</v>
      </c>
      <c r="B72" t="s">
        <v>324</v>
      </c>
      <c r="C72" t="s">
        <v>325</v>
      </c>
      <c r="D72" t="s">
        <v>110</v>
      </c>
      <c r="E72" s="2">
        <v>43498</v>
      </c>
      <c r="F72" t="s">
        <v>54</v>
      </c>
      <c r="G72">
        <v>5000000</v>
      </c>
      <c r="H72" s="2">
        <v>43691</v>
      </c>
      <c r="I72">
        <v>2019</v>
      </c>
      <c r="J72">
        <v>13730.5788955427</v>
      </c>
      <c r="K72">
        <v>46591.431104457297</v>
      </c>
      <c r="L72">
        <v>331691.40000000002</v>
      </c>
      <c r="M72">
        <v>0</v>
      </c>
      <c r="N72">
        <v>392013.41</v>
      </c>
      <c r="O72" t="s">
        <v>274</v>
      </c>
    </row>
    <row r="73" spans="1:15" x14ac:dyDescent="0.25">
      <c r="A73" t="s">
        <v>326</v>
      </c>
      <c r="B73" t="s">
        <v>327</v>
      </c>
      <c r="C73" t="s">
        <v>328</v>
      </c>
      <c r="D73" t="s">
        <v>110</v>
      </c>
      <c r="E73" s="2">
        <v>43521</v>
      </c>
      <c r="F73" t="s">
        <v>9</v>
      </c>
      <c r="G73">
        <v>5000000</v>
      </c>
      <c r="H73" s="2">
        <v>43736</v>
      </c>
      <c r="I73">
        <v>2019</v>
      </c>
      <c r="J73">
        <v>16009.7342073812</v>
      </c>
      <c r="K73">
        <v>45185.715792618801</v>
      </c>
      <c r="L73">
        <v>213332.83</v>
      </c>
      <c r="M73">
        <v>0</v>
      </c>
      <c r="N73">
        <v>274528.28000000003</v>
      </c>
      <c r="O73" t="s">
        <v>233</v>
      </c>
    </row>
    <row r="74" spans="1:15" x14ac:dyDescent="0.25">
      <c r="A74" t="s">
        <v>329</v>
      </c>
      <c r="B74" t="s">
        <v>330</v>
      </c>
      <c r="C74" t="s">
        <v>331</v>
      </c>
      <c r="D74" t="s">
        <v>110</v>
      </c>
      <c r="E74" s="2">
        <v>43547</v>
      </c>
      <c r="F74" t="s">
        <v>18</v>
      </c>
      <c r="G74">
        <v>4000000</v>
      </c>
      <c r="H74" s="2">
        <v>43721</v>
      </c>
      <c r="I74">
        <v>2019</v>
      </c>
      <c r="J74">
        <v>3397.0581598858898</v>
      </c>
      <c r="K74">
        <v>11544.8718401141</v>
      </c>
      <c r="L74">
        <v>69882.61</v>
      </c>
      <c r="M74">
        <v>0</v>
      </c>
      <c r="N74">
        <v>84824.54</v>
      </c>
      <c r="O74" t="s">
        <v>197</v>
      </c>
    </row>
    <row r="75" spans="1:15" x14ac:dyDescent="0.25">
      <c r="A75" t="s">
        <v>332</v>
      </c>
      <c r="B75" t="s">
        <v>333</v>
      </c>
      <c r="C75" t="s">
        <v>226</v>
      </c>
      <c r="D75" t="s">
        <v>110</v>
      </c>
      <c r="E75" s="2">
        <v>43692</v>
      </c>
      <c r="F75" t="s">
        <v>38</v>
      </c>
      <c r="G75">
        <v>3000000</v>
      </c>
      <c r="H75" s="2">
        <v>43718</v>
      </c>
      <c r="I75">
        <v>2019</v>
      </c>
      <c r="J75">
        <v>6573.1468258829</v>
      </c>
      <c r="K75">
        <v>16879.003174117101</v>
      </c>
      <c r="L75">
        <v>155219.01</v>
      </c>
      <c r="M75">
        <v>0</v>
      </c>
      <c r="N75">
        <v>178671.16</v>
      </c>
      <c r="O75" t="s">
        <v>211</v>
      </c>
    </row>
    <row r="76" spans="1:15" x14ac:dyDescent="0.25">
      <c r="A76" t="s">
        <v>334</v>
      </c>
      <c r="B76" t="s">
        <v>335</v>
      </c>
      <c r="C76" t="s">
        <v>336</v>
      </c>
      <c r="D76" t="s">
        <v>110</v>
      </c>
      <c r="E76" s="2">
        <v>43497</v>
      </c>
      <c r="F76" t="s">
        <v>21</v>
      </c>
      <c r="G76">
        <v>10000000</v>
      </c>
      <c r="H76" s="2">
        <v>43737</v>
      </c>
      <c r="I76">
        <v>2019</v>
      </c>
      <c r="J76">
        <v>2570.5248232121799</v>
      </c>
      <c r="K76">
        <v>8373.7251767878206</v>
      </c>
      <c r="L76">
        <v>107960.28</v>
      </c>
      <c r="M76">
        <v>0</v>
      </c>
      <c r="N76">
        <v>118904.53</v>
      </c>
      <c r="O76" t="s">
        <v>135</v>
      </c>
    </row>
    <row r="77" spans="1:15" x14ac:dyDescent="0.25">
      <c r="A77" t="s">
        <v>337</v>
      </c>
      <c r="B77" t="s">
        <v>338</v>
      </c>
      <c r="C77" t="s">
        <v>339</v>
      </c>
      <c r="D77" t="s">
        <v>110</v>
      </c>
      <c r="E77" s="2">
        <v>43518</v>
      </c>
      <c r="F77" t="s">
        <v>12</v>
      </c>
      <c r="G77">
        <v>5000000</v>
      </c>
      <c r="H77" s="2">
        <v>43728</v>
      </c>
      <c r="I77">
        <v>2019</v>
      </c>
      <c r="J77">
        <v>11130.868716525099</v>
      </c>
      <c r="K77">
        <v>34257.2512834749</v>
      </c>
      <c r="L77">
        <v>344445.52</v>
      </c>
      <c r="M77">
        <v>0</v>
      </c>
      <c r="N77">
        <v>389833.64</v>
      </c>
      <c r="O77" t="s">
        <v>274</v>
      </c>
    </row>
    <row r="78" spans="1:15" x14ac:dyDescent="0.25">
      <c r="A78" t="s">
        <v>340</v>
      </c>
      <c r="B78" t="s">
        <v>341</v>
      </c>
      <c r="C78" t="s">
        <v>342</v>
      </c>
      <c r="D78" t="s">
        <v>110</v>
      </c>
      <c r="E78" s="2">
        <v>43613</v>
      </c>
      <c r="F78" t="s">
        <v>50</v>
      </c>
      <c r="G78">
        <v>2000000</v>
      </c>
      <c r="H78" s="2">
        <v>43734</v>
      </c>
      <c r="I78">
        <v>2019</v>
      </c>
      <c r="J78">
        <v>10632.8676261572</v>
      </c>
      <c r="K78">
        <v>32991.182373842697</v>
      </c>
      <c r="L78">
        <v>297691.55</v>
      </c>
      <c r="M78">
        <v>0</v>
      </c>
      <c r="N78">
        <v>341315.6</v>
      </c>
      <c r="O78" t="s">
        <v>343</v>
      </c>
    </row>
    <row r="79" spans="1:15" x14ac:dyDescent="0.25">
      <c r="A79" t="s">
        <v>344</v>
      </c>
      <c r="B79" t="s">
        <v>345</v>
      </c>
      <c r="C79" t="s">
        <v>346</v>
      </c>
      <c r="D79" t="s">
        <v>110</v>
      </c>
      <c r="E79" s="2">
        <v>43417</v>
      </c>
      <c r="F79" t="s">
        <v>51</v>
      </c>
      <c r="G79">
        <v>5000000</v>
      </c>
      <c r="H79" s="2">
        <v>43712</v>
      </c>
      <c r="I79">
        <v>2019</v>
      </c>
      <c r="J79">
        <v>6266.8139012793099</v>
      </c>
      <c r="K79">
        <v>15081.5260987207</v>
      </c>
      <c r="L79">
        <v>95097.02</v>
      </c>
      <c r="M79">
        <v>0</v>
      </c>
      <c r="N79">
        <v>116445.36</v>
      </c>
      <c r="O79" t="s">
        <v>111</v>
      </c>
    </row>
    <row r="80" spans="1:15" x14ac:dyDescent="0.25">
      <c r="A80" t="s">
        <v>347</v>
      </c>
      <c r="B80" t="s">
        <v>348</v>
      </c>
      <c r="C80" t="s">
        <v>349</v>
      </c>
      <c r="D80" t="s">
        <v>110</v>
      </c>
      <c r="E80" s="2">
        <v>43682</v>
      </c>
      <c r="F80" t="s">
        <v>17</v>
      </c>
      <c r="G80">
        <v>5000000</v>
      </c>
      <c r="H80" s="2">
        <v>43745</v>
      </c>
      <c r="I80">
        <v>2019</v>
      </c>
      <c r="J80">
        <v>3234.61327456449</v>
      </c>
      <c r="K80">
        <v>7730.6067254355103</v>
      </c>
      <c r="L80">
        <v>89635.03</v>
      </c>
      <c r="M80">
        <v>0</v>
      </c>
      <c r="N80">
        <v>100600.25</v>
      </c>
      <c r="O80" t="s">
        <v>111</v>
      </c>
    </row>
    <row r="81" spans="1:15" x14ac:dyDescent="0.25">
      <c r="A81" t="s">
        <v>350</v>
      </c>
      <c r="B81" t="s">
        <v>351</v>
      </c>
      <c r="C81" t="s">
        <v>352</v>
      </c>
      <c r="D81" t="s">
        <v>110</v>
      </c>
      <c r="E81" s="2">
        <v>43423</v>
      </c>
      <c r="F81" t="s">
        <v>12</v>
      </c>
      <c r="G81">
        <v>5000000</v>
      </c>
      <c r="H81" s="2">
        <v>43744</v>
      </c>
      <c r="I81">
        <v>2019</v>
      </c>
      <c r="J81">
        <v>75367.2566563164</v>
      </c>
      <c r="K81">
        <v>259046.53334368399</v>
      </c>
      <c r="L81">
        <v>2109645.36</v>
      </c>
      <c r="M81">
        <v>0</v>
      </c>
      <c r="N81">
        <v>2444059.15</v>
      </c>
      <c r="O81" t="s">
        <v>353</v>
      </c>
    </row>
    <row r="82" spans="1:15" x14ac:dyDescent="0.25">
      <c r="A82" t="s">
        <v>354</v>
      </c>
      <c r="B82" t="s">
        <v>355</v>
      </c>
      <c r="C82" t="s">
        <v>356</v>
      </c>
      <c r="D82" t="s">
        <v>110</v>
      </c>
      <c r="E82" s="2">
        <v>43580</v>
      </c>
      <c r="F82" t="s">
        <v>12</v>
      </c>
      <c r="G82">
        <v>5000000</v>
      </c>
      <c r="H82" s="2">
        <v>43712</v>
      </c>
      <c r="I82">
        <v>2019</v>
      </c>
      <c r="J82">
        <v>15131.2835987166</v>
      </c>
      <c r="K82">
        <v>42137.326401283397</v>
      </c>
      <c r="L82">
        <v>530248.43999999994</v>
      </c>
      <c r="M82">
        <v>0</v>
      </c>
      <c r="N82">
        <v>587517.05000000005</v>
      </c>
      <c r="O82" t="s">
        <v>115</v>
      </c>
    </row>
    <row r="83" spans="1:15" x14ac:dyDescent="0.25">
      <c r="A83" t="s">
        <v>357</v>
      </c>
      <c r="B83" t="s">
        <v>358</v>
      </c>
      <c r="C83" t="s">
        <v>359</v>
      </c>
      <c r="D83" t="s">
        <v>110</v>
      </c>
      <c r="E83" s="2">
        <v>43574</v>
      </c>
      <c r="F83" t="s">
        <v>38</v>
      </c>
      <c r="G83">
        <v>5000000</v>
      </c>
      <c r="H83" s="2">
        <v>43742</v>
      </c>
      <c r="I83">
        <v>2019</v>
      </c>
      <c r="J83">
        <v>3193.4374505876999</v>
      </c>
      <c r="K83">
        <v>10187.6425494123</v>
      </c>
      <c r="L83">
        <v>51624.22</v>
      </c>
      <c r="M83">
        <v>0</v>
      </c>
      <c r="N83">
        <v>65005.3</v>
      </c>
      <c r="O83" t="s">
        <v>139</v>
      </c>
    </row>
    <row r="84" spans="1:15" x14ac:dyDescent="0.25">
      <c r="A84" t="s">
        <v>360</v>
      </c>
      <c r="B84" t="s">
        <v>361</v>
      </c>
      <c r="C84" t="s">
        <v>362</v>
      </c>
      <c r="D84" t="s">
        <v>110</v>
      </c>
      <c r="E84" s="2">
        <v>43572</v>
      </c>
      <c r="F84" t="s">
        <v>17</v>
      </c>
      <c r="G84">
        <v>5000000</v>
      </c>
      <c r="H84" s="2">
        <v>43739</v>
      </c>
      <c r="I84">
        <v>2019</v>
      </c>
      <c r="J84">
        <v>15824.411224596301</v>
      </c>
      <c r="K84">
        <v>46485.078775403701</v>
      </c>
      <c r="L84">
        <v>300421.77</v>
      </c>
      <c r="M84">
        <v>0</v>
      </c>
      <c r="N84">
        <v>362731.26</v>
      </c>
      <c r="O84" t="s">
        <v>343</v>
      </c>
    </row>
    <row r="85" spans="1:15" x14ac:dyDescent="0.25">
      <c r="A85" t="s">
        <v>363</v>
      </c>
      <c r="B85" t="s">
        <v>358</v>
      </c>
      <c r="C85" t="s">
        <v>359</v>
      </c>
      <c r="D85" t="s">
        <v>110</v>
      </c>
      <c r="E85" s="2">
        <v>43574</v>
      </c>
      <c r="F85" t="s">
        <v>38</v>
      </c>
      <c r="G85">
        <v>5000000</v>
      </c>
      <c r="H85" s="2">
        <v>43738</v>
      </c>
      <c r="I85">
        <v>2019</v>
      </c>
      <c r="J85">
        <v>5166.25236214497</v>
      </c>
      <c r="K85">
        <v>15347.747637855</v>
      </c>
      <c r="L85">
        <v>91209.19</v>
      </c>
      <c r="M85">
        <v>0</v>
      </c>
      <c r="N85">
        <v>111723.19</v>
      </c>
      <c r="O85" t="s">
        <v>111</v>
      </c>
    </row>
    <row r="86" spans="1:15" x14ac:dyDescent="0.25">
      <c r="A86" t="s">
        <v>364</v>
      </c>
      <c r="B86" t="s">
        <v>365</v>
      </c>
      <c r="C86" t="s">
        <v>366</v>
      </c>
      <c r="D86" t="s">
        <v>110</v>
      </c>
      <c r="E86" s="2">
        <v>43417</v>
      </c>
      <c r="F86" t="s">
        <v>18</v>
      </c>
      <c r="G86">
        <v>3000000</v>
      </c>
      <c r="H86" s="2">
        <v>43719</v>
      </c>
      <c r="I86">
        <v>2019</v>
      </c>
      <c r="J86">
        <v>12057.1959374938</v>
      </c>
      <c r="K86">
        <v>32772.104062506201</v>
      </c>
      <c r="L86">
        <v>153609.03</v>
      </c>
      <c r="M86">
        <v>0</v>
      </c>
      <c r="N86">
        <v>198438.33</v>
      </c>
      <c r="O86" t="s">
        <v>211</v>
      </c>
    </row>
    <row r="87" spans="1:15" x14ac:dyDescent="0.25">
      <c r="A87" t="s">
        <v>367</v>
      </c>
      <c r="B87" t="s">
        <v>368</v>
      </c>
      <c r="C87" t="s">
        <v>369</v>
      </c>
      <c r="D87" t="s">
        <v>110</v>
      </c>
      <c r="E87" s="2">
        <v>43551</v>
      </c>
      <c r="F87" t="s">
        <v>50</v>
      </c>
      <c r="G87">
        <v>2000000</v>
      </c>
      <c r="H87" s="2">
        <v>43728</v>
      </c>
      <c r="I87">
        <v>2019</v>
      </c>
      <c r="J87">
        <v>5154.0590621053398</v>
      </c>
      <c r="K87">
        <v>13514.650937894699</v>
      </c>
      <c r="L87">
        <v>88049.67</v>
      </c>
      <c r="M87">
        <v>0</v>
      </c>
      <c r="N87">
        <v>106718.38</v>
      </c>
      <c r="O87" t="s">
        <v>119</v>
      </c>
    </row>
    <row r="88" spans="1:15" x14ac:dyDescent="0.25">
      <c r="A88" t="s">
        <v>370</v>
      </c>
      <c r="B88" t="s">
        <v>371</v>
      </c>
      <c r="C88" t="s">
        <v>372</v>
      </c>
      <c r="D88" t="s">
        <v>110</v>
      </c>
      <c r="E88" s="2">
        <v>43485</v>
      </c>
      <c r="F88" t="s">
        <v>50</v>
      </c>
      <c r="G88">
        <v>1000000</v>
      </c>
      <c r="H88" s="2">
        <v>43753</v>
      </c>
      <c r="I88">
        <v>2019</v>
      </c>
      <c r="J88">
        <v>7520.5409563216599</v>
      </c>
      <c r="K88">
        <v>22634.819043678301</v>
      </c>
      <c r="L88">
        <v>105370.41</v>
      </c>
      <c r="M88">
        <v>0</v>
      </c>
      <c r="N88">
        <v>135525.76999999999</v>
      </c>
      <c r="O88" t="s">
        <v>135</v>
      </c>
    </row>
    <row r="89" spans="1:15" x14ac:dyDescent="0.25">
      <c r="A89" t="s">
        <v>373</v>
      </c>
      <c r="B89" t="s">
        <v>374</v>
      </c>
      <c r="C89" t="s">
        <v>375</v>
      </c>
      <c r="D89" t="s">
        <v>110</v>
      </c>
      <c r="E89" s="2">
        <v>43426</v>
      </c>
      <c r="F89" t="s">
        <v>49</v>
      </c>
      <c r="G89">
        <v>4000000</v>
      </c>
      <c r="H89" s="2">
        <v>43736</v>
      </c>
      <c r="I89">
        <v>2019</v>
      </c>
      <c r="J89">
        <v>10596.3095528023</v>
      </c>
      <c r="K89">
        <v>25456.570447197701</v>
      </c>
      <c r="L89">
        <v>229249.76</v>
      </c>
      <c r="M89">
        <v>0</v>
      </c>
      <c r="N89">
        <v>265302.64</v>
      </c>
      <c r="O89" t="s">
        <v>127</v>
      </c>
    </row>
    <row r="90" spans="1:15" x14ac:dyDescent="0.25">
      <c r="A90" t="s">
        <v>376</v>
      </c>
      <c r="B90" t="s">
        <v>377</v>
      </c>
      <c r="C90" t="s">
        <v>378</v>
      </c>
      <c r="D90" t="s">
        <v>110</v>
      </c>
      <c r="E90" s="2">
        <v>43607</v>
      </c>
      <c r="F90" t="s">
        <v>55</v>
      </c>
      <c r="G90">
        <v>5000000</v>
      </c>
      <c r="H90" s="2">
        <v>43741</v>
      </c>
      <c r="I90">
        <v>2019</v>
      </c>
      <c r="J90">
        <v>22100.746149787901</v>
      </c>
      <c r="K90">
        <v>59625.033850212101</v>
      </c>
      <c r="L90">
        <v>296348.18</v>
      </c>
      <c r="M90">
        <v>0</v>
      </c>
      <c r="N90">
        <v>378073.96</v>
      </c>
      <c r="O90" t="s">
        <v>343</v>
      </c>
    </row>
    <row r="91" spans="1:15" x14ac:dyDescent="0.25">
      <c r="A91" t="s">
        <v>379</v>
      </c>
      <c r="B91" t="s">
        <v>380</v>
      </c>
      <c r="C91" t="s">
        <v>381</v>
      </c>
      <c r="D91" t="s">
        <v>110</v>
      </c>
      <c r="E91" s="2">
        <v>43445</v>
      </c>
      <c r="F91" t="s">
        <v>12</v>
      </c>
      <c r="G91">
        <v>2000000</v>
      </c>
      <c r="H91" s="2">
        <v>43786</v>
      </c>
      <c r="I91">
        <v>2019</v>
      </c>
      <c r="J91">
        <v>5168.2753477163596</v>
      </c>
      <c r="K91">
        <v>16588.2446522836</v>
      </c>
      <c r="L91">
        <v>137448.19</v>
      </c>
      <c r="M91">
        <v>0</v>
      </c>
      <c r="N91">
        <v>159204.71</v>
      </c>
      <c r="O91" t="s">
        <v>193</v>
      </c>
    </row>
    <row r="92" spans="1:15" x14ac:dyDescent="0.25">
      <c r="A92" t="s">
        <v>382</v>
      </c>
      <c r="B92" t="s">
        <v>383</v>
      </c>
      <c r="C92" t="s">
        <v>384</v>
      </c>
      <c r="D92" t="s">
        <v>110</v>
      </c>
      <c r="E92" s="2">
        <v>43613</v>
      </c>
      <c r="F92" t="s">
        <v>21</v>
      </c>
      <c r="G92">
        <v>10000000</v>
      </c>
      <c r="H92" s="2">
        <v>43774</v>
      </c>
      <c r="I92">
        <v>2019</v>
      </c>
      <c r="J92">
        <v>2599.1826683551999</v>
      </c>
      <c r="K92">
        <v>9372.1473316447991</v>
      </c>
      <c r="L92">
        <v>51874.21</v>
      </c>
      <c r="M92">
        <v>0</v>
      </c>
      <c r="N92">
        <v>63845.54</v>
      </c>
      <c r="O92" t="s">
        <v>139</v>
      </c>
    </row>
    <row r="93" spans="1:15" x14ac:dyDescent="0.25">
      <c r="A93" t="s">
        <v>385</v>
      </c>
      <c r="B93" t="s">
        <v>386</v>
      </c>
      <c r="C93" t="s">
        <v>387</v>
      </c>
      <c r="D93" t="s">
        <v>110</v>
      </c>
      <c r="E93" s="2">
        <v>43508</v>
      </c>
      <c r="F93" t="s">
        <v>26</v>
      </c>
      <c r="G93">
        <v>5000000</v>
      </c>
      <c r="H93" s="2">
        <v>43666</v>
      </c>
      <c r="I93">
        <v>2019</v>
      </c>
      <c r="J93">
        <v>6222.60075155706</v>
      </c>
      <c r="K93">
        <v>16492.679248442899</v>
      </c>
      <c r="L93">
        <v>88898.95</v>
      </c>
      <c r="M93">
        <v>0</v>
      </c>
      <c r="N93">
        <v>111614.23</v>
      </c>
      <c r="O93" t="s">
        <v>119</v>
      </c>
    </row>
    <row r="94" spans="1:15" x14ac:dyDescent="0.25">
      <c r="A94" t="s">
        <v>388</v>
      </c>
      <c r="B94" t="s">
        <v>389</v>
      </c>
      <c r="C94" t="s">
        <v>390</v>
      </c>
      <c r="D94" t="s">
        <v>110</v>
      </c>
      <c r="E94" s="2">
        <v>43612</v>
      </c>
      <c r="F94" t="s">
        <v>12</v>
      </c>
      <c r="G94">
        <v>3000000</v>
      </c>
      <c r="H94" s="2">
        <v>43785</v>
      </c>
      <c r="I94">
        <v>2019</v>
      </c>
      <c r="J94">
        <v>3936.5646024657999</v>
      </c>
      <c r="K94">
        <v>14466.625397534201</v>
      </c>
      <c r="L94">
        <v>140338.57</v>
      </c>
      <c r="M94">
        <v>0</v>
      </c>
      <c r="N94">
        <v>158741.76000000001</v>
      </c>
      <c r="O94" t="s">
        <v>193</v>
      </c>
    </row>
    <row r="95" spans="1:15" x14ac:dyDescent="0.25">
      <c r="A95" t="s">
        <v>391</v>
      </c>
      <c r="B95" t="s">
        <v>392</v>
      </c>
      <c r="C95" t="s">
        <v>393</v>
      </c>
      <c r="D95" t="s">
        <v>110</v>
      </c>
      <c r="E95" s="2">
        <v>43687</v>
      </c>
      <c r="F95" t="s">
        <v>9</v>
      </c>
      <c r="G95">
        <v>2000000</v>
      </c>
      <c r="H95" s="2">
        <v>43767</v>
      </c>
      <c r="I95">
        <v>2019</v>
      </c>
      <c r="J95">
        <v>3097.57250934999</v>
      </c>
      <c r="K95">
        <v>9070.4774906500097</v>
      </c>
      <c r="L95">
        <v>56047.66</v>
      </c>
      <c r="M95">
        <v>0</v>
      </c>
      <c r="N95">
        <v>68215.710000000006</v>
      </c>
      <c r="O95" t="s">
        <v>157</v>
      </c>
    </row>
    <row r="96" spans="1:15" x14ac:dyDescent="0.25">
      <c r="A96" t="s">
        <v>394</v>
      </c>
      <c r="B96" t="s">
        <v>395</v>
      </c>
      <c r="C96" t="s">
        <v>396</v>
      </c>
      <c r="D96" t="s">
        <v>110</v>
      </c>
      <c r="E96" s="2">
        <v>43734</v>
      </c>
      <c r="F96" t="s">
        <v>50</v>
      </c>
      <c r="G96">
        <v>3000000</v>
      </c>
      <c r="H96" s="2">
        <v>43786</v>
      </c>
      <c r="I96">
        <v>2019</v>
      </c>
      <c r="J96">
        <v>2709.7286290248298</v>
      </c>
      <c r="K96">
        <v>8803.5313709751699</v>
      </c>
      <c r="L96">
        <v>78287.649999999994</v>
      </c>
      <c r="M96">
        <v>0</v>
      </c>
      <c r="N96">
        <v>89800.91</v>
      </c>
      <c r="O96" t="s">
        <v>240</v>
      </c>
    </row>
    <row r="97" spans="1:15" x14ac:dyDescent="0.25">
      <c r="A97" t="s">
        <v>397</v>
      </c>
      <c r="B97" t="s">
        <v>398</v>
      </c>
      <c r="C97" t="s">
        <v>399</v>
      </c>
      <c r="D97" t="s">
        <v>110</v>
      </c>
      <c r="E97" s="2">
        <v>43647</v>
      </c>
      <c r="F97" t="s">
        <v>9</v>
      </c>
      <c r="G97">
        <v>2000000</v>
      </c>
      <c r="H97" s="2">
        <v>43782</v>
      </c>
      <c r="I97">
        <v>2019</v>
      </c>
      <c r="J97">
        <v>2961.3189517079099</v>
      </c>
      <c r="K97">
        <v>11270.5510482921</v>
      </c>
      <c r="L97">
        <v>61590.19</v>
      </c>
      <c r="M97">
        <v>0</v>
      </c>
      <c r="N97">
        <v>75822.06</v>
      </c>
      <c r="O97" t="s">
        <v>150</v>
      </c>
    </row>
    <row r="98" spans="1:15" x14ac:dyDescent="0.25">
      <c r="A98" t="s">
        <v>400</v>
      </c>
      <c r="B98" t="s">
        <v>401</v>
      </c>
      <c r="C98" t="s">
        <v>402</v>
      </c>
      <c r="D98" t="s">
        <v>110</v>
      </c>
      <c r="E98" s="2">
        <v>43735</v>
      </c>
      <c r="F98" t="s">
        <v>45</v>
      </c>
      <c r="G98">
        <v>2000000</v>
      </c>
      <c r="H98" s="2">
        <v>43765</v>
      </c>
      <c r="I98">
        <v>2019</v>
      </c>
      <c r="J98">
        <v>23948.101611603299</v>
      </c>
      <c r="K98">
        <v>86452.268388396697</v>
      </c>
      <c r="L98">
        <v>458196.74</v>
      </c>
      <c r="M98">
        <v>0</v>
      </c>
      <c r="N98">
        <v>568597.11</v>
      </c>
      <c r="O98" t="s">
        <v>179</v>
      </c>
    </row>
    <row r="99" spans="1:15" x14ac:dyDescent="0.25">
      <c r="A99" t="s">
        <v>403</v>
      </c>
      <c r="B99" t="s">
        <v>404</v>
      </c>
      <c r="C99" t="s">
        <v>405</v>
      </c>
      <c r="D99" t="s">
        <v>110</v>
      </c>
      <c r="E99" s="2">
        <v>43456</v>
      </c>
      <c r="F99" t="s">
        <v>54</v>
      </c>
      <c r="G99">
        <v>3000000</v>
      </c>
      <c r="H99" s="2">
        <v>43724</v>
      </c>
      <c r="I99">
        <v>2019</v>
      </c>
      <c r="J99">
        <v>58931.291452813399</v>
      </c>
      <c r="K99">
        <v>153032.96854718699</v>
      </c>
      <c r="L99">
        <v>748211.25</v>
      </c>
      <c r="M99">
        <v>0</v>
      </c>
      <c r="N99">
        <v>960175.51</v>
      </c>
      <c r="O99" t="s">
        <v>143</v>
      </c>
    </row>
    <row r="100" spans="1:15" x14ac:dyDescent="0.25">
      <c r="A100" t="s">
        <v>406</v>
      </c>
      <c r="B100" t="s">
        <v>407</v>
      </c>
      <c r="C100" t="s">
        <v>408</v>
      </c>
      <c r="D100" t="s">
        <v>110</v>
      </c>
      <c r="E100" s="2">
        <v>43703</v>
      </c>
      <c r="F100" t="s">
        <v>41</v>
      </c>
      <c r="G100">
        <v>5000000</v>
      </c>
      <c r="H100" s="2">
        <v>43788</v>
      </c>
      <c r="I100">
        <v>2019</v>
      </c>
      <c r="J100">
        <v>131580.65961490999</v>
      </c>
      <c r="K100">
        <v>323623.36038509</v>
      </c>
      <c r="L100">
        <v>1644541.97</v>
      </c>
      <c r="M100">
        <v>0</v>
      </c>
      <c r="N100">
        <v>2099745.9900000002</v>
      </c>
      <c r="O100" t="s">
        <v>131</v>
      </c>
    </row>
    <row r="101" spans="1:15" x14ac:dyDescent="0.25">
      <c r="A101" t="s">
        <v>409</v>
      </c>
      <c r="B101" t="s">
        <v>410</v>
      </c>
      <c r="C101" t="s">
        <v>411</v>
      </c>
      <c r="D101" t="s">
        <v>110</v>
      </c>
      <c r="E101" s="2">
        <v>43676</v>
      </c>
      <c r="F101" t="s">
        <v>45</v>
      </c>
      <c r="G101">
        <v>3000000</v>
      </c>
      <c r="H101" s="2">
        <v>43784</v>
      </c>
      <c r="I101">
        <v>2019</v>
      </c>
      <c r="J101">
        <v>22894.7729571206</v>
      </c>
      <c r="K101">
        <v>58928.0470428794</v>
      </c>
      <c r="L101">
        <v>341406.57</v>
      </c>
      <c r="M101">
        <v>0</v>
      </c>
      <c r="N101">
        <v>423229.39</v>
      </c>
      <c r="O101" t="s">
        <v>274</v>
      </c>
    </row>
    <row r="102" spans="1:15" x14ac:dyDescent="0.25">
      <c r="A102" t="s">
        <v>412</v>
      </c>
      <c r="B102" t="s">
        <v>413</v>
      </c>
      <c r="C102" t="s">
        <v>414</v>
      </c>
      <c r="D102" t="s">
        <v>110</v>
      </c>
      <c r="E102" s="2">
        <v>43695</v>
      </c>
      <c r="F102" t="s">
        <v>18</v>
      </c>
      <c r="G102">
        <v>3000000</v>
      </c>
      <c r="H102" s="2">
        <v>43791</v>
      </c>
      <c r="I102">
        <v>2019</v>
      </c>
      <c r="J102">
        <v>24526.946492556199</v>
      </c>
      <c r="K102">
        <v>71537.9035074438</v>
      </c>
      <c r="L102">
        <v>615222.31000000006</v>
      </c>
      <c r="M102">
        <v>0</v>
      </c>
      <c r="N102">
        <v>711287.16</v>
      </c>
      <c r="O102" t="s">
        <v>115</v>
      </c>
    </row>
    <row r="103" spans="1:15" x14ac:dyDescent="0.25">
      <c r="A103" t="s">
        <v>415</v>
      </c>
      <c r="B103" t="s">
        <v>416</v>
      </c>
      <c r="C103" t="s">
        <v>417</v>
      </c>
      <c r="D103" t="s">
        <v>110</v>
      </c>
      <c r="E103" s="2">
        <v>43471</v>
      </c>
      <c r="F103" t="s">
        <v>29</v>
      </c>
      <c r="G103">
        <v>1000000</v>
      </c>
      <c r="H103" s="2">
        <v>43818</v>
      </c>
      <c r="I103">
        <v>2019</v>
      </c>
      <c r="J103">
        <v>2898.0555277496201</v>
      </c>
      <c r="K103">
        <v>8872.0544722503801</v>
      </c>
      <c r="L103">
        <v>76847.58</v>
      </c>
      <c r="M103">
        <v>0</v>
      </c>
      <c r="N103">
        <v>88617.69</v>
      </c>
      <c r="O103" t="s">
        <v>240</v>
      </c>
    </row>
    <row r="104" spans="1:15" x14ac:dyDescent="0.25">
      <c r="A104" t="s">
        <v>418</v>
      </c>
      <c r="B104" t="s">
        <v>419</v>
      </c>
      <c r="C104" t="s">
        <v>420</v>
      </c>
      <c r="D104" t="s">
        <v>110</v>
      </c>
      <c r="E104" s="2">
        <v>43483</v>
      </c>
      <c r="F104" t="s">
        <v>36</v>
      </c>
      <c r="G104">
        <v>5000000</v>
      </c>
      <c r="H104" s="2">
        <v>43824</v>
      </c>
      <c r="I104">
        <v>2019</v>
      </c>
      <c r="J104">
        <v>27463.806137738698</v>
      </c>
      <c r="K104">
        <v>101741.693862261</v>
      </c>
      <c r="L104">
        <v>508478.51</v>
      </c>
      <c r="M104">
        <v>0</v>
      </c>
      <c r="N104">
        <v>637684.01</v>
      </c>
      <c r="O104" t="s">
        <v>115</v>
      </c>
    </row>
    <row r="105" spans="1:15" x14ac:dyDescent="0.25">
      <c r="A105" t="s">
        <v>421</v>
      </c>
      <c r="B105" t="s">
        <v>422</v>
      </c>
      <c r="C105" t="s">
        <v>423</v>
      </c>
      <c r="D105" t="s">
        <v>110</v>
      </c>
      <c r="E105" s="2">
        <v>43562</v>
      </c>
      <c r="F105" t="s">
        <v>12</v>
      </c>
      <c r="G105">
        <v>5000000</v>
      </c>
      <c r="H105" s="2">
        <v>43840</v>
      </c>
      <c r="I105">
        <v>2020</v>
      </c>
      <c r="J105">
        <v>5720.5739711131901</v>
      </c>
      <c r="K105">
        <v>21704.006028886801</v>
      </c>
      <c r="L105">
        <v>179283.28</v>
      </c>
      <c r="M105">
        <v>0</v>
      </c>
      <c r="N105">
        <v>206707.86</v>
      </c>
      <c r="O105" t="s">
        <v>168</v>
      </c>
    </row>
    <row r="106" spans="1:15" x14ac:dyDescent="0.25">
      <c r="A106" t="s">
        <v>424</v>
      </c>
      <c r="B106" t="s">
        <v>425</v>
      </c>
      <c r="C106" t="s">
        <v>426</v>
      </c>
      <c r="D106" t="s">
        <v>110</v>
      </c>
      <c r="E106" s="2">
        <v>43561</v>
      </c>
      <c r="F106" t="s">
        <v>12</v>
      </c>
      <c r="G106">
        <v>1000000</v>
      </c>
      <c r="H106" s="2">
        <v>43798</v>
      </c>
      <c r="I106">
        <v>2019</v>
      </c>
      <c r="J106">
        <v>1684.62275723215</v>
      </c>
      <c r="K106">
        <v>5651.2472427678504</v>
      </c>
      <c r="L106">
        <v>51194.63</v>
      </c>
      <c r="M106">
        <v>0</v>
      </c>
      <c r="N106">
        <v>58530.5</v>
      </c>
      <c r="O106" t="s">
        <v>427</v>
      </c>
    </row>
    <row r="107" spans="1:15" x14ac:dyDescent="0.25">
      <c r="A107" t="s">
        <v>428</v>
      </c>
      <c r="B107" t="s">
        <v>429</v>
      </c>
      <c r="C107" t="s">
        <v>430</v>
      </c>
      <c r="D107" t="s">
        <v>110</v>
      </c>
      <c r="E107" s="2">
        <v>43662</v>
      </c>
      <c r="F107" t="s">
        <v>29</v>
      </c>
      <c r="G107">
        <v>1000000</v>
      </c>
      <c r="H107" s="2">
        <v>43809</v>
      </c>
      <c r="I107">
        <v>2019</v>
      </c>
      <c r="J107">
        <v>16722.673153115</v>
      </c>
      <c r="K107">
        <v>63653.646846885</v>
      </c>
      <c r="L107">
        <v>352839</v>
      </c>
      <c r="M107">
        <v>0</v>
      </c>
      <c r="N107">
        <v>433215.32</v>
      </c>
      <c r="O107" t="s">
        <v>431</v>
      </c>
    </row>
    <row r="108" spans="1:15" x14ac:dyDescent="0.25">
      <c r="A108" t="s">
        <v>432</v>
      </c>
      <c r="B108" t="s">
        <v>433</v>
      </c>
      <c r="C108" t="s">
        <v>434</v>
      </c>
      <c r="D108" t="s">
        <v>110</v>
      </c>
      <c r="E108" s="2">
        <v>43839</v>
      </c>
      <c r="F108" t="s">
        <v>34</v>
      </c>
      <c r="G108">
        <v>5000000</v>
      </c>
      <c r="H108" s="2">
        <v>43874</v>
      </c>
      <c r="I108">
        <v>2020</v>
      </c>
      <c r="J108">
        <v>7689.7348015852103</v>
      </c>
      <c r="K108">
        <v>20680.075198414801</v>
      </c>
      <c r="L108">
        <v>125820.34</v>
      </c>
      <c r="M108">
        <v>0</v>
      </c>
      <c r="N108">
        <v>154190.15</v>
      </c>
      <c r="O108" t="s">
        <v>186</v>
      </c>
    </row>
    <row r="109" spans="1:15" x14ac:dyDescent="0.25">
      <c r="A109" t="s">
        <v>435</v>
      </c>
      <c r="B109" t="s">
        <v>436</v>
      </c>
      <c r="C109" t="s">
        <v>437</v>
      </c>
      <c r="D109" t="s">
        <v>110</v>
      </c>
      <c r="E109" s="2">
        <v>43551</v>
      </c>
      <c r="F109" t="s">
        <v>56</v>
      </c>
      <c r="G109">
        <v>1000000</v>
      </c>
      <c r="H109" s="2">
        <v>43873</v>
      </c>
      <c r="I109">
        <v>2020</v>
      </c>
      <c r="J109">
        <v>6180.4917198624698</v>
      </c>
      <c r="K109">
        <v>16479.918280137499</v>
      </c>
      <c r="L109">
        <v>119970.39</v>
      </c>
      <c r="M109">
        <v>0</v>
      </c>
      <c r="N109">
        <v>142630.79999999999</v>
      </c>
      <c r="O109" t="s">
        <v>186</v>
      </c>
    </row>
    <row r="110" spans="1:15" x14ac:dyDescent="0.25">
      <c r="A110" t="s">
        <v>438</v>
      </c>
      <c r="B110" t="s">
        <v>439</v>
      </c>
      <c r="C110" t="s">
        <v>440</v>
      </c>
      <c r="D110" t="s">
        <v>110</v>
      </c>
      <c r="E110" s="2">
        <v>43710</v>
      </c>
      <c r="F110" t="s">
        <v>50</v>
      </c>
      <c r="G110">
        <v>3000000</v>
      </c>
      <c r="H110" s="2">
        <v>43836</v>
      </c>
      <c r="I110">
        <v>2020</v>
      </c>
      <c r="J110">
        <v>7152.8148295257197</v>
      </c>
      <c r="K110">
        <v>27586.715170474301</v>
      </c>
      <c r="L110">
        <v>227058.35</v>
      </c>
      <c r="M110">
        <v>0</v>
      </c>
      <c r="N110">
        <v>261797.88</v>
      </c>
      <c r="O110" t="s">
        <v>233</v>
      </c>
    </row>
    <row r="111" spans="1:15" x14ac:dyDescent="0.25">
      <c r="A111" t="s">
        <v>441</v>
      </c>
      <c r="B111" t="s">
        <v>442</v>
      </c>
      <c r="C111" t="s">
        <v>443</v>
      </c>
      <c r="D111" t="s">
        <v>110</v>
      </c>
      <c r="E111" s="2">
        <v>43586</v>
      </c>
      <c r="F111" t="s">
        <v>38</v>
      </c>
      <c r="G111">
        <v>5000000</v>
      </c>
      <c r="H111" s="2">
        <v>43881</v>
      </c>
      <c r="I111">
        <v>2020</v>
      </c>
      <c r="J111">
        <v>5473.1317937675603</v>
      </c>
      <c r="K111">
        <v>15053.058206232399</v>
      </c>
      <c r="L111">
        <v>144044.09</v>
      </c>
      <c r="M111">
        <v>0</v>
      </c>
      <c r="N111">
        <v>164570.28</v>
      </c>
      <c r="O111" t="s">
        <v>193</v>
      </c>
    </row>
    <row r="112" spans="1:15" x14ac:dyDescent="0.25">
      <c r="A112" t="s">
        <v>444</v>
      </c>
      <c r="B112" t="s">
        <v>445</v>
      </c>
      <c r="C112" t="s">
        <v>446</v>
      </c>
      <c r="D112" t="s">
        <v>110</v>
      </c>
      <c r="E112" s="2">
        <v>43822</v>
      </c>
      <c r="F112" t="s">
        <v>17</v>
      </c>
      <c r="G112">
        <v>3000000</v>
      </c>
      <c r="H112" s="2">
        <v>43867</v>
      </c>
      <c r="I112">
        <v>2020</v>
      </c>
      <c r="J112">
        <v>64909.082108925497</v>
      </c>
      <c r="K112">
        <v>183817.707891075</v>
      </c>
      <c r="L112">
        <v>1517646.21</v>
      </c>
      <c r="M112">
        <v>0</v>
      </c>
      <c r="N112">
        <v>1766373</v>
      </c>
      <c r="O112" t="s">
        <v>131</v>
      </c>
    </row>
    <row r="113" spans="1:15" x14ac:dyDescent="0.25">
      <c r="A113" t="s">
        <v>447</v>
      </c>
      <c r="B113" t="s">
        <v>448</v>
      </c>
      <c r="C113" t="s">
        <v>449</v>
      </c>
      <c r="D113" t="s">
        <v>110</v>
      </c>
      <c r="E113" s="2">
        <v>43736</v>
      </c>
      <c r="F113" t="s">
        <v>12</v>
      </c>
      <c r="G113">
        <v>2000000</v>
      </c>
      <c r="H113" s="2">
        <v>43817</v>
      </c>
      <c r="I113">
        <v>2019</v>
      </c>
      <c r="J113">
        <v>15970.2051015985</v>
      </c>
      <c r="K113">
        <v>63330.1048984015</v>
      </c>
      <c r="L113">
        <v>411434.88</v>
      </c>
      <c r="M113">
        <v>0</v>
      </c>
      <c r="N113">
        <v>490735.19</v>
      </c>
      <c r="O113" t="s">
        <v>431</v>
      </c>
    </row>
    <row r="114" spans="1:15" x14ac:dyDescent="0.25">
      <c r="A114" t="s">
        <v>450</v>
      </c>
      <c r="B114" t="s">
        <v>451</v>
      </c>
      <c r="C114" t="s">
        <v>452</v>
      </c>
      <c r="D114" t="s">
        <v>110</v>
      </c>
      <c r="E114" s="2">
        <v>43616</v>
      </c>
      <c r="F114" t="s">
        <v>54</v>
      </c>
      <c r="G114">
        <v>1000000</v>
      </c>
      <c r="H114" s="2">
        <v>43877</v>
      </c>
      <c r="I114">
        <v>2020</v>
      </c>
      <c r="J114">
        <v>113758.190222583</v>
      </c>
      <c r="K114">
        <v>322559.51977741701</v>
      </c>
      <c r="L114">
        <v>1727502.17</v>
      </c>
      <c r="M114">
        <v>0</v>
      </c>
      <c r="N114">
        <v>2163819.88</v>
      </c>
      <c r="O114" t="s">
        <v>131</v>
      </c>
    </row>
    <row r="115" spans="1:15" x14ac:dyDescent="0.25">
      <c r="A115" t="s">
        <v>453</v>
      </c>
      <c r="B115" t="s">
        <v>454</v>
      </c>
      <c r="C115" t="s">
        <v>455</v>
      </c>
      <c r="D115" t="s">
        <v>110</v>
      </c>
      <c r="E115" s="2">
        <v>43750</v>
      </c>
      <c r="F115" t="s">
        <v>55</v>
      </c>
      <c r="G115">
        <v>1000000</v>
      </c>
      <c r="H115" s="2">
        <v>43880</v>
      </c>
      <c r="I115">
        <v>2020</v>
      </c>
      <c r="J115">
        <v>3660.5231379831898</v>
      </c>
      <c r="K115">
        <v>8985.8568620168098</v>
      </c>
      <c r="L115">
        <v>80518.899999999994</v>
      </c>
      <c r="M115">
        <v>0</v>
      </c>
      <c r="N115">
        <v>93165.28</v>
      </c>
      <c r="O115" t="s">
        <v>240</v>
      </c>
    </row>
    <row r="116" spans="1:15" x14ac:dyDescent="0.25">
      <c r="A116" t="s">
        <v>456</v>
      </c>
      <c r="B116" t="s">
        <v>457</v>
      </c>
      <c r="C116" t="s">
        <v>458</v>
      </c>
      <c r="D116" t="s">
        <v>110</v>
      </c>
      <c r="E116" s="2">
        <v>43740</v>
      </c>
      <c r="F116" t="s">
        <v>25</v>
      </c>
      <c r="G116">
        <v>5000000</v>
      </c>
      <c r="H116" s="2">
        <v>43872</v>
      </c>
      <c r="I116">
        <v>2020</v>
      </c>
      <c r="J116">
        <v>10179.6798213521</v>
      </c>
      <c r="K116">
        <v>29035.100178647899</v>
      </c>
      <c r="L116">
        <v>262385.62</v>
      </c>
      <c r="M116">
        <v>0</v>
      </c>
      <c r="N116">
        <v>301600.40000000002</v>
      </c>
      <c r="O116" t="s">
        <v>343</v>
      </c>
    </row>
    <row r="117" spans="1:15" x14ac:dyDescent="0.25">
      <c r="A117" t="s">
        <v>459</v>
      </c>
      <c r="B117" t="s">
        <v>460</v>
      </c>
      <c r="C117" t="s">
        <v>461</v>
      </c>
      <c r="D117" t="s">
        <v>110</v>
      </c>
      <c r="E117" s="2">
        <v>43655</v>
      </c>
      <c r="F117" t="s">
        <v>49</v>
      </c>
      <c r="G117">
        <v>3000000</v>
      </c>
      <c r="H117" s="2">
        <v>43869</v>
      </c>
      <c r="I117">
        <v>2020</v>
      </c>
      <c r="J117">
        <v>3369.3082615481399</v>
      </c>
      <c r="K117">
        <v>11596.0217384519</v>
      </c>
      <c r="L117">
        <v>69557.399999999994</v>
      </c>
      <c r="M117">
        <v>0</v>
      </c>
      <c r="N117">
        <v>84522.73</v>
      </c>
      <c r="O117" t="s">
        <v>207</v>
      </c>
    </row>
    <row r="118" spans="1:15" x14ac:dyDescent="0.25">
      <c r="A118" t="s">
        <v>462</v>
      </c>
      <c r="B118" t="s">
        <v>463</v>
      </c>
      <c r="C118" t="s">
        <v>464</v>
      </c>
      <c r="D118" t="s">
        <v>110</v>
      </c>
      <c r="E118" s="2">
        <v>43509</v>
      </c>
      <c r="F118" t="s">
        <v>49</v>
      </c>
      <c r="G118">
        <v>5000000</v>
      </c>
      <c r="H118" s="2">
        <v>43839</v>
      </c>
      <c r="I118">
        <v>2020</v>
      </c>
      <c r="J118">
        <v>12495.225632715201</v>
      </c>
      <c r="K118">
        <v>39396.894367284804</v>
      </c>
      <c r="L118">
        <v>175291.88</v>
      </c>
      <c r="M118">
        <v>0</v>
      </c>
      <c r="N118">
        <v>227184</v>
      </c>
      <c r="O118" t="s">
        <v>168</v>
      </c>
    </row>
    <row r="119" spans="1:15" x14ac:dyDescent="0.25">
      <c r="A119" t="s">
        <v>465</v>
      </c>
      <c r="B119" t="s">
        <v>466</v>
      </c>
      <c r="C119" t="s">
        <v>467</v>
      </c>
      <c r="D119" t="s">
        <v>110</v>
      </c>
      <c r="E119" s="2">
        <v>43861</v>
      </c>
      <c r="F119" t="s">
        <v>42</v>
      </c>
      <c r="G119">
        <v>4000000</v>
      </c>
      <c r="H119" s="2">
        <v>43924</v>
      </c>
      <c r="I119">
        <v>2020</v>
      </c>
      <c r="J119">
        <v>2855.6067161881801</v>
      </c>
      <c r="K119">
        <v>6989.1232838118103</v>
      </c>
      <c r="L119">
        <v>66556.12</v>
      </c>
      <c r="M119">
        <v>0</v>
      </c>
      <c r="N119">
        <v>76400.850000000006</v>
      </c>
      <c r="O119" t="s">
        <v>207</v>
      </c>
    </row>
    <row r="120" spans="1:15" x14ac:dyDescent="0.25">
      <c r="A120" t="s">
        <v>468</v>
      </c>
      <c r="B120" t="s">
        <v>469</v>
      </c>
      <c r="C120" t="s">
        <v>470</v>
      </c>
      <c r="D120" t="s">
        <v>110</v>
      </c>
      <c r="E120" s="2">
        <v>43631</v>
      </c>
      <c r="F120" t="s">
        <v>21</v>
      </c>
      <c r="G120">
        <v>4000000</v>
      </c>
      <c r="H120" s="2">
        <v>43914</v>
      </c>
      <c r="I120">
        <v>2020</v>
      </c>
      <c r="J120">
        <v>8428.5531132825909</v>
      </c>
      <c r="K120">
        <v>29039.916886717401</v>
      </c>
      <c r="L120">
        <v>322879.01</v>
      </c>
      <c r="M120">
        <v>0</v>
      </c>
      <c r="N120">
        <v>360347.48</v>
      </c>
      <c r="O120" t="s">
        <v>274</v>
      </c>
    </row>
    <row r="121" spans="1:15" x14ac:dyDescent="0.25">
      <c r="A121" t="s">
        <v>471</v>
      </c>
      <c r="B121" t="s">
        <v>460</v>
      </c>
      <c r="C121" t="s">
        <v>461</v>
      </c>
      <c r="D121" t="s">
        <v>110</v>
      </c>
      <c r="E121" s="2">
        <v>43655</v>
      </c>
      <c r="F121" t="s">
        <v>49</v>
      </c>
      <c r="G121">
        <v>3000000</v>
      </c>
      <c r="H121" s="2">
        <v>43891</v>
      </c>
      <c r="I121">
        <v>2020</v>
      </c>
      <c r="J121">
        <v>9786.4564715317993</v>
      </c>
      <c r="K121">
        <v>25369.223528468199</v>
      </c>
      <c r="L121">
        <v>121978.94</v>
      </c>
      <c r="M121">
        <v>0</v>
      </c>
      <c r="N121">
        <v>157134.62</v>
      </c>
      <c r="O121" t="s">
        <v>186</v>
      </c>
    </row>
    <row r="122" spans="1:15" x14ac:dyDescent="0.25">
      <c r="A122" t="s">
        <v>472</v>
      </c>
      <c r="B122" t="s">
        <v>473</v>
      </c>
      <c r="C122" t="s">
        <v>474</v>
      </c>
      <c r="D122" t="s">
        <v>110</v>
      </c>
      <c r="E122" s="2">
        <v>43538</v>
      </c>
      <c r="F122" t="s">
        <v>34</v>
      </c>
      <c r="G122">
        <v>3000000</v>
      </c>
      <c r="H122" s="2">
        <v>43898</v>
      </c>
      <c r="I122">
        <v>2020</v>
      </c>
      <c r="J122">
        <v>9189.7886288194695</v>
      </c>
      <c r="K122">
        <v>24378.511371180499</v>
      </c>
      <c r="L122">
        <v>148442.06</v>
      </c>
      <c r="M122">
        <v>0</v>
      </c>
      <c r="N122">
        <v>182010.36</v>
      </c>
      <c r="O122" t="s">
        <v>193</v>
      </c>
    </row>
    <row r="123" spans="1:15" x14ac:dyDescent="0.25">
      <c r="A123" t="s">
        <v>475</v>
      </c>
      <c r="B123" t="s">
        <v>476</v>
      </c>
      <c r="C123" t="s">
        <v>477</v>
      </c>
      <c r="D123" t="s">
        <v>110</v>
      </c>
      <c r="E123" s="2">
        <v>43768</v>
      </c>
      <c r="F123" t="s">
        <v>18</v>
      </c>
      <c r="G123">
        <v>5000000</v>
      </c>
      <c r="H123" s="2">
        <v>43899</v>
      </c>
      <c r="I123">
        <v>2020</v>
      </c>
      <c r="J123">
        <v>8404.8001529334106</v>
      </c>
      <c r="K123">
        <v>32180.239847066601</v>
      </c>
      <c r="L123">
        <v>391361.31</v>
      </c>
      <c r="M123">
        <v>0</v>
      </c>
      <c r="N123">
        <v>431946.35</v>
      </c>
      <c r="O123" t="s">
        <v>431</v>
      </c>
    </row>
    <row r="124" spans="1:15" x14ac:dyDescent="0.25">
      <c r="A124" t="s">
        <v>478</v>
      </c>
      <c r="B124" t="s">
        <v>479</v>
      </c>
      <c r="C124" t="s">
        <v>480</v>
      </c>
      <c r="D124" t="s">
        <v>110</v>
      </c>
      <c r="E124" s="2">
        <v>43597</v>
      </c>
      <c r="F124" t="s">
        <v>27</v>
      </c>
      <c r="G124">
        <v>5000000</v>
      </c>
      <c r="H124" s="2">
        <v>43925</v>
      </c>
      <c r="I124">
        <v>2020</v>
      </c>
      <c r="J124">
        <v>9122.1182095037893</v>
      </c>
      <c r="K124">
        <v>24084.251790496201</v>
      </c>
      <c r="L124">
        <v>287503.12</v>
      </c>
      <c r="M124">
        <v>0</v>
      </c>
      <c r="N124">
        <v>320709.49</v>
      </c>
      <c r="O124" t="s">
        <v>343</v>
      </c>
    </row>
    <row r="125" spans="1:15" x14ac:dyDescent="0.25">
      <c r="A125" t="s">
        <v>481</v>
      </c>
      <c r="B125" t="s">
        <v>482</v>
      </c>
      <c r="C125" t="s">
        <v>483</v>
      </c>
      <c r="D125" t="s">
        <v>110</v>
      </c>
      <c r="E125" s="2">
        <v>43749</v>
      </c>
      <c r="F125" t="s">
        <v>54</v>
      </c>
      <c r="G125">
        <v>1000000</v>
      </c>
      <c r="H125" s="2">
        <v>43786</v>
      </c>
      <c r="I125">
        <v>2019</v>
      </c>
      <c r="J125">
        <v>9791.5290936123802</v>
      </c>
      <c r="K125">
        <v>25723.050906387602</v>
      </c>
      <c r="L125">
        <v>216879.33</v>
      </c>
      <c r="M125">
        <v>0</v>
      </c>
      <c r="N125">
        <v>252393.91</v>
      </c>
      <c r="O125" t="s">
        <v>233</v>
      </c>
    </row>
    <row r="126" spans="1:15" x14ac:dyDescent="0.25">
      <c r="A126" t="s">
        <v>484</v>
      </c>
      <c r="B126" t="s">
        <v>485</v>
      </c>
      <c r="C126" t="s">
        <v>486</v>
      </c>
      <c r="D126" t="s">
        <v>110</v>
      </c>
      <c r="E126" s="2">
        <v>43692</v>
      </c>
      <c r="F126" t="s">
        <v>12</v>
      </c>
      <c r="G126">
        <v>5000000</v>
      </c>
      <c r="H126" s="2">
        <v>43897</v>
      </c>
      <c r="I126">
        <v>2020</v>
      </c>
      <c r="J126">
        <v>30429.332849677801</v>
      </c>
      <c r="K126">
        <v>119180.307150322</v>
      </c>
      <c r="L126">
        <v>554254.39</v>
      </c>
      <c r="M126">
        <v>0</v>
      </c>
      <c r="N126">
        <v>703864.03</v>
      </c>
      <c r="O126" t="s">
        <v>115</v>
      </c>
    </row>
    <row r="127" spans="1:15" x14ac:dyDescent="0.25">
      <c r="A127" t="s">
        <v>487</v>
      </c>
      <c r="B127" t="s">
        <v>488</v>
      </c>
      <c r="C127" t="s">
        <v>489</v>
      </c>
      <c r="D127" t="s">
        <v>110</v>
      </c>
      <c r="E127" s="2">
        <v>43757</v>
      </c>
      <c r="F127" t="s">
        <v>31</v>
      </c>
      <c r="G127">
        <v>5000000</v>
      </c>
      <c r="H127" s="2">
        <v>43922</v>
      </c>
      <c r="I127">
        <v>2020</v>
      </c>
      <c r="J127">
        <v>23357.1256728095</v>
      </c>
      <c r="K127">
        <v>66206.484327190497</v>
      </c>
      <c r="L127">
        <v>436418.53</v>
      </c>
      <c r="M127">
        <v>0</v>
      </c>
      <c r="N127">
        <v>525982.14</v>
      </c>
      <c r="O127" t="s">
        <v>179</v>
      </c>
    </row>
    <row r="128" spans="1:15" x14ac:dyDescent="0.25">
      <c r="A128" t="s">
        <v>490</v>
      </c>
      <c r="B128" t="s">
        <v>491</v>
      </c>
      <c r="C128" t="s">
        <v>492</v>
      </c>
      <c r="D128" t="s">
        <v>110</v>
      </c>
      <c r="E128" s="2">
        <v>43852</v>
      </c>
      <c r="F128" t="s">
        <v>22</v>
      </c>
      <c r="G128">
        <v>1000000</v>
      </c>
      <c r="H128" s="2">
        <v>43921</v>
      </c>
      <c r="I128">
        <v>2020</v>
      </c>
      <c r="J128">
        <v>6478.3363362232003</v>
      </c>
      <c r="K128">
        <v>21319.6136637768</v>
      </c>
      <c r="L128">
        <v>169025.59</v>
      </c>
      <c r="M128">
        <v>0</v>
      </c>
      <c r="N128">
        <v>196823.54</v>
      </c>
      <c r="O128" t="s">
        <v>168</v>
      </c>
    </row>
    <row r="129" spans="1:15" x14ac:dyDescent="0.25">
      <c r="A129" t="s">
        <v>493</v>
      </c>
      <c r="B129" t="s">
        <v>494</v>
      </c>
      <c r="C129" t="s">
        <v>495</v>
      </c>
      <c r="D129" t="s">
        <v>110</v>
      </c>
      <c r="E129" s="2">
        <v>43650</v>
      </c>
      <c r="F129" t="s">
        <v>55</v>
      </c>
      <c r="G129">
        <v>5000000</v>
      </c>
      <c r="H129" s="2">
        <v>43807</v>
      </c>
      <c r="I129">
        <v>2019</v>
      </c>
      <c r="J129">
        <v>22212.005297149899</v>
      </c>
      <c r="K129">
        <v>54969.234702850103</v>
      </c>
      <c r="L129">
        <v>533907.59</v>
      </c>
      <c r="M129">
        <v>0</v>
      </c>
      <c r="N129">
        <v>611088.82999999996</v>
      </c>
      <c r="O129" t="s">
        <v>115</v>
      </c>
    </row>
    <row r="130" spans="1:15" x14ac:dyDescent="0.25">
      <c r="A130" t="s">
        <v>496</v>
      </c>
      <c r="B130" t="s">
        <v>497</v>
      </c>
      <c r="C130" t="s">
        <v>498</v>
      </c>
      <c r="D130" t="s">
        <v>110</v>
      </c>
      <c r="E130" s="2">
        <v>43783</v>
      </c>
      <c r="F130" t="s">
        <v>21</v>
      </c>
      <c r="G130">
        <v>1000000</v>
      </c>
      <c r="H130" s="2">
        <v>43865</v>
      </c>
      <c r="I130">
        <v>2020</v>
      </c>
      <c r="J130">
        <v>3186.63641325462</v>
      </c>
      <c r="K130">
        <v>8979.4535867453797</v>
      </c>
      <c r="L130">
        <v>99266.44</v>
      </c>
      <c r="M130">
        <v>0</v>
      </c>
      <c r="N130">
        <v>111432.53</v>
      </c>
      <c r="O130" t="s">
        <v>164</v>
      </c>
    </row>
    <row r="131" spans="1:15" x14ac:dyDescent="0.25">
      <c r="A131" t="s">
        <v>499</v>
      </c>
      <c r="B131" t="s">
        <v>500</v>
      </c>
      <c r="C131" t="s">
        <v>501</v>
      </c>
      <c r="D131" t="s">
        <v>110</v>
      </c>
      <c r="E131" s="2">
        <v>43893</v>
      </c>
      <c r="F131" t="s">
        <v>10</v>
      </c>
      <c r="G131">
        <v>3000000</v>
      </c>
      <c r="H131" s="2">
        <v>43898</v>
      </c>
      <c r="I131">
        <v>2020</v>
      </c>
      <c r="J131">
        <v>5172.7591325520798</v>
      </c>
      <c r="K131">
        <v>15531.0908674479</v>
      </c>
      <c r="L131">
        <v>96415.71</v>
      </c>
      <c r="M131">
        <v>0</v>
      </c>
      <c r="N131">
        <v>117119.56</v>
      </c>
      <c r="O131" t="s">
        <v>111</v>
      </c>
    </row>
    <row r="132" spans="1:15" x14ac:dyDescent="0.25">
      <c r="A132" t="s">
        <v>502</v>
      </c>
      <c r="B132" t="s">
        <v>503</v>
      </c>
      <c r="C132" t="s">
        <v>504</v>
      </c>
      <c r="D132" t="s">
        <v>110</v>
      </c>
      <c r="E132" s="2">
        <v>43717</v>
      </c>
      <c r="F132" t="s">
        <v>45</v>
      </c>
      <c r="G132">
        <v>5000000</v>
      </c>
      <c r="H132" s="2">
        <v>43968</v>
      </c>
      <c r="I132">
        <v>2020</v>
      </c>
      <c r="J132">
        <v>10609.8311893355</v>
      </c>
      <c r="K132">
        <v>30886.618810664499</v>
      </c>
      <c r="L132">
        <v>195702.74</v>
      </c>
      <c r="M132">
        <v>0</v>
      </c>
      <c r="N132">
        <v>237199.19</v>
      </c>
      <c r="O132" t="s">
        <v>172</v>
      </c>
    </row>
    <row r="133" spans="1:15" x14ac:dyDescent="0.25">
      <c r="A133" t="s">
        <v>505</v>
      </c>
      <c r="B133" t="s">
        <v>506</v>
      </c>
      <c r="C133" t="s">
        <v>507</v>
      </c>
      <c r="D133" t="s">
        <v>110</v>
      </c>
      <c r="E133" s="2">
        <v>43897</v>
      </c>
      <c r="F133" t="s">
        <v>52</v>
      </c>
      <c r="G133">
        <v>3000000</v>
      </c>
      <c r="H133" s="2">
        <v>43898</v>
      </c>
      <c r="I133">
        <v>2020</v>
      </c>
      <c r="J133">
        <v>2105.44263643146</v>
      </c>
      <c r="K133">
        <v>4941.2773635685398</v>
      </c>
      <c r="L133">
        <v>55541.81</v>
      </c>
      <c r="M133">
        <v>0</v>
      </c>
      <c r="N133">
        <v>62588.53</v>
      </c>
      <c r="O133" t="s">
        <v>157</v>
      </c>
    </row>
    <row r="134" spans="1:15" x14ac:dyDescent="0.25">
      <c r="A134" t="s">
        <v>508</v>
      </c>
      <c r="B134" t="s">
        <v>509</v>
      </c>
      <c r="C134" t="s">
        <v>510</v>
      </c>
      <c r="D134" t="s">
        <v>110</v>
      </c>
      <c r="E134" s="2">
        <v>43731</v>
      </c>
      <c r="F134" t="s">
        <v>12</v>
      </c>
      <c r="G134">
        <v>5000000</v>
      </c>
      <c r="H134" s="2">
        <v>43987</v>
      </c>
      <c r="I134">
        <v>2020</v>
      </c>
      <c r="J134">
        <v>22054.161001589498</v>
      </c>
      <c r="K134">
        <v>64729.628998410401</v>
      </c>
      <c r="L134">
        <v>671330.07</v>
      </c>
      <c r="M134">
        <v>0</v>
      </c>
      <c r="N134">
        <v>758113.86</v>
      </c>
      <c r="O134" t="s">
        <v>143</v>
      </c>
    </row>
    <row r="135" spans="1:15" x14ac:dyDescent="0.25">
      <c r="A135" t="s">
        <v>511</v>
      </c>
      <c r="B135" t="s">
        <v>512</v>
      </c>
      <c r="C135" t="s">
        <v>513</v>
      </c>
      <c r="D135" t="s">
        <v>110</v>
      </c>
      <c r="E135" s="2">
        <v>43653</v>
      </c>
      <c r="F135" t="s">
        <v>12</v>
      </c>
      <c r="G135">
        <v>1000000</v>
      </c>
      <c r="H135" s="2">
        <v>43895</v>
      </c>
      <c r="I135">
        <v>2020</v>
      </c>
      <c r="J135">
        <v>8056.4871345232395</v>
      </c>
      <c r="K135">
        <v>24496.392865476799</v>
      </c>
      <c r="L135">
        <v>121597.45</v>
      </c>
      <c r="M135">
        <v>0</v>
      </c>
      <c r="N135">
        <v>154150.32999999999</v>
      </c>
      <c r="O135" t="s">
        <v>186</v>
      </c>
    </row>
    <row r="136" spans="1:15" x14ac:dyDescent="0.25">
      <c r="A136" t="s">
        <v>514</v>
      </c>
      <c r="B136" t="s">
        <v>515</v>
      </c>
      <c r="C136" t="s">
        <v>516</v>
      </c>
      <c r="D136" t="s">
        <v>110</v>
      </c>
      <c r="E136" s="2">
        <v>43792</v>
      </c>
      <c r="F136" t="s">
        <v>26</v>
      </c>
      <c r="G136">
        <v>1000000</v>
      </c>
      <c r="H136" s="2">
        <v>43948</v>
      </c>
      <c r="I136">
        <v>2020</v>
      </c>
      <c r="J136">
        <v>5065.4939352858801</v>
      </c>
      <c r="K136">
        <v>14075.9260647141</v>
      </c>
      <c r="L136">
        <v>130562.62</v>
      </c>
      <c r="M136">
        <v>0</v>
      </c>
      <c r="N136">
        <v>149704.04</v>
      </c>
      <c r="O136" t="s">
        <v>123</v>
      </c>
    </row>
    <row r="137" spans="1:15" x14ac:dyDescent="0.25">
      <c r="A137" t="s">
        <v>517</v>
      </c>
      <c r="B137" t="s">
        <v>518</v>
      </c>
      <c r="C137" t="s">
        <v>519</v>
      </c>
      <c r="D137" t="s">
        <v>110</v>
      </c>
      <c r="E137" s="2">
        <v>43621</v>
      </c>
      <c r="F137" t="s">
        <v>41</v>
      </c>
      <c r="G137">
        <v>3000000</v>
      </c>
      <c r="H137" s="2">
        <v>43924</v>
      </c>
      <c r="I137">
        <v>2020</v>
      </c>
      <c r="J137">
        <v>9275.4570507269891</v>
      </c>
      <c r="K137">
        <v>21984.002949272999</v>
      </c>
      <c r="L137">
        <v>224615.51</v>
      </c>
      <c r="M137">
        <v>0</v>
      </c>
      <c r="N137">
        <v>255874.97</v>
      </c>
      <c r="O137" t="s">
        <v>233</v>
      </c>
    </row>
    <row r="138" spans="1:15" x14ac:dyDescent="0.25">
      <c r="A138" t="s">
        <v>520</v>
      </c>
      <c r="B138" t="s">
        <v>521</v>
      </c>
      <c r="C138" t="s">
        <v>522</v>
      </c>
      <c r="D138" t="s">
        <v>110</v>
      </c>
      <c r="E138" s="2">
        <v>43827</v>
      </c>
      <c r="F138" t="s">
        <v>22</v>
      </c>
      <c r="G138">
        <v>5000000</v>
      </c>
      <c r="H138" s="2">
        <v>43891</v>
      </c>
      <c r="I138">
        <v>2020</v>
      </c>
      <c r="J138">
        <v>4132.6268988696802</v>
      </c>
      <c r="K138">
        <v>13275.1131011303</v>
      </c>
      <c r="L138">
        <v>63949.08</v>
      </c>
      <c r="M138">
        <v>0</v>
      </c>
      <c r="N138">
        <v>81356.820000000007</v>
      </c>
      <c r="O138" t="s">
        <v>150</v>
      </c>
    </row>
    <row r="139" spans="1:15" x14ac:dyDescent="0.25">
      <c r="A139" t="s">
        <v>523</v>
      </c>
      <c r="B139" t="s">
        <v>524</v>
      </c>
      <c r="C139" t="s">
        <v>525</v>
      </c>
      <c r="D139" t="s">
        <v>110</v>
      </c>
      <c r="E139" s="2">
        <v>43734</v>
      </c>
      <c r="F139" t="s">
        <v>13</v>
      </c>
      <c r="G139">
        <v>2000000</v>
      </c>
      <c r="H139" s="2">
        <v>43958</v>
      </c>
      <c r="I139">
        <v>2020</v>
      </c>
      <c r="J139">
        <v>4461.2482785867996</v>
      </c>
      <c r="K139">
        <v>12266.6717214132</v>
      </c>
      <c r="L139">
        <v>100114.61</v>
      </c>
      <c r="M139">
        <v>0</v>
      </c>
      <c r="N139">
        <v>116842.53</v>
      </c>
      <c r="O139" t="s">
        <v>164</v>
      </c>
    </row>
    <row r="140" spans="1:15" x14ac:dyDescent="0.25">
      <c r="A140" t="s">
        <v>526</v>
      </c>
      <c r="B140" t="s">
        <v>527</v>
      </c>
      <c r="C140" t="s">
        <v>528</v>
      </c>
      <c r="D140" t="s">
        <v>110</v>
      </c>
      <c r="E140" s="2">
        <v>43597</v>
      </c>
      <c r="F140" t="s">
        <v>21</v>
      </c>
      <c r="G140">
        <v>2000000</v>
      </c>
      <c r="H140" s="2">
        <v>43889</v>
      </c>
      <c r="I140">
        <v>2020</v>
      </c>
      <c r="J140">
        <v>5952.3935880291601</v>
      </c>
      <c r="K140">
        <v>21984.206411970801</v>
      </c>
      <c r="L140">
        <v>162975.65</v>
      </c>
      <c r="M140">
        <v>0</v>
      </c>
      <c r="N140">
        <v>190912.25</v>
      </c>
      <c r="O140" t="s">
        <v>168</v>
      </c>
    </row>
    <row r="141" spans="1:15" x14ac:dyDescent="0.25">
      <c r="A141" t="s">
        <v>529</v>
      </c>
      <c r="B141" t="s">
        <v>530</v>
      </c>
      <c r="C141" t="s">
        <v>531</v>
      </c>
      <c r="D141" t="s">
        <v>110</v>
      </c>
      <c r="E141" s="2">
        <v>43907</v>
      </c>
      <c r="F141" t="s">
        <v>12</v>
      </c>
      <c r="G141">
        <v>10000000</v>
      </c>
      <c r="H141" s="2">
        <v>43927</v>
      </c>
      <c r="I141">
        <v>2020</v>
      </c>
      <c r="J141">
        <v>8072.4241706712301</v>
      </c>
      <c r="K141">
        <v>31608.3158293288</v>
      </c>
      <c r="L141">
        <v>259451.59</v>
      </c>
      <c r="M141">
        <v>0</v>
      </c>
      <c r="N141">
        <v>299132.33</v>
      </c>
      <c r="O141" t="s">
        <v>127</v>
      </c>
    </row>
    <row r="142" spans="1:15" x14ac:dyDescent="0.25">
      <c r="A142" t="s">
        <v>532</v>
      </c>
      <c r="B142" t="s">
        <v>533</v>
      </c>
      <c r="C142" t="s">
        <v>405</v>
      </c>
      <c r="D142" t="s">
        <v>110</v>
      </c>
      <c r="E142" s="2">
        <v>43821</v>
      </c>
      <c r="F142" t="s">
        <v>54</v>
      </c>
      <c r="G142">
        <v>3000000</v>
      </c>
      <c r="H142" s="2">
        <v>44006</v>
      </c>
      <c r="I142">
        <v>2020</v>
      </c>
      <c r="J142">
        <v>5492.4263751421804</v>
      </c>
      <c r="K142">
        <v>17219.8636248578</v>
      </c>
      <c r="L142">
        <v>102559.64</v>
      </c>
      <c r="M142">
        <v>0</v>
      </c>
      <c r="N142">
        <v>125271.93</v>
      </c>
      <c r="O142" t="s">
        <v>164</v>
      </c>
    </row>
    <row r="143" spans="1:15" x14ac:dyDescent="0.25">
      <c r="A143" t="s">
        <v>534</v>
      </c>
      <c r="B143" t="s">
        <v>535</v>
      </c>
      <c r="C143" t="s">
        <v>536</v>
      </c>
      <c r="D143" t="s">
        <v>110</v>
      </c>
      <c r="E143" s="2">
        <v>43742</v>
      </c>
      <c r="F143" t="s">
        <v>40</v>
      </c>
      <c r="G143">
        <v>5000000</v>
      </c>
      <c r="H143" s="2">
        <v>44036</v>
      </c>
      <c r="I143">
        <v>2020</v>
      </c>
      <c r="J143">
        <v>10229.200298780899</v>
      </c>
      <c r="K143">
        <v>31135.899701219099</v>
      </c>
      <c r="L143">
        <v>179901.66</v>
      </c>
      <c r="M143">
        <v>0</v>
      </c>
      <c r="N143">
        <v>221266.76</v>
      </c>
      <c r="O143" t="s">
        <v>172</v>
      </c>
    </row>
    <row r="144" spans="1:15" x14ac:dyDescent="0.25">
      <c r="A144" t="s">
        <v>537</v>
      </c>
      <c r="B144" t="s">
        <v>538</v>
      </c>
      <c r="C144" t="s">
        <v>539</v>
      </c>
      <c r="D144" t="s">
        <v>110</v>
      </c>
      <c r="E144" s="2">
        <v>43599</v>
      </c>
      <c r="F144" t="s">
        <v>17</v>
      </c>
      <c r="G144">
        <v>1000000</v>
      </c>
      <c r="H144" s="2">
        <v>43895</v>
      </c>
      <c r="I144">
        <v>2020</v>
      </c>
      <c r="J144">
        <v>111818.75611530599</v>
      </c>
      <c r="K144">
        <v>265519.96388469398</v>
      </c>
      <c r="L144">
        <v>1318779.1299999999</v>
      </c>
      <c r="M144">
        <v>0</v>
      </c>
      <c r="N144">
        <v>1696117.85</v>
      </c>
      <c r="O144" t="s">
        <v>131</v>
      </c>
    </row>
    <row r="145" spans="1:15" x14ac:dyDescent="0.25">
      <c r="A145" t="s">
        <v>540</v>
      </c>
      <c r="B145" t="s">
        <v>541</v>
      </c>
      <c r="C145" t="s">
        <v>542</v>
      </c>
      <c r="D145" t="s">
        <v>110</v>
      </c>
      <c r="E145" s="2">
        <v>43714</v>
      </c>
      <c r="F145" t="s">
        <v>20</v>
      </c>
      <c r="G145">
        <v>5000000</v>
      </c>
      <c r="H145" s="2">
        <v>44015</v>
      </c>
      <c r="I145">
        <v>2020</v>
      </c>
      <c r="J145">
        <v>12117.7068781539</v>
      </c>
      <c r="K145">
        <v>30651.2831218461</v>
      </c>
      <c r="L145">
        <v>171337.59</v>
      </c>
      <c r="M145">
        <v>0</v>
      </c>
      <c r="N145">
        <v>214106.58</v>
      </c>
      <c r="O145" t="s">
        <v>168</v>
      </c>
    </row>
    <row r="146" spans="1:15" x14ac:dyDescent="0.25">
      <c r="A146" t="s">
        <v>543</v>
      </c>
      <c r="B146" t="s">
        <v>544</v>
      </c>
      <c r="C146" t="s">
        <v>545</v>
      </c>
      <c r="D146" t="s">
        <v>110</v>
      </c>
      <c r="E146" s="2">
        <v>43682</v>
      </c>
      <c r="F146" t="s">
        <v>50</v>
      </c>
      <c r="G146">
        <v>5000000</v>
      </c>
      <c r="H146" s="2">
        <v>44024</v>
      </c>
      <c r="I146">
        <v>2020</v>
      </c>
      <c r="J146">
        <v>6834.9109814292697</v>
      </c>
      <c r="K146">
        <v>25696.989018570701</v>
      </c>
      <c r="L146">
        <v>189119.4</v>
      </c>
      <c r="M146">
        <v>0</v>
      </c>
      <c r="N146">
        <v>221651.3</v>
      </c>
      <c r="O146" t="s">
        <v>172</v>
      </c>
    </row>
    <row r="147" spans="1:15" x14ac:dyDescent="0.25">
      <c r="A147" t="s">
        <v>546</v>
      </c>
      <c r="B147" t="s">
        <v>547</v>
      </c>
      <c r="C147" t="s">
        <v>548</v>
      </c>
      <c r="D147" t="s">
        <v>110</v>
      </c>
      <c r="E147" s="2">
        <v>43961</v>
      </c>
      <c r="F147" t="s">
        <v>12</v>
      </c>
      <c r="G147">
        <v>2000000</v>
      </c>
      <c r="H147" s="2">
        <v>44027</v>
      </c>
      <c r="I147">
        <v>2020</v>
      </c>
      <c r="J147">
        <v>4655.7242358379699</v>
      </c>
      <c r="K147">
        <v>17861.935764162001</v>
      </c>
      <c r="L147">
        <v>85712.61</v>
      </c>
      <c r="M147">
        <v>0</v>
      </c>
      <c r="N147">
        <v>108230.27</v>
      </c>
      <c r="O147" t="s">
        <v>119</v>
      </c>
    </row>
    <row r="148" spans="1:15" x14ac:dyDescent="0.25">
      <c r="A148" t="s">
        <v>549</v>
      </c>
      <c r="B148" t="s">
        <v>550</v>
      </c>
      <c r="C148" t="s">
        <v>551</v>
      </c>
      <c r="D148" t="s">
        <v>110</v>
      </c>
      <c r="E148" s="2">
        <v>43682</v>
      </c>
      <c r="F148" t="s">
        <v>54</v>
      </c>
      <c r="G148">
        <v>5000000</v>
      </c>
      <c r="H148" s="2">
        <v>44040</v>
      </c>
      <c r="I148">
        <v>2020</v>
      </c>
      <c r="J148">
        <v>17671.809786822399</v>
      </c>
      <c r="K148">
        <v>49918.570213177598</v>
      </c>
      <c r="L148">
        <v>242516.77</v>
      </c>
      <c r="M148">
        <v>0</v>
      </c>
      <c r="N148">
        <v>310107.15000000002</v>
      </c>
      <c r="O148" t="s">
        <v>127</v>
      </c>
    </row>
    <row r="149" spans="1:15" x14ac:dyDescent="0.25">
      <c r="A149" t="s">
        <v>552</v>
      </c>
      <c r="B149" t="s">
        <v>553</v>
      </c>
      <c r="C149" t="s">
        <v>554</v>
      </c>
      <c r="D149" t="s">
        <v>110</v>
      </c>
      <c r="E149" s="2">
        <v>43673</v>
      </c>
      <c r="F149" t="s">
        <v>17</v>
      </c>
      <c r="G149">
        <v>5000000</v>
      </c>
      <c r="H149" s="2">
        <v>44022</v>
      </c>
      <c r="I149">
        <v>2020</v>
      </c>
      <c r="J149">
        <v>4784.7245561035097</v>
      </c>
      <c r="K149">
        <v>11861.0154438965</v>
      </c>
      <c r="L149">
        <v>106174.71</v>
      </c>
      <c r="M149">
        <v>0</v>
      </c>
      <c r="N149">
        <v>122820.45</v>
      </c>
      <c r="O149" t="s">
        <v>135</v>
      </c>
    </row>
    <row r="150" spans="1:15" x14ac:dyDescent="0.25">
      <c r="A150" t="s">
        <v>555</v>
      </c>
      <c r="B150" t="s">
        <v>556</v>
      </c>
      <c r="C150" t="s">
        <v>557</v>
      </c>
      <c r="D150" t="s">
        <v>110</v>
      </c>
      <c r="E150" s="2">
        <v>43889</v>
      </c>
      <c r="F150" t="s">
        <v>12</v>
      </c>
      <c r="G150">
        <v>3000000</v>
      </c>
      <c r="H150" s="2">
        <v>44043</v>
      </c>
      <c r="I150">
        <v>2020</v>
      </c>
      <c r="J150">
        <v>47400.061321953697</v>
      </c>
      <c r="K150">
        <v>113024.778678046</v>
      </c>
      <c r="L150">
        <v>564856.87</v>
      </c>
      <c r="M150">
        <v>0</v>
      </c>
      <c r="N150">
        <v>725281.71</v>
      </c>
      <c r="O150" t="s">
        <v>115</v>
      </c>
    </row>
    <row r="151" spans="1:15" x14ac:dyDescent="0.25">
      <c r="A151" t="s">
        <v>558</v>
      </c>
      <c r="B151" t="s">
        <v>559</v>
      </c>
      <c r="C151" t="s">
        <v>560</v>
      </c>
      <c r="D151" t="s">
        <v>110</v>
      </c>
      <c r="E151" s="2">
        <v>43980</v>
      </c>
      <c r="F151" t="s">
        <v>55</v>
      </c>
      <c r="G151">
        <v>1000000</v>
      </c>
      <c r="H151" s="2">
        <v>44001</v>
      </c>
      <c r="I151">
        <v>2020</v>
      </c>
      <c r="J151">
        <v>6138.5760296647204</v>
      </c>
      <c r="K151">
        <v>17672.463970335299</v>
      </c>
      <c r="L151">
        <v>81328.38</v>
      </c>
      <c r="M151">
        <v>0</v>
      </c>
      <c r="N151">
        <v>105139.42</v>
      </c>
      <c r="O151" t="s">
        <v>240</v>
      </c>
    </row>
    <row r="152" spans="1:15" x14ac:dyDescent="0.25">
      <c r="A152" t="s">
        <v>561</v>
      </c>
      <c r="B152" t="s">
        <v>562</v>
      </c>
      <c r="C152" t="s">
        <v>563</v>
      </c>
      <c r="D152" t="s">
        <v>110</v>
      </c>
      <c r="E152" s="2">
        <v>43783</v>
      </c>
      <c r="F152" t="s">
        <v>42</v>
      </c>
      <c r="G152">
        <v>1000000</v>
      </c>
      <c r="H152" s="2">
        <v>44041</v>
      </c>
      <c r="I152">
        <v>2020</v>
      </c>
      <c r="J152">
        <v>3867.3505075360299</v>
      </c>
      <c r="K152">
        <v>10263.899492463999</v>
      </c>
      <c r="L152">
        <v>70714.73</v>
      </c>
      <c r="M152">
        <v>0</v>
      </c>
      <c r="N152">
        <v>84845.98</v>
      </c>
      <c r="O152" t="s">
        <v>197</v>
      </c>
    </row>
    <row r="153" spans="1:15" x14ac:dyDescent="0.25">
      <c r="A153" t="s">
        <v>564</v>
      </c>
      <c r="B153" t="s">
        <v>565</v>
      </c>
      <c r="C153" t="s">
        <v>566</v>
      </c>
      <c r="D153" t="s">
        <v>110</v>
      </c>
      <c r="E153" s="2">
        <v>44026</v>
      </c>
      <c r="F153" t="s">
        <v>44</v>
      </c>
      <c r="G153">
        <v>2000000</v>
      </c>
      <c r="H153" s="2">
        <v>44045</v>
      </c>
      <c r="I153">
        <v>2020</v>
      </c>
      <c r="J153">
        <v>14644.655745194699</v>
      </c>
      <c r="K153">
        <v>58006.534254805301</v>
      </c>
      <c r="L153">
        <v>344710.49</v>
      </c>
      <c r="M153">
        <v>0</v>
      </c>
      <c r="N153">
        <v>417361.68</v>
      </c>
      <c r="O153" t="s">
        <v>274</v>
      </c>
    </row>
    <row r="154" spans="1:15" x14ac:dyDescent="0.25">
      <c r="A154" t="s">
        <v>567</v>
      </c>
      <c r="B154" t="s">
        <v>568</v>
      </c>
      <c r="C154" t="s">
        <v>569</v>
      </c>
      <c r="D154" t="s">
        <v>110</v>
      </c>
      <c r="E154" s="2">
        <v>43637</v>
      </c>
      <c r="F154" t="s">
        <v>13</v>
      </c>
      <c r="G154">
        <v>2000000</v>
      </c>
      <c r="H154" s="2">
        <v>43997</v>
      </c>
      <c r="I154">
        <v>2020</v>
      </c>
      <c r="J154">
        <v>33495.004513661101</v>
      </c>
      <c r="K154">
        <v>129081.855486339</v>
      </c>
      <c r="L154">
        <v>1335374.44</v>
      </c>
      <c r="M154">
        <v>0</v>
      </c>
      <c r="N154">
        <v>1497951.3</v>
      </c>
      <c r="O154" t="s">
        <v>131</v>
      </c>
    </row>
    <row r="155" spans="1:15" x14ac:dyDescent="0.25">
      <c r="A155" t="s">
        <v>570</v>
      </c>
      <c r="B155" t="s">
        <v>571</v>
      </c>
      <c r="C155" t="s">
        <v>572</v>
      </c>
      <c r="D155" t="s">
        <v>110</v>
      </c>
      <c r="E155" s="2">
        <v>43719</v>
      </c>
      <c r="F155" t="s">
        <v>50</v>
      </c>
      <c r="G155">
        <v>10000000</v>
      </c>
      <c r="H155" s="2">
        <v>44072</v>
      </c>
      <c r="I155">
        <v>2020</v>
      </c>
      <c r="J155">
        <v>8872.0298541801003</v>
      </c>
      <c r="K155">
        <v>28933.540145819901</v>
      </c>
      <c r="L155">
        <v>224807.98</v>
      </c>
      <c r="M155">
        <v>0</v>
      </c>
      <c r="N155">
        <v>262613.55</v>
      </c>
      <c r="O155" t="s">
        <v>233</v>
      </c>
    </row>
    <row r="156" spans="1:15" x14ac:dyDescent="0.25">
      <c r="A156" t="s">
        <v>573</v>
      </c>
      <c r="B156" t="s">
        <v>574</v>
      </c>
      <c r="C156" t="s">
        <v>575</v>
      </c>
      <c r="D156" t="s">
        <v>110</v>
      </c>
      <c r="E156" s="2">
        <v>43805</v>
      </c>
      <c r="F156" t="s">
        <v>50</v>
      </c>
      <c r="G156">
        <v>5000000</v>
      </c>
      <c r="H156" s="2">
        <v>43996</v>
      </c>
      <c r="I156">
        <v>2020</v>
      </c>
      <c r="J156">
        <v>31596.896060237199</v>
      </c>
      <c r="K156">
        <v>75167.833939762801</v>
      </c>
      <c r="L156">
        <v>376866.45</v>
      </c>
      <c r="M156">
        <v>0</v>
      </c>
      <c r="N156">
        <v>483631.18</v>
      </c>
      <c r="O156" t="s">
        <v>431</v>
      </c>
    </row>
    <row r="157" spans="1:15" x14ac:dyDescent="0.25">
      <c r="A157" t="s">
        <v>576</v>
      </c>
      <c r="B157" t="s">
        <v>577</v>
      </c>
      <c r="C157" t="s">
        <v>578</v>
      </c>
      <c r="D157" t="s">
        <v>110</v>
      </c>
      <c r="E157" s="2">
        <v>44003</v>
      </c>
      <c r="F157" t="s">
        <v>47</v>
      </c>
      <c r="G157">
        <v>3000000</v>
      </c>
      <c r="H157" s="2">
        <v>44070</v>
      </c>
      <c r="I157">
        <v>2020</v>
      </c>
      <c r="J157">
        <v>3845.9695876830201</v>
      </c>
      <c r="K157">
        <v>9128.5404123169792</v>
      </c>
      <c r="L157">
        <v>64179.28</v>
      </c>
      <c r="M157">
        <v>0</v>
      </c>
      <c r="N157">
        <v>77153.789999999994</v>
      </c>
      <c r="O157" t="s">
        <v>207</v>
      </c>
    </row>
    <row r="158" spans="1:15" x14ac:dyDescent="0.25">
      <c r="A158" t="s">
        <v>579</v>
      </c>
      <c r="B158" t="s">
        <v>580</v>
      </c>
      <c r="C158" t="s">
        <v>581</v>
      </c>
      <c r="D158" t="s">
        <v>110</v>
      </c>
      <c r="E158" s="2">
        <v>43767</v>
      </c>
      <c r="F158" t="s">
        <v>26</v>
      </c>
      <c r="G158">
        <v>5000000</v>
      </c>
      <c r="H158" s="2">
        <v>44071</v>
      </c>
      <c r="I158">
        <v>2020</v>
      </c>
      <c r="J158">
        <v>34446.455968026698</v>
      </c>
      <c r="K158">
        <v>136454.484031973</v>
      </c>
      <c r="L158">
        <v>634226.39</v>
      </c>
      <c r="M158">
        <v>0</v>
      </c>
      <c r="N158">
        <v>805127.33</v>
      </c>
      <c r="O158" t="s">
        <v>115</v>
      </c>
    </row>
    <row r="159" spans="1:15" x14ac:dyDescent="0.25">
      <c r="A159" t="s">
        <v>582</v>
      </c>
      <c r="B159" t="s">
        <v>583</v>
      </c>
      <c r="C159" t="s">
        <v>584</v>
      </c>
      <c r="D159" t="s">
        <v>110</v>
      </c>
      <c r="E159" s="2">
        <v>43936</v>
      </c>
      <c r="F159" t="s">
        <v>31</v>
      </c>
      <c r="G159">
        <v>4000000</v>
      </c>
      <c r="H159" s="2">
        <v>44070</v>
      </c>
      <c r="I159">
        <v>2020</v>
      </c>
      <c r="J159">
        <v>10198.4131422313</v>
      </c>
      <c r="K159">
        <v>32111.126857768701</v>
      </c>
      <c r="L159">
        <v>245788.57</v>
      </c>
      <c r="M159">
        <v>0</v>
      </c>
      <c r="N159">
        <v>288098.11</v>
      </c>
      <c r="O159" t="s">
        <v>127</v>
      </c>
    </row>
    <row r="160" spans="1:15" x14ac:dyDescent="0.25">
      <c r="A160" t="s">
        <v>585</v>
      </c>
      <c r="B160" t="s">
        <v>586</v>
      </c>
      <c r="C160" t="s">
        <v>587</v>
      </c>
      <c r="D160" t="s">
        <v>110</v>
      </c>
      <c r="E160" s="2">
        <v>44067</v>
      </c>
      <c r="F160" t="s">
        <v>38</v>
      </c>
      <c r="G160">
        <v>1000000</v>
      </c>
      <c r="H160" s="2">
        <v>44080</v>
      </c>
      <c r="I160">
        <v>2020</v>
      </c>
      <c r="J160">
        <v>5154.80821987114</v>
      </c>
      <c r="K160">
        <v>12311.9417801289</v>
      </c>
      <c r="L160">
        <v>118903.83</v>
      </c>
      <c r="M160">
        <v>0</v>
      </c>
      <c r="N160">
        <v>136370.57999999999</v>
      </c>
      <c r="O160" t="s">
        <v>186</v>
      </c>
    </row>
    <row r="161" spans="1:15" x14ac:dyDescent="0.25">
      <c r="A161" t="s">
        <v>588</v>
      </c>
      <c r="B161" t="s">
        <v>589</v>
      </c>
      <c r="C161" t="s">
        <v>590</v>
      </c>
      <c r="D161" t="s">
        <v>110</v>
      </c>
      <c r="E161" s="2">
        <v>43910</v>
      </c>
      <c r="F161" t="s">
        <v>31</v>
      </c>
      <c r="G161">
        <v>1000000</v>
      </c>
      <c r="H161" s="2">
        <v>44084</v>
      </c>
      <c r="I161">
        <v>2020</v>
      </c>
      <c r="J161">
        <v>1885.60879593346</v>
      </c>
      <c r="K161">
        <v>7082.8612040665403</v>
      </c>
      <c r="L161">
        <v>60172.26</v>
      </c>
      <c r="M161">
        <v>0</v>
      </c>
      <c r="N161">
        <v>69140.73</v>
      </c>
      <c r="O161" t="s">
        <v>150</v>
      </c>
    </row>
    <row r="162" spans="1:15" x14ac:dyDescent="0.25">
      <c r="A162" t="s">
        <v>591</v>
      </c>
      <c r="B162" t="s">
        <v>592</v>
      </c>
      <c r="C162" t="s">
        <v>593</v>
      </c>
      <c r="D162" t="s">
        <v>110</v>
      </c>
      <c r="E162" s="2">
        <v>43923</v>
      </c>
      <c r="F162" t="s">
        <v>11</v>
      </c>
      <c r="G162">
        <v>5000000</v>
      </c>
      <c r="H162" s="2">
        <v>44008</v>
      </c>
      <c r="I162">
        <v>2020</v>
      </c>
      <c r="J162">
        <v>3296.3692620258898</v>
      </c>
      <c r="K162">
        <v>8142.3707379741099</v>
      </c>
      <c r="L162">
        <v>62205.56</v>
      </c>
      <c r="M162">
        <v>0</v>
      </c>
      <c r="N162">
        <v>73644.3</v>
      </c>
      <c r="O162" t="s">
        <v>150</v>
      </c>
    </row>
    <row r="163" spans="1:15" x14ac:dyDescent="0.25">
      <c r="A163" t="s">
        <v>594</v>
      </c>
      <c r="B163" t="s">
        <v>595</v>
      </c>
      <c r="C163" t="s">
        <v>596</v>
      </c>
      <c r="D163" t="s">
        <v>110</v>
      </c>
      <c r="E163" s="2">
        <v>44084</v>
      </c>
      <c r="F163" t="s">
        <v>18</v>
      </c>
      <c r="G163">
        <v>2000000</v>
      </c>
      <c r="H163" s="2">
        <v>44109</v>
      </c>
      <c r="I163">
        <v>2020</v>
      </c>
      <c r="J163">
        <v>3832.9977547590702</v>
      </c>
      <c r="K163">
        <v>11566.6822452409</v>
      </c>
      <c r="L163">
        <v>133893.93</v>
      </c>
      <c r="M163">
        <v>0</v>
      </c>
      <c r="N163">
        <v>149293.60999999999</v>
      </c>
      <c r="O163" t="s">
        <v>123</v>
      </c>
    </row>
    <row r="164" spans="1:15" x14ac:dyDescent="0.25">
      <c r="A164" t="s">
        <v>597</v>
      </c>
      <c r="B164" t="s">
        <v>598</v>
      </c>
      <c r="C164" t="s">
        <v>599</v>
      </c>
      <c r="D164" t="s">
        <v>110</v>
      </c>
      <c r="E164" s="2">
        <v>43887</v>
      </c>
      <c r="F164" t="s">
        <v>34</v>
      </c>
      <c r="G164">
        <v>3000000</v>
      </c>
      <c r="H164" s="2">
        <v>44110</v>
      </c>
      <c r="I164">
        <v>2020</v>
      </c>
      <c r="J164">
        <v>3486.2180339368101</v>
      </c>
      <c r="K164">
        <v>9096.2119660631906</v>
      </c>
      <c r="L164">
        <v>54755.09</v>
      </c>
      <c r="M164">
        <v>0</v>
      </c>
      <c r="N164">
        <v>67337.52</v>
      </c>
      <c r="O164" t="s">
        <v>139</v>
      </c>
    </row>
    <row r="165" spans="1:15" x14ac:dyDescent="0.25">
      <c r="A165" t="s">
        <v>600</v>
      </c>
      <c r="B165" t="s">
        <v>601</v>
      </c>
      <c r="C165" t="s">
        <v>602</v>
      </c>
      <c r="D165" t="s">
        <v>110</v>
      </c>
      <c r="E165" s="2">
        <v>43799</v>
      </c>
      <c r="F165" t="s">
        <v>26</v>
      </c>
      <c r="G165">
        <v>1000000</v>
      </c>
      <c r="H165" s="2">
        <v>44118</v>
      </c>
      <c r="I165">
        <v>2020</v>
      </c>
      <c r="J165">
        <v>12090.873113516</v>
      </c>
      <c r="K165">
        <v>29565.926886484001</v>
      </c>
      <c r="L165">
        <v>334920.93</v>
      </c>
      <c r="M165">
        <v>0</v>
      </c>
      <c r="N165">
        <v>376577.73</v>
      </c>
      <c r="O165" t="s">
        <v>274</v>
      </c>
    </row>
    <row r="166" spans="1:15" x14ac:dyDescent="0.25">
      <c r="A166" t="s">
        <v>603</v>
      </c>
      <c r="B166" t="s">
        <v>604</v>
      </c>
      <c r="C166" t="s">
        <v>605</v>
      </c>
      <c r="D166" t="s">
        <v>110</v>
      </c>
      <c r="E166" s="2">
        <v>43961</v>
      </c>
      <c r="F166" t="s">
        <v>47</v>
      </c>
      <c r="G166">
        <v>5000000</v>
      </c>
      <c r="H166" s="2">
        <v>44119</v>
      </c>
      <c r="I166">
        <v>2020</v>
      </c>
      <c r="J166">
        <v>11617.753301966501</v>
      </c>
      <c r="K166">
        <v>45649.806698033499</v>
      </c>
      <c r="L166">
        <v>217673.96</v>
      </c>
      <c r="M166">
        <v>0</v>
      </c>
      <c r="N166">
        <v>274941.52</v>
      </c>
      <c r="O166" t="s">
        <v>233</v>
      </c>
    </row>
    <row r="167" spans="1:15" x14ac:dyDescent="0.25">
      <c r="A167" t="s">
        <v>606</v>
      </c>
      <c r="B167" t="s">
        <v>607</v>
      </c>
      <c r="C167" t="s">
        <v>608</v>
      </c>
      <c r="D167" t="s">
        <v>110</v>
      </c>
      <c r="E167" s="2">
        <v>43938</v>
      </c>
      <c r="F167" t="s">
        <v>42</v>
      </c>
      <c r="G167">
        <v>2000000</v>
      </c>
      <c r="H167" s="2">
        <v>44134</v>
      </c>
      <c r="I167">
        <v>2020</v>
      </c>
      <c r="J167">
        <v>17823.302040761999</v>
      </c>
      <c r="K167">
        <v>59712.187959237999</v>
      </c>
      <c r="L167">
        <v>472408.19</v>
      </c>
      <c r="M167">
        <v>0</v>
      </c>
      <c r="N167">
        <v>549943.68000000005</v>
      </c>
      <c r="O167" t="s">
        <v>179</v>
      </c>
    </row>
    <row r="168" spans="1:15" x14ac:dyDescent="0.25">
      <c r="A168" t="s">
        <v>609</v>
      </c>
      <c r="B168" t="s">
        <v>610</v>
      </c>
      <c r="C168" t="s">
        <v>611</v>
      </c>
      <c r="D168" t="s">
        <v>110</v>
      </c>
      <c r="E168" s="2">
        <v>43762</v>
      </c>
      <c r="F168" t="s">
        <v>20</v>
      </c>
      <c r="G168">
        <v>3000000</v>
      </c>
      <c r="H168" s="2">
        <v>44124</v>
      </c>
      <c r="I168">
        <v>2020</v>
      </c>
      <c r="J168">
        <v>9512.9696301859894</v>
      </c>
      <c r="K168">
        <v>28836.480369813999</v>
      </c>
      <c r="L168">
        <v>144567.26</v>
      </c>
      <c r="M168">
        <v>0</v>
      </c>
      <c r="N168">
        <v>182916.71</v>
      </c>
      <c r="O168" t="s">
        <v>193</v>
      </c>
    </row>
    <row r="169" spans="1:15" x14ac:dyDescent="0.25">
      <c r="A169" t="s">
        <v>612</v>
      </c>
      <c r="B169" t="s">
        <v>613</v>
      </c>
      <c r="C169" t="s">
        <v>614</v>
      </c>
      <c r="D169" t="s">
        <v>110</v>
      </c>
      <c r="E169" s="2">
        <v>43949</v>
      </c>
      <c r="F169" t="s">
        <v>12</v>
      </c>
      <c r="G169">
        <v>2000000</v>
      </c>
      <c r="H169" s="2">
        <v>44128</v>
      </c>
      <c r="I169">
        <v>2020</v>
      </c>
      <c r="J169">
        <v>13350.8415161434</v>
      </c>
      <c r="K169">
        <v>37474.858483856602</v>
      </c>
      <c r="L169">
        <v>373706.12</v>
      </c>
      <c r="M169">
        <v>0</v>
      </c>
      <c r="N169">
        <v>424531.82</v>
      </c>
      <c r="O169" t="s">
        <v>431</v>
      </c>
    </row>
    <row r="170" spans="1:15" x14ac:dyDescent="0.25">
      <c r="A170" t="s">
        <v>615</v>
      </c>
      <c r="B170" t="s">
        <v>616</v>
      </c>
      <c r="C170" t="s">
        <v>617</v>
      </c>
      <c r="D170" t="s">
        <v>110</v>
      </c>
      <c r="E170" s="2">
        <v>44032</v>
      </c>
      <c r="F170" t="s">
        <v>12</v>
      </c>
      <c r="G170">
        <v>10000000</v>
      </c>
      <c r="H170" s="2">
        <v>44139</v>
      </c>
      <c r="I170">
        <v>2020</v>
      </c>
      <c r="J170">
        <v>12145.275397648</v>
      </c>
      <c r="K170">
        <v>46339.514602351999</v>
      </c>
      <c r="L170">
        <v>564612.76</v>
      </c>
      <c r="M170">
        <v>0</v>
      </c>
      <c r="N170">
        <v>623097.55000000005</v>
      </c>
      <c r="O170" t="s">
        <v>115</v>
      </c>
    </row>
    <row r="171" spans="1:15" x14ac:dyDescent="0.25">
      <c r="A171" t="s">
        <v>618</v>
      </c>
      <c r="B171" t="s">
        <v>619</v>
      </c>
      <c r="C171" t="s">
        <v>620</v>
      </c>
      <c r="D171" t="s">
        <v>110</v>
      </c>
      <c r="E171" s="2">
        <v>43897</v>
      </c>
      <c r="F171" t="s">
        <v>12</v>
      </c>
      <c r="G171">
        <v>2000000</v>
      </c>
      <c r="H171" s="2">
        <v>44158</v>
      </c>
      <c r="I171">
        <v>2020</v>
      </c>
      <c r="J171">
        <v>2470.3897120945098</v>
      </c>
      <c r="K171">
        <v>5897.8102879054904</v>
      </c>
      <c r="L171">
        <v>55845.99</v>
      </c>
      <c r="M171">
        <v>0</v>
      </c>
      <c r="N171">
        <v>64214.19</v>
      </c>
      <c r="O171" t="s">
        <v>157</v>
      </c>
    </row>
    <row r="172" spans="1:15" x14ac:dyDescent="0.25">
      <c r="A172" t="s">
        <v>621</v>
      </c>
      <c r="B172" t="s">
        <v>622</v>
      </c>
      <c r="C172" t="s">
        <v>623</v>
      </c>
      <c r="D172" t="s">
        <v>110</v>
      </c>
      <c r="E172" s="2">
        <v>43915</v>
      </c>
      <c r="F172" t="s">
        <v>23</v>
      </c>
      <c r="G172">
        <v>5000000</v>
      </c>
      <c r="H172" s="2">
        <v>44154</v>
      </c>
      <c r="I172">
        <v>2020</v>
      </c>
      <c r="J172">
        <v>2204.9099546982802</v>
      </c>
      <c r="K172">
        <v>5377.4500453017199</v>
      </c>
      <c r="L172">
        <v>69303.429999999993</v>
      </c>
      <c r="M172">
        <v>0</v>
      </c>
      <c r="N172">
        <v>76885.789999999994</v>
      </c>
      <c r="O172" t="s">
        <v>207</v>
      </c>
    </row>
    <row r="173" spans="1:15" x14ac:dyDescent="0.25">
      <c r="A173" t="s">
        <v>624</v>
      </c>
      <c r="B173" t="s">
        <v>625</v>
      </c>
      <c r="C173" t="s">
        <v>626</v>
      </c>
      <c r="D173" t="s">
        <v>110</v>
      </c>
      <c r="E173" s="2">
        <v>43979</v>
      </c>
      <c r="F173" t="s">
        <v>24</v>
      </c>
      <c r="G173">
        <v>3000000</v>
      </c>
      <c r="H173" s="2">
        <v>44174</v>
      </c>
      <c r="I173">
        <v>2020</v>
      </c>
      <c r="J173">
        <v>6132.9289975371403</v>
      </c>
      <c r="K173">
        <v>14917.651002462901</v>
      </c>
      <c r="L173">
        <v>98059.49</v>
      </c>
      <c r="M173">
        <v>0</v>
      </c>
      <c r="N173">
        <v>119110.07</v>
      </c>
      <c r="O173" t="s">
        <v>164</v>
      </c>
    </row>
    <row r="174" spans="1:15" x14ac:dyDescent="0.25">
      <c r="A174" t="s">
        <v>627</v>
      </c>
      <c r="B174" t="s">
        <v>628</v>
      </c>
      <c r="C174" t="s">
        <v>629</v>
      </c>
      <c r="D174" t="s">
        <v>110</v>
      </c>
      <c r="E174" s="2">
        <v>44092</v>
      </c>
      <c r="F174" t="s">
        <v>38</v>
      </c>
      <c r="G174">
        <v>1000000</v>
      </c>
      <c r="H174" s="2">
        <v>44163</v>
      </c>
      <c r="I174">
        <v>2020</v>
      </c>
      <c r="J174">
        <v>3240.26259237464</v>
      </c>
      <c r="K174">
        <v>9871.4974076253602</v>
      </c>
      <c r="L174">
        <v>50923.71</v>
      </c>
      <c r="M174">
        <v>0</v>
      </c>
      <c r="N174">
        <v>64035.47</v>
      </c>
      <c r="O174" t="s">
        <v>427</v>
      </c>
    </row>
    <row r="175" spans="1:15" x14ac:dyDescent="0.25">
      <c r="A175" t="s">
        <v>630</v>
      </c>
      <c r="B175" t="s">
        <v>631</v>
      </c>
      <c r="C175" t="s">
        <v>632</v>
      </c>
      <c r="D175" t="s">
        <v>110</v>
      </c>
      <c r="E175" s="2">
        <v>44079</v>
      </c>
      <c r="F175" t="s">
        <v>31</v>
      </c>
      <c r="G175">
        <v>5000000</v>
      </c>
      <c r="H175" s="2">
        <v>44136</v>
      </c>
      <c r="I175">
        <v>2020</v>
      </c>
      <c r="J175">
        <v>21263.228473756499</v>
      </c>
      <c r="K175">
        <v>65057.4815262435</v>
      </c>
      <c r="L175">
        <v>383112.86</v>
      </c>
      <c r="M175">
        <v>0</v>
      </c>
      <c r="N175">
        <v>469433.57</v>
      </c>
      <c r="O175" t="s">
        <v>431</v>
      </c>
    </row>
    <row r="176" spans="1:15" x14ac:dyDescent="0.25">
      <c r="A176" t="s">
        <v>633</v>
      </c>
      <c r="B176" t="s">
        <v>634</v>
      </c>
      <c r="C176" t="s">
        <v>635</v>
      </c>
      <c r="D176" t="s">
        <v>110</v>
      </c>
      <c r="E176" s="2">
        <v>44120</v>
      </c>
      <c r="F176" t="s">
        <v>54</v>
      </c>
      <c r="G176">
        <v>5000000</v>
      </c>
      <c r="H176" s="2">
        <v>44163</v>
      </c>
      <c r="I176">
        <v>2020</v>
      </c>
      <c r="J176">
        <v>4779.4673103026198</v>
      </c>
      <c r="K176">
        <v>11387.0326896974</v>
      </c>
      <c r="L176">
        <v>65998.55</v>
      </c>
      <c r="M176">
        <v>0</v>
      </c>
      <c r="N176">
        <v>82165.05</v>
      </c>
      <c r="O176" t="s">
        <v>207</v>
      </c>
    </row>
    <row r="177" spans="1:15" x14ac:dyDescent="0.25">
      <c r="A177" t="s">
        <v>636</v>
      </c>
      <c r="B177" t="s">
        <v>637</v>
      </c>
      <c r="C177" t="s">
        <v>163</v>
      </c>
      <c r="D177" t="s">
        <v>110</v>
      </c>
      <c r="E177" s="2">
        <v>43798</v>
      </c>
      <c r="F177" t="s">
        <v>34</v>
      </c>
      <c r="G177">
        <v>2000000</v>
      </c>
      <c r="H177" s="2">
        <v>44148</v>
      </c>
      <c r="I177">
        <v>2020</v>
      </c>
      <c r="J177">
        <v>22415.0701192499</v>
      </c>
      <c r="K177">
        <v>65282.579880750098</v>
      </c>
      <c r="L177">
        <v>333500.73</v>
      </c>
      <c r="M177">
        <v>0</v>
      </c>
      <c r="N177">
        <v>421198.38</v>
      </c>
      <c r="O177" t="s">
        <v>274</v>
      </c>
    </row>
    <row r="178" spans="1:15" x14ac:dyDescent="0.25">
      <c r="A178" t="s">
        <v>638</v>
      </c>
      <c r="B178" t="s">
        <v>639</v>
      </c>
      <c r="C178" t="s">
        <v>640</v>
      </c>
      <c r="D178" t="s">
        <v>110</v>
      </c>
      <c r="E178" s="2">
        <v>43815</v>
      </c>
      <c r="F178" t="s">
        <v>34</v>
      </c>
      <c r="G178">
        <v>3000000</v>
      </c>
      <c r="H178" s="2">
        <v>44146</v>
      </c>
      <c r="I178">
        <v>2020</v>
      </c>
      <c r="J178">
        <v>29593.843651201601</v>
      </c>
      <c r="K178">
        <v>78097.176348798399</v>
      </c>
      <c r="L178">
        <v>662759.96</v>
      </c>
      <c r="M178">
        <v>0</v>
      </c>
      <c r="N178">
        <v>770450.98</v>
      </c>
      <c r="O178" t="s">
        <v>143</v>
      </c>
    </row>
    <row r="179" spans="1:15" x14ac:dyDescent="0.25">
      <c r="A179" t="s">
        <v>641</v>
      </c>
      <c r="B179" t="s">
        <v>642</v>
      </c>
      <c r="C179" t="s">
        <v>643</v>
      </c>
      <c r="D179" t="s">
        <v>110</v>
      </c>
      <c r="E179" s="2">
        <v>43784</v>
      </c>
      <c r="F179" t="s">
        <v>49</v>
      </c>
      <c r="G179">
        <v>4000000</v>
      </c>
      <c r="H179" s="2">
        <v>44147</v>
      </c>
      <c r="I179">
        <v>2020</v>
      </c>
      <c r="J179">
        <v>10425.205382083101</v>
      </c>
      <c r="K179">
        <v>27718.014617916899</v>
      </c>
      <c r="L179">
        <v>239543.81</v>
      </c>
      <c r="M179">
        <v>0</v>
      </c>
      <c r="N179">
        <v>277687.03000000003</v>
      </c>
      <c r="O179" t="s">
        <v>127</v>
      </c>
    </row>
    <row r="180" spans="1:15" x14ac:dyDescent="0.25">
      <c r="A180" t="s">
        <v>644</v>
      </c>
      <c r="B180" t="s">
        <v>645</v>
      </c>
      <c r="C180" t="s">
        <v>646</v>
      </c>
      <c r="D180" t="s">
        <v>110</v>
      </c>
      <c r="E180" s="2">
        <v>43790</v>
      </c>
      <c r="F180" t="s">
        <v>50</v>
      </c>
      <c r="G180">
        <v>3000000</v>
      </c>
      <c r="H180" s="2">
        <v>44146</v>
      </c>
      <c r="I180">
        <v>2020</v>
      </c>
      <c r="J180">
        <v>17728.2175260328</v>
      </c>
      <c r="K180">
        <v>60612.222473967202</v>
      </c>
      <c r="L180">
        <v>264897.84000000003</v>
      </c>
      <c r="M180">
        <v>0</v>
      </c>
      <c r="N180">
        <v>343238.28</v>
      </c>
      <c r="O180" t="s">
        <v>343</v>
      </c>
    </row>
    <row r="181" spans="1:15" x14ac:dyDescent="0.25">
      <c r="A181" t="s">
        <v>647</v>
      </c>
      <c r="B181" t="s">
        <v>648</v>
      </c>
      <c r="C181" t="s">
        <v>649</v>
      </c>
      <c r="D181" t="s">
        <v>110</v>
      </c>
      <c r="E181" s="2">
        <v>43844</v>
      </c>
      <c r="F181" t="s">
        <v>23</v>
      </c>
      <c r="G181">
        <v>5000000</v>
      </c>
      <c r="H181" s="2">
        <v>44196</v>
      </c>
      <c r="I181">
        <v>2020</v>
      </c>
      <c r="J181">
        <v>3442.8273700628201</v>
      </c>
      <c r="K181">
        <v>11710.1526299372</v>
      </c>
      <c r="L181">
        <v>115661.66</v>
      </c>
      <c r="M181">
        <v>0</v>
      </c>
      <c r="N181">
        <v>130814.64</v>
      </c>
      <c r="O181" t="s">
        <v>186</v>
      </c>
    </row>
    <row r="182" spans="1:15" x14ac:dyDescent="0.25">
      <c r="A182" t="s">
        <v>650</v>
      </c>
      <c r="B182" t="s">
        <v>651</v>
      </c>
      <c r="C182" t="s">
        <v>652</v>
      </c>
      <c r="D182" t="s">
        <v>110</v>
      </c>
      <c r="E182" s="2">
        <v>43941</v>
      </c>
      <c r="F182" t="s">
        <v>12</v>
      </c>
      <c r="G182">
        <v>10000000</v>
      </c>
      <c r="H182" s="2">
        <v>44190</v>
      </c>
      <c r="I182">
        <v>2020</v>
      </c>
      <c r="J182">
        <v>116778.633922062</v>
      </c>
      <c r="K182">
        <v>317022.986077938</v>
      </c>
      <c r="L182">
        <v>1502843.2</v>
      </c>
      <c r="M182">
        <v>0</v>
      </c>
      <c r="N182">
        <v>1936644.82</v>
      </c>
      <c r="O182" t="s">
        <v>131</v>
      </c>
    </row>
    <row r="183" spans="1:15" x14ac:dyDescent="0.25">
      <c r="A183" t="s">
        <v>653</v>
      </c>
      <c r="B183" t="s">
        <v>654</v>
      </c>
      <c r="C183" t="s">
        <v>655</v>
      </c>
      <c r="D183" t="s">
        <v>110</v>
      </c>
      <c r="E183" s="2">
        <v>44004</v>
      </c>
      <c r="F183" t="s">
        <v>12</v>
      </c>
      <c r="G183">
        <v>10000000</v>
      </c>
      <c r="H183" s="2">
        <v>44191</v>
      </c>
      <c r="I183">
        <v>2020</v>
      </c>
      <c r="J183">
        <v>48969.581551347401</v>
      </c>
      <c r="K183">
        <v>133924.12844865301</v>
      </c>
      <c r="L183">
        <v>646811.43999999994</v>
      </c>
      <c r="M183">
        <v>0</v>
      </c>
      <c r="N183">
        <v>829705.15</v>
      </c>
      <c r="O183" t="s">
        <v>115</v>
      </c>
    </row>
    <row r="184" spans="1:15" x14ac:dyDescent="0.25">
      <c r="A184" t="s">
        <v>656</v>
      </c>
      <c r="B184" t="s">
        <v>657</v>
      </c>
      <c r="C184" t="s">
        <v>658</v>
      </c>
      <c r="D184" t="s">
        <v>110</v>
      </c>
      <c r="E184" s="2">
        <v>43893</v>
      </c>
      <c r="F184" t="s">
        <v>12</v>
      </c>
      <c r="G184">
        <v>5000000</v>
      </c>
      <c r="H184" s="2">
        <v>43998</v>
      </c>
      <c r="I184">
        <v>2020</v>
      </c>
      <c r="J184">
        <v>11905.2607496162</v>
      </c>
      <c r="K184">
        <v>47216.599250383799</v>
      </c>
      <c r="L184">
        <v>204907.54</v>
      </c>
      <c r="M184">
        <v>0</v>
      </c>
      <c r="N184">
        <v>264029.40000000002</v>
      </c>
      <c r="O184" t="s">
        <v>233</v>
      </c>
    </row>
    <row r="185" spans="1:15" x14ac:dyDescent="0.25">
      <c r="A185" t="s">
        <v>659</v>
      </c>
      <c r="B185" t="s">
        <v>660</v>
      </c>
      <c r="C185" t="s">
        <v>661</v>
      </c>
      <c r="D185" t="s">
        <v>110</v>
      </c>
      <c r="E185" s="2">
        <v>43928</v>
      </c>
      <c r="F185" t="s">
        <v>50</v>
      </c>
      <c r="G185">
        <v>5000000</v>
      </c>
      <c r="H185" s="2">
        <v>44196</v>
      </c>
      <c r="I185">
        <v>2020</v>
      </c>
      <c r="J185">
        <v>62735.204893476002</v>
      </c>
      <c r="K185">
        <v>147183.31510652401</v>
      </c>
      <c r="L185">
        <v>767353.4</v>
      </c>
      <c r="M185">
        <v>0</v>
      </c>
      <c r="N185">
        <v>977271.92</v>
      </c>
      <c r="O185" t="s">
        <v>143</v>
      </c>
    </row>
    <row r="186" spans="1:15" x14ac:dyDescent="0.25">
      <c r="A186" t="s">
        <v>662</v>
      </c>
      <c r="B186" t="s">
        <v>663</v>
      </c>
      <c r="C186" t="s">
        <v>664</v>
      </c>
      <c r="D186" t="s">
        <v>110</v>
      </c>
      <c r="E186" s="2">
        <v>43959</v>
      </c>
      <c r="F186" t="s">
        <v>17</v>
      </c>
      <c r="G186">
        <v>2000000</v>
      </c>
      <c r="H186" s="2">
        <v>44197</v>
      </c>
      <c r="I186">
        <v>2021</v>
      </c>
      <c r="J186">
        <v>8176.6373756959001</v>
      </c>
      <c r="K186">
        <v>19773.052624304099</v>
      </c>
      <c r="L186">
        <v>96826.63</v>
      </c>
      <c r="M186">
        <v>0</v>
      </c>
      <c r="N186">
        <v>124776.32000000001</v>
      </c>
      <c r="O186" t="s">
        <v>111</v>
      </c>
    </row>
    <row r="187" spans="1:15" x14ac:dyDescent="0.25">
      <c r="A187" t="s">
        <v>665</v>
      </c>
      <c r="B187" t="s">
        <v>666</v>
      </c>
      <c r="C187" t="s">
        <v>667</v>
      </c>
      <c r="D187" t="s">
        <v>110</v>
      </c>
      <c r="E187" s="2">
        <v>44108</v>
      </c>
      <c r="F187" t="s">
        <v>50</v>
      </c>
      <c r="G187">
        <v>2000000</v>
      </c>
      <c r="H187" s="2">
        <v>44135</v>
      </c>
      <c r="I187">
        <v>2020</v>
      </c>
      <c r="J187">
        <v>7201.1287395079999</v>
      </c>
      <c r="K187">
        <v>20530.291260491998</v>
      </c>
      <c r="L187">
        <v>181298.37</v>
      </c>
      <c r="M187">
        <v>0</v>
      </c>
      <c r="N187">
        <v>209029.79</v>
      </c>
      <c r="O187" t="s">
        <v>172</v>
      </c>
    </row>
    <row r="188" spans="1:15" x14ac:dyDescent="0.25">
      <c r="A188" t="s">
        <v>668</v>
      </c>
      <c r="B188" t="s">
        <v>669</v>
      </c>
      <c r="C188" t="s">
        <v>670</v>
      </c>
      <c r="D188" t="s">
        <v>110</v>
      </c>
      <c r="E188" s="2">
        <v>44169</v>
      </c>
      <c r="F188" t="s">
        <v>13</v>
      </c>
      <c r="G188">
        <v>5000000</v>
      </c>
      <c r="H188" s="2">
        <v>44215</v>
      </c>
      <c r="I188">
        <v>2021</v>
      </c>
      <c r="J188">
        <v>7466.7171312663904</v>
      </c>
      <c r="K188">
        <v>21256.402868733599</v>
      </c>
      <c r="L188">
        <v>132643.62</v>
      </c>
      <c r="M188">
        <v>0</v>
      </c>
      <c r="N188">
        <v>161366.74</v>
      </c>
      <c r="O188" t="s">
        <v>123</v>
      </c>
    </row>
    <row r="189" spans="1:15" x14ac:dyDescent="0.25">
      <c r="A189" t="s">
        <v>671</v>
      </c>
      <c r="B189" t="s">
        <v>672</v>
      </c>
      <c r="C189" t="s">
        <v>673</v>
      </c>
      <c r="D189" t="s">
        <v>110</v>
      </c>
      <c r="E189" s="2">
        <v>43950</v>
      </c>
      <c r="F189" t="s">
        <v>50</v>
      </c>
      <c r="G189">
        <v>1000000</v>
      </c>
      <c r="H189" s="2">
        <v>44196</v>
      </c>
      <c r="I189">
        <v>2020</v>
      </c>
      <c r="J189">
        <v>3236.6634168937999</v>
      </c>
      <c r="K189">
        <v>8812.4265831062003</v>
      </c>
      <c r="L189">
        <v>52961.2</v>
      </c>
      <c r="M189">
        <v>0</v>
      </c>
      <c r="N189">
        <v>65010.29</v>
      </c>
      <c r="O189" t="s">
        <v>139</v>
      </c>
    </row>
    <row r="190" spans="1:15" x14ac:dyDescent="0.25">
      <c r="A190" t="s">
        <v>674</v>
      </c>
      <c r="B190" t="s">
        <v>675</v>
      </c>
      <c r="C190" t="s">
        <v>676</v>
      </c>
      <c r="D190" t="s">
        <v>110</v>
      </c>
      <c r="E190" s="2">
        <v>44181</v>
      </c>
      <c r="F190" t="s">
        <v>34</v>
      </c>
      <c r="G190">
        <v>2000000</v>
      </c>
      <c r="H190" s="2">
        <v>44197</v>
      </c>
      <c r="I190">
        <v>2021</v>
      </c>
      <c r="J190">
        <v>1547.4576557708899</v>
      </c>
      <c r="K190">
        <v>5272.4223442291104</v>
      </c>
      <c r="L190">
        <v>60205.599999999999</v>
      </c>
      <c r="M190">
        <v>0</v>
      </c>
      <c r="N190">
        <v>67025.48</v>
      </c>
      <c r="O190" t="s">
        <v>150</v>
      </c>
    </row>
    <row r="191" spans="1:15" x14ac:dyDescent="0.25">
      <c r="A191" t="s">
        <v>677</v>
      </c>
      <c r="B191" t="s">
        <v>678</v>
      </c>
      <c r="C191" t="s">
        <v>679</v>
      </c>
      <c r="D191" t="s">
        <v>110</v>
      </c>
      <c r="E191" s="2">
        <v>43974</v>
      </c>
      <c r="F191" t="s">
        <v>13</v>
      </c>
      <c r="G191">
        <v>1000000</v>
      </c>
      <c r="H191" s="2">
        <v>44196</v>
      </c>
      <c r="I191">
        <v>2020</v>
      </c>
      <c r="J191">
        <v>8273.9559129108093</v>
      </c>
      <c r="K191">
        <v>31602.844087089201</v>
      </c>
      <c r="L191">
        <v>133805.32999999999</v>
      </c>
      <c r="M191">
        <v>0</v>
      </c>
      <c r="N191">
        <v>173682.13</v>
      </c>
      <c r="O191" t="s">
        <v>123</v>
      </c>
    </row>
    <row r="192" spans="1:15" x14ac:dyDescent="0.25">
      <c r="A192" t="s">
        <v>680</v>
      </c>
      <c r="B192" t="s">
        <v>681</v>
      </c>
      <c r="C192" t="s">
        <v>682</v>
      </c>
      <c r="D192" t="s">
        <v>110</v>
      </c>
      <c r="E192" s="2">
        <v>44151</v>
      </c>
      <c r="F192" t="s">
        <v>54</v>
      </c>
      <c r="G192">
        <v>1000000</v>
      </c>
      <c r="H192" s="2">
        <v>44190</v>
      </c>
      <c r="I192">
        <v>2020</v>
      </c>
      <c r="J192">
        <v>9047.62190180783</v>
      </c>
      <c r="K192">
        <v>22022.798098192201</v>
      </c>
      <c r="L192">
        <v>104563.43</v>
      </c>
      <c r="M192">
        <v>0</v>
      </c>
      <c r="N192">
        <v>135633.85</v>
      </c>
      <c r="O192" t="s">
        <v>135</v>
      </c>
    </row>
    <row r="193" spans="1:15" x14ac:dyDescent="0.25">
      <c r="A193" t="s">
        <v>683</v>
      </c>
      <c r="B193" t="s">
        <v>684</v>
      </c>
      <c r="C193" t="s">
        <v>685</v>
      </c>
      <c r="D193" t="s">
        <v>110</v>
      </c>
      <c r="E193" s="2">
        <v>44141</v>
      </c>
      <c r="F193" t="s">
        <v>41</v>
      </c>
      <c r="G193">
        <v>1000000</v>
      </c>
      <c r="H193" s="2">
        <v>44156</v>
      </c>
      <c r="I193">
        <v>2020</v>
      </c>
      <c r="J193">
        <v>4776.0092275528395</v>
      </c>
      <c r="K193">
        <v>11509.870772447201</v>
      </c>
      <c r="L193">
        <v>102825.60000000001</v>
      </c>
      <c r="M193">
        <v>0</v>
      </c>
      <c r="N193">
        <v>119111.48</v>
      </c>
      <c r="O193" t="s">
        <v>164</v>
      </c>
    </row>
    <row r="194" spans="1:15" x14ac:dyDescent="0.25">
      <c r="A194" t="s">
        <v>686</v>
      </c>
      <c r="B194" t="s">
        <v>687</v>
      </c>
      <c r="C194" t="s">
        <v>688</v>
      </c>
      <c r="D194" t="s">
        <v>110</v>
      </c>
      <c r="E194" s="2">
        <v>43897</v>
      </c>
      <c r="F194" t="s">
        <v>50</v>
      </c>
      <c r="G194">
        <v>5000000</v>
      </c>
      <c r="H194" s="2">
        <v>44230</v>
      </c>
      <c r="I194">
        <v>2021</v>
      </c>
      <c r="J194">
        <v>196610.91429184799</v>
      </c>
      <c r="K194">
        <v>651212.73570815194</v>
      </c>
      <c r="L194">
        <v>3517672.92</v>
      </c>
      <c r="M194">
        <v>0</v>
      </c>
      <c r="N194">
        <v>4365496.57</v>
      </c>
      <c r="O194" t="s">
        <v>353</v>
      </c>
    </row>
    <row r="195" spans="1:15" x14ac:dyDescent="0.25">
      <c r="A195" t="s">
        <v>689</v>
      </c>
      <c r="B195" t="s">
        <v>690</v>
      </c>
      <c r="C195" t="s">
        <v>691</v>
      </c>
      <c r="D195" t="s">
        <v>110</v>
      </c>
      <c r="E195" s="2">
        <v>43966</v>
      </c>
      <c r="F195" t="s">
        <v>29</v>
      </c>
      <c r="G195">
        <v>3000000</v>
      </c>
      <c r="H195" s="2">
        <v>44232</v>
      </c>
      <c r="I195">
        <v>2021</v>
      </c>
      <c r="J195">
        <v>13091.5937534391</v>
      </c>
      <c r="K195">
        <v>31164.3962465609</v>
      </c>
      <c r="L195">
        <v>189125.41</v>
      </c>
      <c r="M195">
        <v>0</v>
      </c>
      <c r="N195">
        <v>233381.4</v>
      </c>
      <c r="O195" t="s">
        <v>172</v>
      </c>
    </row>
    <row r="196" spans="1:15" x14ac:dyDescent="0.25">
      <c r="A196" t="s">
        <v>692</v>
      </c>
      <c r="B196" t="s">
        <v>693</v>
      </c>
      <c r="C196" t="s">
        <v>694</v>
      </c>
      <c r="D196" t="s">
        <v>110</v>
      </c>
      <c r="E196" s="2">
        <v>43886</v>
      </c>
      <c r="F196" t="s">
        <v>12</v>
      </c>
      <c r="G196">
        <v>3000000</v>
      </c>
      <c r="H196" s="2">
        <v>44209</v>
      </c>
      <c r="I196">
        <v>2021</v>
      </c>
      <c r="J196">
        <v>6314.0891620975399</v>
      </c>
      <c r="K196">
        <v>20033.370837902501</v>
      </c>
      <c r="L196">
        <v>124013.68</v>
      </c>
      <c r="M196">
        <v>0</v>
      </c>
      <c r="N196">
        <v>150361.14000000001</v>
      </c>
      <c r="O196" t="s">
        <v>186</v>
      </c>
    </row>
    <row r="197" spans="1:15" x14ac:dyDescent="0.25">
      <c r="A197" t="s">
        <v>695</v>
      </c>
      <c r="B197" t="s">
        <v>693</v>
      </c>
      <c r="C197" t="s">
        <v>694</v>
      </c>
      <c r="D197" t="s">
        <v>110</v>
      </c>
      <c r="E197" s="2">
        <v>43886</v>
      </c>
      <c r="F197" t="s">
        <v>12</v>
      </c>
      <c r="G197">
        <v>3000000</v>
      </c>
      <c r="H197" s="2">
        <v>44193</v>
      </c>
      <c r="I197">
        <v>2020</v>
      </c>
      <c r="J197">
        <v>34813.402043231603</v>
      </c>
      <c r="K197">
        <v>90798.337956768402</v>
      </c>
      <c r="L197">
        <v>1174094.4099999999</v>
      </c>
      <c r="M197">
        <v>0</v>
      </c>
      <c r="N197">
        <v>1299706.1499999999</v>
      </c>
      <c r="O197" t="s">
        <v>131</v>
      </c>
    </row>
    <row r="198" spans="1:15" x14ac:dyDescent="0.25">
      <c r="A198" t="s">
        <v>696</v>
      </c>
      <c r="B198" t="s">
        <v>697</v>
      </c>
      <c r="C198" t="s">
        <v>698</v>
      </c>
      <c r="D198" t="s">
        <v>110</v>
      </c>
      <c r="E198" s="2">
        <v>43886</v>
      </c>
      <c r="F198" t="s">
        <v>17</v>
      </c>
      <c r="G198">
        <v>3000000</v>
      </c>
      <c r="H198" s="2">
        <v>44245</v>
      </c>
      <c r="I198">
        <v>2021</v>
      </c>
      <c r="J198">
        <v>3184.82162168798</v>
      </c>
      <c r="K198">
        <v>11674.608378311999</v>
      </c>
      <c r="L198">
        <v>112992.43</v>
      </c>
      <c r="M198">
        <v>0</v>
      </c>
      <c r="N198">
        <v>127851.86</v>
      </c>
      <c r="O198" t="s">
        <v>135</v>
      </c>
    </row>
    <row r="199" spans="1:15" x14ac:dyDescent="0.25">
      <c r="A199" t="s">
        <v>699</v>
      </c>
      <c r="B199" t="s">
        <v>700</v>
      </c>
      <c r="C199" t="s">
        <v>701</v>
      </c>
      <c r="D199" t="s">
        <v>110</v>
      </c>
      <c r="E199" s="2">
        <v>43946</v>
      </c>
      <c r="F199" t="s">
        <v>22</v>
      </c>
      <c r="G199">
        <v>5000000</v>
      </c>
      <c r="H199" s="2">
        <v>44249</v>
      </c>
      <c r="I199">
        <v>2021</v>
      </c>
      <c r="J199">
        <v>2096.9091940924</v>
      </c>
      <c r="K199">
        <v>7061.7408059075997</v>
      </c>
      <c r="L199">
        <v>51237.04</v>
      </c>
      <c r="M199">
        <v>0</v>
      </c>
      <c r="N199">
        <v>60395.69</v>
      </c>
      <c r="O199" t="s">
        <v>427</v>
      </c>
    </row>
    <row r="200" spans="1:15" x14ac:dyDescent="0.25">
      <c r="A200" t="s">
        <v>702</v>
      </c>
      <c r="B200" t="s">
        <v>703</v>
      </c>
      <c r="C200" t="s">
        <v>704</v>
      </c>
      <c r="D200" t="s">
        <v>110</v>
      </c>
      <c r="E200" s="2">
        <v>43614</v>
      </c>
      <c r="F200" t="s">
        <v>44</v>
      </c>
      <c r="G200">
        <v>2000000</v>
      </c>
      <c r="H200" s="2">
        <v>43882</v>
      </c>
      <c r="I200">
        <v>2020</v>
      </c>
      <c r="J200">
        <v>7208.3084504983699</v>
      </c>
      <c r="K200">
        <v>24057.711549501601</v>
      </c>
      <c r="L200">
        <v>111560.52</v>
      </c>
      <c r="M200">
        <v>0</v>
      </c>
      <c r="N200">
        <v>142826.54</v>
      </c>
      <c r="O200" t="s">
        <v>135</v>
      </c>
    </row>
    <row r="201" spans="1:15" x14ac:dyDescent="0.25">
      <c r="A201" t="s">
        <v>705</v>
      </c>
      <c r="B201" t="s">
        <v>706</v>
      </c>
      <c r="C201" t="s">
        <v>707</v>
      </c>
      <c r="D201" t="s">
        <v>110</v>
      </c>
      <c r="E201" s="2">
        <v>44256</v>
      </c>
      <c r="F201" t="s">
        <v>12</v>
      </c>
      <c r="G201">
        <v>1000000</v>
      </c>
      <c r="H201" s="2">
        <v>44258</v>
      </c>
      <c r="I201">
        <v>2021</v>
      </c>
      <c r="J201">
        <v>2682.6828401357898</v>
      </c>
      <c r="K201">
        <v>8612.1571598642095</v>
      </c>
      <c r="L201">
        <v>56905.65</v>
      </c>
      <c r="M201">
        <v>0</v>
      </c>
      <c r="N201">
        <v>68200.490000000005</v>
      </c>
      <c r="O201" t="s">
        <v>157</v>
      </c>
    </row>
    <row r="202" spans="1:15" x14ac:dyDescent="0.25">
      <c r="A202" t="s">
        <v>708</v>
      </c>
      <c r="B202" t="s">
        <v>709</v>
      </c>
      <c r="C202" t="s">
        <v>710</v>
      </c>
      <c r="D202" t="s">
        <v>110</v>
      </c>
      <c r="E202" s="2">
        <v>43972</v>
      </c>
      <c r="F202" t="s">
        <v>50</v>
      </c>
      <c r="G202">
        <v>2000000</v>
      </c>
      <c r="H202" s="2">
        <v>44173</v>
      </c>
      <c r="I202">
        <v>2020</v>
      </c>
      <c r="J202">
        <v>5198.9155651156498</v>
      </c>
      <c r="K202">
        <v>19794.634434884301</v>
      </c>
      <c r="L202">
        <v>115266.12</v>
      </c>
      <c r="M202">
        <v>0</v>
      </c>
      <c r="N202">
        <v>140259.67000000001</v>
      </c>
      <c r="O202" t="s">
        <v>186</v>
      </c>
    </row>
    <row r="203" spans="1:15" x14ac:dyDescent="0.25">
      <c r="A203" t="s">
        <v>711</v>
      </c>
      <c r="B203" t="s">
        <v>712</v>
      </c>
      <c r="C203" t="s">
        <v>713</v>
      </c>
      <c r="D203" t="s">
        <v>110</v>
      </c>
      <c r="E203" s="2">
        <v>43974</v>
      </c>
      <c r="F203" t="s">
        <v>12</v>
      </c>
      <c r="G203">
        <v>2000000</v>
      </c>
      <c r="H203" s="2">
        <v>44257</v>
      </c>
      <c r="I203">
        <v>2021</v>
      </c>
      <c r="J203">
        <v>11021.7691877056</v>
      </c>
      <c r="K203">
        <v>36238.920812294396</v>
      </c>
      <c r="L203">
        <v>469551.58</v>
      </c>
      <c r="M203">
        <v>0</v>
      </c>
      <c r="N203">
        <v>516812.27</v>
      </c>
      <c r="O203" t="s">
        <v>179</v>
      </c>
    </row>
    <row r="204" spans="1:15" x14ac:dyDescent="0.25">
      <c r="A204" t="s">
        <v>714</v>
      </c>
      <c r="B204" t="s">
        <v>715</v>
      </c>
      <c r="C204" t="s">
        <v>716</v>
      </c>
      <c r="D204" t="s">
        <v>110</v>
      </c>
      <c r="E204" s="2">
        <v>43934</v>
      </c>
      <c r="F204" t="s">
        <v>30</v>
      </c>
      <c r="G204">
        <v>5000000</v>
      </c>
      <c r="H204" s="2">
        <v>44254</v>
      </c>
      <c r="I204">
        <v>2021</v>
      </c>
      <c r="J204">
        <v>2409.35142329171</v>
      </c>
      <c r="K204">
        <v>7570.0685767082896</v>
      </c>
      <c r="L204">
        <v>76585.06</v>
      </c>
      <c r="M204">
        <v>0</v>
      </c>
      <c r="N204">
        <v>86564.479999999996</v>
      </c>
      <c r="O204" t="s">
        <v>240</v>
      </c>
    </row>
    <row r="205" spans="1:15" x14ac:dyDescent="0.25">
      <c r="A205" t="s">
        <v>717</v>
      </c>
      <c r="B205" t="s">
        <v>718</v>
      </c>
      <c r="C205" t="s">
        <v>719</v>
      </c>
      <c r="D205" t="s">
        <v>110</v>
      </c>
      <c r="E205" s="2">
        <v>44170</v>
      </c>
      <c r="F205" t="s">
        <v>38</v>
      </c>
      <c r="G205">
        <v>5000000</v>
      </c>
      <c r="H205" s="2">
        <v>44291</v>
      </c>
      <c r="I205">
        <v>2021</v>
      </c>
      <c r="J205">
        <v>47786.316027945802</v>
      </c>
      <c r="K205">
        <v>111569.323972054</v>
      </c>
      <c r="L205">
        <v>851598.21</v>
      </c>
      <c r="M205">
        <v>0</v>
      </c>
      <c r="N205">
        <v>1010953.85</v>
      </c>
      <c r="O205" t="s">
        <v>143</v>
      </c>
    </row>
    <row r="206" spans="1:15" x14ac:dyDescent="0.25">
      <c r="A206" t="s">
        <v>720</v>
      </c>
      <c r="B206" t="s">
        <v>721</v>
      </c>
      <c r="C206" t="s">
        <v>722</v>
      </c>
      <c r="D206" t="s">
        <v>110</v>
      </c>
      <c r="E206" s="2">
        <v>44244</v>
      </c>
      <c r="F206" t="s">
        <v>41</v>
      </c>
      <c r="G206">
        <v>1000000</v>
      </c>
      <c r="H206" s="2">
        <v>44268</v>
      </c>
      <c r="I206">
        <v>2021</v>
      </c>
      <c r="J206">
        <v>6300.93366033249</v>
      </c>
      <c r="K206">
        <v>24491.746339667501</v>
      </c>
      <c r="L206">
        <v>142824.87</v>
      </c>
      <c r="M206">
        <v>0</v>
      </c>
      <c r="N206">
        <v>173617.55</v>
      </c>
      <c r="O206" t="s">
        <v>193</v>
      </c>
    </row>
    <row r="207" spans="1:15" x14ac:dyDescent="0.25">
      <c r="A207" t="s">
        <v>723</v>
      </c>
      <c r="B207" t="s">
        <v>724</v>
      </c>
      <c r="C207" t="s">
        <v>319</v>
      </c>
      <c r="D207" t="s">
        <v>110</v>
      </c>
      <c r="E207" s="2">
        <v>43994</v>
      </c>
      <c r="F207" t="s">
        <v>22</v>
      </c>
      <c r="G207">
        <v>3000000</v>
      </c>
      <c r="H207" s="2">
        <v>44287</v>
      </c>
      <c r="I207">
        <v>2021</v>
      </c>
      <c r="J207">
        <v>11428.655633860501</v>
      </c>
      <c r="K207">
        <v>32370.9543661395</v>
      </c>
      <c r="L207">
        <v>214926.92</v>
      </c>
      <c r="M207">
        <v>0</v>
      </c>
      <c r="N207">
        <v>258726.53</v>
      </c>
      <c r="O207" t="s">
        <v>233</v>
      </c>
    </row>
    <row r="208" spans="1:15" x14ac:dyDescent="0.25">
      <c r="A208" t="s">
        <v>725</v>
      </c>
      <c r="B208" t="s">
        <v>726</v>
      </c>
      <c r="C208" t="s">
        <v>727</v>
      </c>
      <c r="D208" t="s">
        <v>110</v>
      </c>
      <c r="E208" s="2">
        <v>43982</v>
      </c>
      <c r="F208" t="s">
        <v>40</v>
      </c>
      <c r="G208">
        <v>5000000</v>
      </c>
      <c r="H208" s="2">
        <v>44266</v>
      </c>
      <c r="I208">
        <v>2021</v>
      </c>
      <c r="J208">
        <v>4950.5917466580204</v>
      </c>
      <c r="K208">
        <v>12283.038253342</v>
      </c>
      <c r="L208">
        <v>67471.509999999995</v>
      </c>
      <c r="M208">
        <v>0</v>
      </c>
      <c r="N208">
        <v>84705.14</v>
      </c>
      <c r="O208" t="s">
        <v>207</v>
      </c>
    </row>
    <row r="209" spans="1:15" x14ac:dyDescent="0.25">
      <c r="A209" t="s">
        <v>728</v>
      </c>
      <c r="B209" t="s">
        <v>729</v>
      </c>
      <c r="C209" t="s">
        <v>730</v>
      </c>
      <c r="D209" t="s">
        <v>110</v>
      </c>
      <c r="E209" s="2">
        <v>44154</v>
      </c>
      <c r="F209" t="s">
        <v>54</v>
      </c>
      <c r="G209">
        <v>1000000</v>
      </c>
      <c r="H209" s="2">
        <v>44238</v>
      </c>
      <c r="I209">
        <v>2021</v>
      </c>
      <c r="J209">
        <v>1611.3304296368799</v>
      </c>
      <c r="K209">
        <v>5737.9695703631196</v>
      </c>
      <c r="L209">
        <v>65876.78</v>
      </c>
      <c r="M209">
        <v>0</v>
      </c>
      <c r="N209">
        <v>73226.080000000002</v>
      </c>
      <c r="O209" t="s">
        <v>207</v>
      </c>
    </row>
    <row r="210" spans="1:15" x14ac:dyDescent="0.25">
      <c r="A210" t="s">
        <v>731</v>
      </c>
      <c r="B210" t="s">
        <v>732</v>
      </c>
      <c r="C210" t="s">
        <v>733</v>
      </c>
      <c r="D210" t="s">
        <v>734</v>
      </c>
      <c r="E210" s="2">
        <v>43959</v>
      </c>
      <c r="F210" t="s">
        <v>50</v>
      </c>
      <c r="G210">
        <v>1000000</v>
      </c>
      <c r="H210" s="2">
        <v>44154</v>
      </c>
      <c r="I210">
        <v>2020</v>
      </c>
      <c r="J210">
        <v>2027.6119120383401</v>
      </c>
      <c r="K210">
        <v>5563.7880879616496</v>
      </c>
      <c r="L210">
        <v>54244.91</v>
      </c>
      <c r="M210">
        <v>6630.98</v>
      </c>
      <c r="N210">
        <v>68467.289999999994</v>
      </c>
      <c r="O210" t="s">
        <v>150</v>
      </c>
    </row>
    <row r="211" spans="1:15" x14ac:dyDescent="0.25">
      <c r="A211" t="s">
        <v>735</v>
      </c>
      <c r="B211" t="s">
        <v>736</v>
      </c>
      <c r="C211" t="s">
        <v>737</v>
      </c>
      <c r="D211" t="s">
        <v>110</v>
      </c>
      <c r="E211" s="2">
        <v>44180</v>
      </c>
      <c r="F211" t="s">
        <v>41</v>
      </c>
      <c r="G211">
        <v>2000000</v>
      </c>
      <c r="H211" s="2">
        <v>44288</v>
      </c>
      <c r="I211">
        <v>2021</v>
      </c>
      <c r="J211">
        <v>6779.3110411744701</v>
      </c>
      <c r="K211">
        <v>22935.308958825499</v>
      </c>
      <c r="L211">
        <v>129108.25</v>
      </c>
      <c r="M211">
        <v>0</v>
      </c>
      <c r="N211">
        <v>158822.87</v>
      </c>
      <c r="O211" t="s">
        <v>123</v>
      </c>
    </row>
    <row r="212" spans="1:15" x14ac:dyDescent="0.25">
      <c r="A212" t="s">
        <v>738</v>
      </c>
      <c r="B212" t="s">
        <v>739</v>
      </c>
      <c r="C212" t="s">
        <v>740</v>
      </c>
      <c r="D212" t="s">
        <v>110</v>
      </c>
      <c r="E212" s="2">
        <v>44203</v>
      </c>
      <c r="F212" t="s">
        <v>34</v>
      </c>
      <c r="G212">
        <v>5000000</v>
      </c>
      <c r="H212" s="2">
        <v>44289</v>
      </c>
      <c r="I212">
        <v>2021</v>
      </c>
      <c r="J212">
        <v>2558.1604476647999</v>
      </c>
      <c r="K212">
        <v>7270.5495523352001</v>
      </c>
      <c r="L212">
        <v>93430.59</v>
      </c>
      <c r="M212">
        <v>0</v>
      </c>
      <c r="N212">
        <v>103259.3</v>
      </c>
      <c r="O212" t="s">
        <v>111</v>
      </c>
    </row>
    <row r="213" spans="1:15" x14ac:dyDescent="0.25">
      <c r="A213" t="s">
        <v>741</v>
      </c>
      <c r="B213" t="s">
        <v>742</v>
      </c>
      <c r="C213" t="s">
        <v>743</v>
      </c>
      <c r="D213" t="s">
        <v>110</v>
      </c>
      <c r="E213" s="2">
        <v>44015</v>
      </c>
      <c r="F213" t="s">
        <v>14</v>
      </c>
      <c r="G213">
        <v>1000000</v>
      </c>
      <c r="H213" s="2">
        <v>44124</v>
      </c>
      <c r="I213">
        <v>2020</v>
      </c>
      <c r="J213">
        <v>3807.3392980019698</v>
      </c>
      <c r="K213">
        <v>12143.180701998001</v>
      </c>
      <c r="L213">
        <v>62987.47</v>
      </c>
      <c r="M213">
        <v>0</v>
      </c>
      <c r="N213">
        <v>78937.990000000005</v>
      </c>
      <c r="O213" t="s">
        <v>150</v>
      </c>
    </row>
    <row r="214" spans="1:15" x14ac:dyDescent="0.25">
      <c r="A214" t="s">
        <v>744</v>
      </c>
      <c r="B214" t="s">
        <v>745</v>
      </c>
      <c r="C214" t="s">
        <v>746</v>
      </c>
      <c r="D214" t="s">
        <v>110</v>
      </c>
      <c r="E214" s="2">
        <v>44149</v>
      </c>
      <c r="F214" t="s">
        <v>50</v>
      </c>
      <c r="G214">
        <v>4000000</v>
      </c>
      <c r="H214" s="2">
        <v>44291</v>
      </c>
      <c r="I214">
        <v>2021</v>
      </c>
      <c r="J214">
        <v>5128.21906905795</v>
      </c>
      <c r="K214">
        <v>14760.700930942099</v>
      </c>
      <c r="L214">
        <v>117294.58</v>
      </c>
      <c r="M214">
        <v>0</v>
      </c>
      <c r="N214">
        <v>137183.5</v>
      </c>
      <c r="O214" t="s">
        <v>186</v>
      </c>
    </row>
    <row r="215" spans="1:15" x14ac:dyDescent="0.25">
      <c r="A215" t="s">
        <v>747</v>
      </c>
      <c r="B215" t="s">
        <v>748</v>
      </c>
      <c r="C215" t="s">
        <v>749</v>
      </c>
      <c r="D215" t="s">
        <v>110</v>
      </c>
      <c r="E215" s="2">
        <v>44222</v>
      </c>
      <c r="F215" t="s">
        <v>43</v>
      </c>
      <c r="G215">
        <v>5000000</v>
      </c>
      <c r="H215" s="2">
        <v>44246</v>
      </c>
      <c r="I215">
        <v>2021</v>
      </c>
      <c r="J215">
        <v>22555.3459813505</v>
      </c>
      <c r="K215">
        <v>63896.274018649499</v>
      </c>
      <c r="L215">
        <v>554471.42000000004</v>
      </c>
      <c r="M215">
        <v>0</v>
      </c>
      <c r="N215">
        <v>640923.04</v>
      </c>
      <c r="O215" t="s">
        <v>115</v>
      </c>
    </row>
    <row r="216" spans="1:15" x14ac:dyDescent="0.25">
      <c r="A216" t="s">
        <v>750</v>
      </c>
      <c r="B216" t="s">
        <v>751</v>
      </c>
      <c r="C216" t="s">
        <v>752</v>
      </c>
      <c r="D216" t="s">
        <v>110</v>
      </c>
      <c r="E216" s="2">
        <v>44122</v>
      </c>
      <c r="F216" t="s">
        <v>31</v>
      </c>
      <c r="G216">
        <v>5000000</v>
      </c>
      <c r="H216" s="2">
        <v>44286</v>
      </c>
      <c r="I216">
        <v>2021</v>
      </c>
      <c r="J216">
        <v>5903.3993459296298</v>
      </c>
      <c r="K216">
        <v>19823.480654070401</v>
      </c>
      <c r="L216">
        <v>119289.60000000001</v>
      </c>
      <c r="M216">
        <v>0</v>
      </c>
      <c r="N216">
        <v>145016.48000000001</v>
      </c>
      <c r="O216" t="s">
        <v>186</v>
      </c>
    </row>
    <row r="217" spans="1:15" x14ac:dyDescent="0.25">
      <c r="A217" t="s">
        <v>753</v>
      </c>
      <c r="B217" t="s">
        <v>754</v>
      </c>
      <c r="C217" t="s">
        <v>755</v>
      </c>
      <c r="D217" t="s">
        <v>110</v>
      </c>
      <c r="E217" s="2">
        <v>43942</v>
      </c>
      <c r="F217" t="s">
        <v>49</v>
      </c>
      <c r="G217">
        <v>1000000</v>
      </c>
      <c r="H217" s="2">
        <v>44188</v>
      </c>
      <c r="I217">
        <v>2020</v>
      </c>
      <c r="J217">
        <v>5363.7586039561402</v>
      </c>
      <c r="K217">
        <v>13625.831396043901</v>
      </c>
      <c r="L217">
        <v>69614.11</v>
      </c>
      <c r="M217">
        <v>0</v>
      </c>
      <c r="N217">
        <v>88603.7</v>
      </c>
      <c r="O217" t="s">
        <v>197</v>
      </c>
    </row>
    <row r="218" spans="1:15" x14ac:dyDescent="0.25">
      <c r="A218" t="s">
        <v>756</v>
      </c>
      <c r="B218" t="s">
        <v>757</v>
      </c>
      <c r="C218" t="s">
        <v>758</v>
      </c>
      <c r="D218" t="s">
        <v>110</v>
      </c>
      <c r="E218" s="2">
        <v>44063</v>
      </c>
      <c r="F218" t="s">
        <v>24</v>
      </c>
      <c r="G218">
        <v>1000000</v>
      </c>
      <c r="H218" s="2">
        <v>44267</v>
      </c>
      <c r="I218">
        <v>2021</v>
      </c>
      <c r="J218">
        <v>23734.7250758132</v>
      </c>
      <c r="K218">
        <v>69715.764924186806</v>
      </c>
      <c r="L218">
        <v>343270.53</v>
      </c>
      <c r="M218">
        <v>0</v>
      </c>
      <c r="N218">
        <v>436721.02</v>
      </c>
      <c r="O218" t="s">
        <v>274</v>
      </c>
    </row>
    <row r="219" spans="1:15" x14ac:dyDescent="0.25">
      <c r="A219" t="s">
        <v>759</v>
      </c>
      <c r="B219" t="s">
        <v>760</v>
      </c>
      <c r="C219" t="s">
        <v>761</v>
      </c>
      <c r="D219" t="s">
        <v>110</v>
      </c>
      <c r="E219" s="2">
        <v>44206</v>
      </c>
      <c r="F219" t="s">
        <v>30</v>
      </c>
      <c r="G219">
        <v>1000000</v>
      </c>
      <c r="H219" s="2">
        <v>44297</v>
      </c>
      <c r="I219">
        <v>2021</v>
      </c>
      <c r="J219">
        <v>5574.8729276638196</v>
      </c>
      <c r="K219">
        <v>13698.4970723362</v>
      </c>
      <c r="L219">
        <v>88175.46</v>
      </c>
      <c r="M219">
        <v>0</v>
      </c>
      <c r="N219">
        <v>107448.83</v>
      </c>
      <c r="O219" t="s">
        <v>119</v>
      </c>
    </row>
    <row r="220" spans="1:15" x14ac:dyDescent="0.25">
      <c r="A220" t="s">
        <v>762</v>
      </c>
      <c r="B220" t="s">
        <v>763</v>
      </c>
      <c r="C220" t="s">
        <v>764</v>
      </c>
      <c r="D220" t="s">
        <v>110</v>
      </c>
      <c r="E220" s="2">
        <v>44042</v>
      </c>
      <c r="F220" t="s">
        <v>12</v>
      </c>
      <c r="G220">
        <v>1000000</v>
      </c>
      <c r="H220" s="2">
        <v>44121</v>
      </c>
      <c r="I220">
        <v>2020</v>
      </c>
      <c r="J220">
        <v>4222.5031109539595</v>
      </c>
      <c r="K220">
        <v>14115.776889045999</v>
      </c>
      <c r="L220">
        <v>76746.19</v>
      </c>
      <c r="M220">
        <v>0</v>
      </c>
      <c r="N220">
        <v>95084.47</v>
      </c>
      <c r="O220" t="s">
        <v>240</v>
      </c>
    </row>
    <row r="221" spans="1:15" x14ac:dyDescent="0.25">
      <c r="A221" t="s">
        <v>765</v>
      </c>
      <c r="B221" t="s">
        <v>766</v>
      </c>
      <c r="C221" t="s">
        <v>767</v>
      </c>
      <c r="D221" t="s">
        <v>110</v>
      </c>
      <c r="E221" s="2">
        <v>44185</v>
      </c>
      <c r="F221" t="s">
        <v>13</v>
      </c>
      <c r="G221">
        <v>3000000</v>
      </c>
      <c r="H221" s="2">
        <v>44313</v>
      </c>
      <c r="I221">
        <v>2021</v>
      </c>
      <c r="J221">
        <v>24075.333017471799</v>
      </c>
      <c r="K221">
        <v>57115.256982528197</v>
      </c>
      <c r="L221">
        <v>296210.89</v>
      </c>
      <c r="M221">
        <v>0</v>
      </c>
      <c r="N221">
        <v>377401.48</v>
      </c>
      <c r="O221" t="s">
        <v>343</v>
      </c>
    </row>
    <row r="222" spans="1:15" x14ac:dyDescent="0.25">
      <c r="A222" t="s">
        <v>768</v>
      </c>
      <c r="B222" t="s">
        <v>769</v>
      </c>
      <c r="C222" t="s">
        <v>770</v>
      </c>
      <c r="D222" t="s">
        <v>110</v>
      </c>
      <c r="E222" s="2">
        <v>43959</v>
      </c>
      <c r="F222" t="s">
        <v>21</v>
      </c>
      <c r="G222">
        <v>2000000</v>
      </c>
      <c r="H222" s="2">
        <v>44199</v>
      </c>
      <c r="I222">
        <v>2021</v>
      </c>
      <c r="J222">
        <v>4514.3504730014201</v>
      </c>
      <c r="K222">
        <v>11447.4595269986</v>
      </c>
      <c r="L222">
        <v>58054.93</v>
      </c>
      <c r="M222">
        <v>0</v>
      </c>
      <c r="N222">
        <v>74016.740000000005</v>
      </c>
      <c r="O222" t="s">
        <v>157</v>
      </c>
    </row>
    <row r="223" spans="1:15" x14ac:dyDescent="0.25">
      <c r="A223" t="s">
        <v>771</v>
      </c>
      <c r="B223" t="s">
        <v>772</v>
      </c>
      <c r="C223" t="s">
        <v>773</v>
      </c>
      <c r="D223" t="s">
        <v>110</v>
      </c>
      <c r="E223" s="2">
        <v>44177</v>
      </c>
      <c r="F223" t="s">
        <v>50</v>
      </c>
      <c r="G223">
        <v>2000000</v>
      </c>
      <c r="H223" s="2">
        <v>44309</v>
      </c>
      <c r="I223">
        <v>2021</v>
      </c>
      <c r="J223">
        <v>3708.9816864825598</v>
      </c>
      <c r="K223">
        <v>12708.678313517399</v>
      </c>
      <c r="L223">
        <v>78903.070000000007</v>
      </c>
      <c r="M223">
        <v>0</v>
      </c>
      <c r="N223">
        <v>95320.73</v>
      </c>
      <c r="O223" t="s">
        <v>240</v>
      </c>
    </row>
    <row r="224" spans="1:15" x14ac:dyDescent="0.25">
      <c r="A224" t="s">
        <v>774</v>
      </c>
      <c r="B224" t="s">
        <v>775</v>
      </c>
      <c r="C224" t="s">
        <v>776</v>
      </c>
      <c r="D224" t="s">
        <v>110</v>
      </c>
      <c r="E224" s="2">
        <v>44315</v>
      </c>
      <c r="F224" t="s">
        <v>19</v>
      </c>
      <c r="G224">
        <v>4000000</v>
      </c>
      <c r="H224" s="2">
        <v>44327</v>
      </c>
      <c r="I224">
        <v>2021</v>
      </c>
      <c r="J224">
        <v>5804.5014472017601</v>
      </c>
      <c r="K224">
        <v>21295.478552798199</v>
      </c>
      <c r="L224">
        <v>162854.16</v>
      </c>
      <c r="M224">
        <v>0</v>
      </c>
      <c r="N224">
        <v>189954.14</v>
      </c>
      <c r="O224" t="s">
        <v>168</v>
      </c>
    </row>
    <row r="225" spans="1:15" x14ac:dyDescent="0.25">
      <c r="A225" t="s">
        <v>777</v>
      </c>
      <c r="B225" t="s">
        <v>368</v>
      </c>
      <c r="C225" t="s">
        <v>369</v>
      </c>
      <c r="D225" t="s">
        <v>110</v>
      </c>
      <c r="E225" s="2">
        <v>43551</v>
      </c>
      <c r="F225" t="s">
        <v>50</v>
      </c>
      <c r="G225">
        <v>2000000</v>
      </c>
      <c r="H225" s="2">
        <v>43738</v>
      </c>
      <c r="I225">
        <v>2019</v>
      </c>
      <c r="J225">
        <v>5317.9247844988304</v>
      </c>
      <c r="K225">
        <v>17746.9452155012</v>
      </c>
      <c r="L225">
        <v>119658.59</v>
      </c>
      <c r="M225">
        <v>0</v>
      </c>
      <c r="N225">
        <v>142723.46</v>
      </c>
      <c r="O225" t="s">
        <v>186</v>
      </c>
    </row>
    <row r="226" spans="1:15" x14ac:dyDescent="0.25">
      <c r="A226" t="s">
        <v>778</v>
      </c>
      <c r="B226" t="s">
        <v>779</v>
      </c>
      <c r="C226" t="s">
        <v>780</v>
      </c>
      <c r="D226" t="s">
        <v>110</v>
      </c>
      <c r="E226" s="2">
        <v>44142</v>
      </c>
      <c r="F226" t="s">
        <v>13</v>
      </c>
      <c r="G226">
        <v>1000000</v>
      </c>
      <c r="H226" s="2">
        <v>44325</v>
      </c>
      <c r="I226">
        <v>2021</v>
      </c>
      <c r="J226">
        <v>11146.0570646014</v>
      </c>
      <c r="K226">
        <v>37748.2729353986</v>
      </c>
      <c r="L226">
        <v>463905.43</v>
      </c>
      <c r="M226">
        <v>0</v>
      </c>
      <c r="N226">
        <v>512799.76</v>
      </c>
      <c r="O226" t="s">
        <v>179</v>
      </c>
    </row>
    <row r="227" spans="1:15" x14ac:dyDescent="0.25">
      <c r="A227" t="s">
        <v>781</v>
      </c>
      <c r="B227" t="s">
        <v>782</v>
      </c>
      <c r="C227" t="s">
        <v>783</v>
      </c>
      <c r="D227" t="s">
        <v>110</v>
      </c>
      <c r="E227" s="2">
        <v>44223</v>
      </c>
      <c r="F227" t="s">
        <v>38</v>
      </c>
      <c r="G227">
        <v>1000000</v>
      </c>
      <c r="H227" s="2">
        <v>44254</v>
      </c>
      <c r="I227">
        <v>2021</v>
      </c>
      <c r="J227">
        <v>5553.9579860054901</v>
      </c>
      <c r="K227">
        <v>15719.3620139945</v>
      </c>
      <c r="L227">
        <v>77562.92</v>
      </c>
      <c r="M227">
        <v>0</v>
      </c>
      <c r="N227">
        <v>98836.24</v>
      </c>
      <c r="O227" t="s">
        <v>240</v>
      </c>
    </row>
    <row r="228" spans="1:15" x14ac:dyDescent="0.25">
      <c r="A228" t="s">
        <v>784</v>
      </c>
      <c r="B228" t="s">
        <v>785</v>
      </c>
      <c r="C228" t="s">
        <v>786</v>
      </c>
      <c r="D228" t="s">
        <v>110</v>
      </c>
      <c r="E228" s="2">
        <v>44276</v>
      </c>
      <c r="F228" t="s">
        <v>20</v>
      </c>
      <c r="G228">
        <v>1000000</v>
      </c>
      <c r="H228" s="2">
        <v>44279</v>
      </c>
      <c r="I228">
        <v>2021</v>
      </c>
      <c r="J228">
        <v>3952.5448833206401</v>
      </c>
      <c r="K228">
        <v>13998.025116679401</v>
      </c>
      <c r="L228">
        <v>142058.46</v>
      </c>
      <c r="M228">
        <v>0</v>
      </c>
      <c r="N228">
        <v>160009.03</v>
      </c>
      <c r="O228" t="s">
        <v>193</v>
      </c>
    </row>
    <row r="229" spans="1:15" x14ac:dyDescent="0.25">
      <c r="A229" t="s">
        <v>787</v>
      </c>
      <c r="B229" t="s">
        <v>782</v>
      </c>
      <c r="C229" t="s">
        <v>783</v>
      </c>
      <c r="D229" t="s">
        <v>734</v>
      </c>
      <c r="E229" s="2">
        <v>44223</v>
      </c>
      <c r="F229" t="s">
        <v>38</v>
      </c>
      <c r="G229">
        <v>1000000</v>
      </c>
      <c r="H229" s="2">
        <v>44227</v>
      </c>
      <c r="I229">
        <v>2021</v>
      </c>
      <c r="J229">
        <v>1457.97880966139</v>
      </c>
      <c r="K229">
        <v>3496.8111903386098</v>
      </c>
      <c r="L229">
        <v>49683.360000000001</v>
      </c>
      <c r="M229">
        <v>12363.04</v>
      </c>
      <c r="N229">
        <v>67001.19</v>
      </c>
      <c r="O229" t="s">
        <v>207</v>
      </c>
    </row>
    <row r="230" spans="1:15" x14ac:dyDescent="0.25">
      <c r="A230" t="s">
        <v>788</v>
      </c>
      <c r="B230" t="s">
        <v>789</v>
      </c>
      <c r="C230" t="s">
        <v>790</v>
      </c>
      <c r="D230" t="s">
        <v>110</v>
      </c>
      <c r="E230" s="2">
        <v>44308</v>
      </c>
      <c r="F230" t="s">
        <v>31</v>
      </c>
      <c r="G230">
        <v>3000000</v>
      </c>
      <c r="H230" s="2">
        <v>44325</v>
      </c>
      <c r="I230">
        <v>2021</v>
      </c>
      <c r="J230">
        <v>2602.1639472693801</v>
      </c>
      <c r="K230">
        <v>9646.6360527306206</v>
      </c>
      <c r="L230">
        <v>101298.51</v>
      </c>
      <c r="M230">
        <v>0</v>
      </c>
      <c r="N230">
        <v>113547.31</v>
      </c>
      <c r="O230" t="s">
        <v>164</v>
      </c>
    </row>
    <row r="231" spans="1:15" x14ac:dyDescent="0.25">
      <c r="A231" t="s">
        <v>791</v>
      </c>
      <c r="B231" t="s">
        <v>792</v>
      </c>
      <c r="C231" t="s">
        <v>793</v>
      </c>
      <c r="D231" t="s">
        <v>110</v>
      </c>
      <c r="E231" s="2">
        <v>43978</v>
      </c>
      <c r="F231" t="s">
        <v>19</v>
      </c>
      <c r="G231">
        <v>2000000</v>
      </c>
      <c r="H231" s="2">
        <v>44324</v>
      </c>
      <c r="I231">
        <v>2021</v>
      </c>
      <c r="J231">
        <v>6307.3506092576099</v>
      </c>
      <c r="K231">
        <v>22124.1793907424</v>
      </c>
      <c r="L231">
        <v>109797.03</v>
      </c>
      <c r="M231">
        <v>0</v>
      </c>
      <c r="N231">
        <v>138228.56</v>
      </c>
      <c r="O231" t="s">
        <v>135</v>
      </c>
    </row>
    <row r="232" spans="1:15" x14ac:dyDescent="0.25">
      <c r="A232" t="s">
        <v>794</v>
      </c>
      <c r="B232" t="s">
        <v>795</v>
      </c>
      <c r="C232" t="s">
        <v>796</v>
      </c>
      <c r="D232" t="s">
        <v>110</v>
      </c>
      <c r="E232" s="2">
        <v>44334</v>
      </c>
      <c r="F232" t="s">
        <v>12</v>
      </c>
      <c r="G232">
        <v>4000000</v>
      </c>
      <c r="H232" s="2">
        <v>44338</v>
      </c>
      <c r="I232">
        <v>2021</v>
      </c>
      <c r="J232">
        <v>10460.1596595644</v>
      </c>
      <c r="K232">
        <v>28341.750340435599</v>
      </c>
      <c r="L232">
        <v>158405.29</v>
      </c>
      <c r="M232">
        <v>0</v>
      </c>
      <c r="N232">
        <v>197207.2</v>
      </c>
      <c r="O232" t="s">
        <v>211</v>
      </c>
    </row>
    <row r="233" spans="1:15" x14ac:dyDescent="0.25">
      <c r="A233" t="s">
        <v>797</v>
      </c>
      <c r="B233" t="s">
        <v>798</v>
      </c>
      <c r="C233" t="s">
        <v>799</v>
      </c>
      <c r="D233" t="s">
        <v>734</v>
      </c>
      <c r="E233" s="2">
        <v>43990</v>
      </c>
      <c r="F233" t="s">
        <v>19</v>
      </c>
      <c r="G233">
        <v>5000000</v>
      </c>
      <c r="H233" s="2">
        <v>44354</v>
      </c>
      <c r="I233">
        <v>2021</v>
      </c>
      <c r="J233">
        <v>3375.59321863999</v>
      </c>
      <c r="K233">
        <v>11652.376781360001</v>
      </c>
      <c r="L233">
        <v>123202.11</v>
      </c>
      <c r="M233">
        <v>22725.95</v>
      </c>
      <c r="N233">
        <v>160956.03</v>
      </c>
      <c r="O233" t="s">
        <v>211</v>
      </c>
    </row>
    <row r="234" spans="1:15" x14ac:dyDescent="0.25">
      <c r="A234" t="s">
        <v>800</v>
      </c>
      <c r="B234" t="s">
        <v>801</v>
      </c>
      <c r="C234" t="s">
        <v>802</v>
      </c>
      <c r="D234" t="s">
        <v>110</v>
      </c>
      <c r="E234" s="2">
        <v>43982</v>
      </c>
      <c r="F234" t="s">
        <v>29</v>
      </c>
      <c r="G234">
        <v>2000000</v>
      </c>
      <c r="H234" s="2">
        <v>44288</v>
      </c>
      <c r="I234">
        <v>2021</v>
      </c>
      <c r="J234">
        <v>8018.3608697630798</v>
      </c>
      <c r="K234">
        <v>29312.219130236899</v>
      </c>
      <c r="L234">
        <v>189309.45</v>
      </c>
      <c r="M234">
        <v>0</v>
      </c>
      <c r="N234">
        <v>226640.03</v>
      </c>
      <c r="O234" t="s">
        <v>172</v>
      </c>
    </row>
    <row r="235" spans="1:15" x14ac:dyDescent="0.25">
      <c r="A235" t="s">
        <v>803</v>
      </c>
      <c r="B235" t="s">
        <v>804</v>
      </c>
      <c r="C235" t="s">
        <v>805</v>
      </c>
      <c r="D235" t="s">
        <v>110</v>
      </c>
      <c r="E235" s="2">
        <v>43990</v>
      </c>
      <c r="F235" t="s">
        <v>20</v>
      </c>
      <c r="G235">
        <v>5000000</v>
      </c>
      <c r="H235" s="2">
        <v>44350</v>
      </c>
      <c r="I235">
        <v>2021</v>
      </c>
      <c r="J235">
        <v>8727.8568197906898</v>
      </c>
      <c r="K235">
        <v>32135.3431802093</v>
      </c>
      <c r="L235">
        <v>142701.5</v>
      </c>
      <c r="M235">
        <v>0</v>
      </c>
      <c r="N235">
        <v>183564.7</v>
      </c>
      <c r="O235" t="s">
        <v>193</v>
      </c>
    </row>
    <row r="236" spans="1:15" x14ac:dyDescent="0.25">
      <c r="A236" t="s">
        <v>806</v>
      </c>
      <c r="B236" t="s">
        <v>807</v>
      </c>
      <c r="C236" t="s">
        <v>808</v>
      </c>
      <c r="D236" t="s">
        <v>110</v>
      </c>
      <c r="E236" s="2">
        <v>43999</v>
      </c>
      <c r="F236" t="s">
        <v>51</v>
      </c>
      <c r="G236">
        <v>5000000</v>
      </c>
      <c r="H236" s="2">
        <v>44203</v>
      </c>
      <c r="I236">
        <v>2021</v>
      </c>
      <c r="J236">
        <v>8481.3634664869696</v>
      </c>
      <c r="K236">
        <v>30251.296533512999</v>
      </c>
      <c r="L236">
        <v>249412.45</v>
      </c>
      <c r="M236">
        <v>0</v>
      </c>
      <c r="N236">
        <v>288145.11</v>
      </c>
      <c r="O236" t="s">
        <v>127</v>
      </c>
    </row>
    <row r="237" spans="1:15" x14ac:dyDescent="0.25">
      <c r="A237" t="s">
        <v>809</v>
      </c>
      <c r="B237" t="s">
        <v>810</v>
      </c>
      <c r="C237" t="s">
        <v>811</v>
      </c>
      <c r="D237" t="s">
        <v>110</v>
      </c>
      <c r="E237" s="2">
        <v>44246</v>
      </c>
      <c r="F237" t="s">
        <v>12</v>
      </c>
      <c r="G237">
        <v>2000000</v>
      </c>
      <c r="H237" s="2">
        <v>44354</v>
      </c>
      <c r="I237">
        <v>2021</v>
      </c>
      <c r="J237">
        <v>5548.26709642071</v>
      </c>
      <c r="K237">
        <v>13346.6729035793</v>
      </c>
      <c r="L237">
        <v>137099.20000000001</v>
      </c>
      <c r="M237">
        <v>0</v>
      </c>
      <c r="N237">
        <v>155994.14000000001</v>
      </c>
      <c r="O237" t="s">
        <v>123</v>
      </c>
    </row>
    <row r="238" spans="1:15" x14ac:dyDescent="0.25">
      <c r="A238" t="s">
        <v>812</v>
      </c>
      <c r="B238" t="s">
        <v>813</v>
      </c>
      <c r="C238" t="s">
        <v>814</v>
      </c>
      <c r="D238" t="s">
        <v>110</v>
      </c>
      <c r="E238" s="2">
        <v>44209</v>
      </c>
      <c r="F238" t="s">
        <v>54</v>
      </c>
      <c r="G238">
        <v>10000000</v>
      </c>
      <c r="H238" s="2">
        <v>44334</v>
      </c>
      <c r="I238">
        <v>2021</v>
      </c>
      <c r="J238">
        <v>7121.5267563543102</v>
      </c>
      <c r="K238">
        <v>20777.273243645701</v>
      </c>
      <c r="L238">
        <v>275829.27</v>
      </c>
      <c r="M238">
        <v>0</v>
      </c>
      <c r="N238">
        <v>303728.07</v>
      </c>
      <c r="O238" t="s">
        <v>343</v>
      </c>
    </row>
    <row r="239" spans="1:15" x14ac:dyDescent="0.25">
      <c r="A239" t="s">
        <v>815</v>
      </c>
      <c r="B239" t="s">
        <v>816</v>
      </c>
      <c r="C239" t="s">
        <v>817</v>
      </c>
      <c r="D239" t="s">
        <v>110</v>
      </c>
      <c r="E239" s="2">
        <v>44250</v>
      </c>
      <c r="F239" t="s">
        <v>21</v>
      </c>
      <c r="G239">
        <v>1000000</v>
      </c>
      <c r="H239" s="2">
        <v>44386</v>
      </c>
      <c r="I239">
        <v>2021</v>
      </c>
      <c r="J239">
        <v>2881.3494953355298</v>
      </c>
      <c r="K239">
        <v>7488.8805046644702</v>
      </c>
      <c r="L239">
        <v>95229.03</v>
      </c>
      <c r="M239">
        <v>0</v>
      </c>
      <c r="N239">
        <v>105599.26</v>
      </c>
      <c r="O239" t="s">
        <v>111</v>
      </c>
    </row>
    <row r="240" spans="1:15" x14ac:dyDescent="0.25">
      <c r="A240" t="s">
        <v>818</v>
      </c>
      <c r="B240" t="s">
        <v>819</v>
      </c>
      <c r="C240" t="s">
        <v>820</v>
      </c>
      <c r="D240" t="s">
        <v>110</v>
      </c>
      <c r="E240" s="2">
        <v>44090</v>
      </c>
      <c r="F240" t="s">
        <v>32</v>
      </c>
      <c r="G240">
        <v>3000000</v>
      </c>
      <c r="H240" s="2">
        <v>44368</v>
      </c>
      <c r="I240">
        <v>2021</v>
      </c>
      <c r="J240">
        <v>3738.1274479766398</v>
      </c>
      <c r="K240">
        <v>9462.4725520233605</v>
      </c>
      <c r="L240">
        <v>59935.27</v>
      </c>
      <c r="M240">
        <v>0</v>
      </c>
      <c r="N240">
        <v>73135.87</v>
      </c>
      <c r="O240" t="s">
        <v>150</v>
      </c>
    </row>
    <row r="241" spans="1:15" x14ac:dyDescent="0.25">
      <c r="A241" t="s">
        <v>821</v>
      </c>
      <c r="B241" t="s">
        <v>822</v>
      </c>
      <c r="C241" t="s">
        <v>823</v>
      </c>
      <c r="D241" t="s">
        <v>110</v>
      </c>
      <c r="E241" s="2">
        <v>44243</v>
      </c>
      <c r="F241" t="s">
        <v>9</v>
      </c>
      <c r="G241">
        <v>5000000</v>
      </c>
      <c r="H241" s="2">
        <v>44373</v>
      </c>
      <c r="I241">
        <v>2021</v>
      </c>
      <c r="J241">
        <v>18345.588780031299</v>
      </c>
      <c r="K241">
        <v>43039.261219968699</v>
      </c>
      <c r="L241">
        <v>343221.39</v>
      </c>
      <c r="M241">
        <v>0</v>
      </c>
      <c r="N241">
        <v>404606.24</v>
      </c>
      <c r="O241" t="s">
        <v>274</v>
      </c>
    </row>
    <row r="242" spans="1:15" x14ac:dyDescent="0.25">
      <c r="A242" t="s">
        <v>824</v>
      </c>
      <c r="B242" t="s">
        <v>825</v>
      </c>
      <c r="C242" t="s">
        <v>826</v>
      </c>
      <c r="D242" t="s">
        <v>110</v>
      </c>
      <c r="E242" s="2">
        <v>44110</v>
      </c>
      <c r="F242" t="s">
        <v>35</v>
      </c>
      <c r="G242">
        <v>2000000</v>
      </c>
      <c r="H242" s="2">
        <v>44363</v>
      </c>
      <c r="I242">
        <v>2021</v>
      </c>
      <c r="J242">
        <v>6579.42383191729</v>
      </c>
      <c r="K242">
        <v>18415.456168082699</v>
      </c>
      <c r="L242">
        <v>156770.79999999999</v>
      </c>
      <c r="M242">
        <v>0</v>
      </c>
      <c r="N242">
        <v>181765.68</v>
      </c>
      <c r="O242" t="s">
        <v>211</v>
      </c>
    </row>
    <row r="243" spans="1:15" x14ac:dyDescent="0.25">
      <c r="A243" t="s">
        <v>827</v>
      </c>
      <c r="B243" t="s">
        <v>828</v>
      </c>
      <c r="C243" t="s">
        <v>829</v>
      </c>
      <c r="D243" t="s">
        <v>110</v>
      </c>
      <c r="E243" s="2">
        <v>44262</v>
      </c>
      <c r="F243" t="s">
        <v>12</v>
      </c>
      <c r="G243">
        <v>1000000</v>
      </c>
      <c r="H243" s="2">
        <v>44375</v>
      </c>
      <c r="I243">
        <v>2021</v>
      </c>
      <c r="J243">
        <v>5495.4609285024999</v>
      </c>
      <c r="K243">
        <v>17162.1990714975</v>
      </c>
      <c r="L243">
        <v>97757.43</v>
      </c>
      <c r="M243">
        <v>0</v>
      </c>
      <c r="N243">
        <v>120415.09</v>
      </c>
      <c r="O243" t="s">
        <v>111</v>
      </c>
    </row>
    <row r="244" spans="1:15" x14ac:dyDescent="0.25">
      <c r="A244" t="s">
        <v>830</v>
      </c>
      <c r="B244" t="s">
        <v>831</v>
      </c>
      <c r="C244" t="s">
        <v>832</v>
      </c>
      <c r="D244" t="s">
        <v>110</v>
      </c>
      <c r="E244" s="2">
        <v>44225</v>
      </c>
      <c r="F244" t="s">
        <v>34</v>
      </c>
      <c r="G244">
        <v>5000000</v>
      </c>
      <c r="H244" s="2">
        <v>44349</v>
      </c>
      <c r="I244">
        <v>2021</v>
      </c>
      <c r="J244">
        <v>10185.616635082</v>
      </c>
      <c r="K244">
        <v>35610.673364918002</v>
      </c>
      <c r="L244">
        <v>350527.61</v>
      </c>
      <c r="M244">
        <v>0</v>
      </c>
      <c r="N244">
        <v>396323.9</v>
      </c>
      <c r="O244" t="s">
        <v>431</v>
      </c>
    </row>
    <row r="245" spans="1:15" x14ac:dyDescent="0.25">
      <c r="A245" t="s">
        <v>833</v>
      </c>
      <c r="B245" t="s">
        <v>834</v>
      </c>
      <c r="C245" t="s">
        <v>835</v>
      </c>
      <c r="D245" t="s">
        <v>110</v>
      </c>
      <c r="E245" s="2">
        <v>43314</v>
      </c>
      <c r="F245" t="s">
        <v>14</v>
      </c>
      <c r="G245">
        <v>5000000</v>
      </c>
      <c r="H245" s="2">
        <v>43572</v>
      </c>
      <c r="I245">
        <v>2019</v>
      </c>
      <c r="J245">
        <v>2855.0254908683701</v>
      </c>
      <c r="K245">
        <v>10717.614509131599</v>
      </c>
      <c r="L245">
        <v>64387.63</v>
      </c>
      <c r="M245">
        <v>0</v>
      </c>
      <c r="N245">
        <v>77960.27</v>
      </c>
      <c r="O245" t="s">
        <v>207</v>
      </c>
    </row>
    <row r="246" spans="1:15" x14ac:dyDescent="0.25">
      <c r="A246" t="s">
        <v>836</v>
      </c>
      <c r="B246" t="s">
        <v>837</v>
      </c>
      <c r="C246" t="s">
        <v>838</v>
      </c>
      <c r="D246" t="s">
        <v>110</v>
      </c>
      <c r="E246" s="2">
        <v>44236</v>
      </c>
      <c r="F246" t="s">
        <v>31</v>
      </c>
      <c r="G246">
        <v>5000000</v>
      </c>
      <c r="H246" s="2">
        <v>44366</v>
      </c>
      <c r="I246">
        <v>2021</v>
      </c>
      <c r="J246">
        <v>5460.7580327674796</v>
      </c>
      <c r="K246">
        <v>13322.871967232501</v>
      </c>
      <c r="L246">
        <v>101809.36</v>
      </c>
      <c r="M246">
        <v>0</v>
      </c>
      <c r="N246">
        <v>120592.99</v>
      </c>
      <c r="O246" t="s">
        <v>164</v>
      </c>
    </row>
    <row r="247" spans="1:15" x14ac:dyDescent="0.25">
      <c r="A247" t="s">
        <v>839</v>
      </c>
      <c r="B247" t="s">
        <v>840</v>
      </c>
      <c r="C247" t="s">
        <v>841</v>
      </c>
      <c r="D247" t="s">
        <v>110</v>
      </c>
      <c r="E247" s="2">
        <v>43384</v>
      </c>
      <c r="F247" t="s">
        <v>12</v>
      </c>
      <c r="G247">
        <v>3000000</v>
      </c>
      <c r="H247" s="2">
        <v>43625</v>
      </c>
      <c r="I247">
        <v>2019</v>
      </c>
      <c r="J247">
        <v>4654.6498417586099</v>
      </c>
      <c r="K247">
        <v>18577.350158241399</v>
      </c>
      <c r="L247">
        <v>143076.96</v>
      </c>
      <c r="M247">
        <v>0</v>
      </c>
      <c r="N247">
        <v>166308.96</v>
      </c>
      <c r="O247" t="s">
        <v>193</v>
      </c>
    </row>
    <row r="248" spans="1:15" x14ac:dyDescent="0.25">
      <c r="A248" t="s">
        <v>842</v>
      </c>
      <c r="B248" t="s">
        <v>843</v>
      </c>
      <c r="C248" t="s">
        <v>844</v>
      </c>
      <c r="D248" t="s">
        <v>110</v>
      </c>
      <c r="E248" s="2">
        <v>44271</v>
      </c>
      <c r="F248" t="s">
        <v>50</v>
      </c>
      <c r="G248">
        <v>3000000</v>
      </c>
      <c r="H248" s="2">
        <v>44386</v>
      </c>
      <c r="I248">
        <v>2021</v>
      </c>
      <c r="J248">
        <v>5257.7213540167704</v>
      </c>
      <c r="K248">
        <v>17840.968645983201</v>
      </c>
      <c r="L248">
        <v>89999.33</v>
      </c>
      <c r="M248">
        <v>0</v>
      </c>
      <c r="N248">
        <v>113098.02</v>
      </c>
      <c r="O248" t="s">
        <v>111</v>
      </c>
    </row>
    <row r="249" spans="1:15" x14ac:dyDescent="0.25">
      <c r="A249" t="s">
        <v>845</v>
      </c>
      <c r="B249" t="s">
        <v>846</v>
      </c>
      <c r="C249" t="s">
        <v>847</v>
      </c>
      <c r="D249" t="s">
        <v>110</v>
      </c>
      <c r="E249" s="2">
        <v>44335</v>
      </c>
      <c r="F249" t="s">
        <v>30</v>
      </c>
      <c r="G249">
        <v>4000000</v>
      </c>
      <c r="H249" s="2">
        <v>44409</v>
      </c>
      <c r="I249">
        <v>2021</v>
      </c>
      <c r="J249">
        <v>8194.6813526573205</v>
      </c>
      <c r="K249">
        <v>27708.408647342701</v>
      </c>
      <c r="L249">
        <v>270333.44</v>
      </c>
      <c r="M249">
        <v>0</v>
      </c>
      <c r="N249">
        <v>306236.53000000003</v>
      </c>
      <c r="O249" t="s">
        <v>343</v>
      </c>
    </row>
    <row r="250" spans="1:15" x14ac:dyDescent="0.25">
      <c r="A250" t="s">
        <v>848</v>
      </c>
      <c r="B250" t="s">
        <v>849</v>
      </c>
      <c r="C250" t="s">
        <v>850</v>
      </c>
      <c r="D250" t="s">
        <v>110</v>
      </c>
      <c r="E250" s="2">
        <v>44148</v>
      </c>
      <c r="F250" t="s">
        <v>54</v>
      </c>
      <c r="G250">
        <v>2000000</v>
      </c>
      <c r="H250" s="2">
        <v>44386</v>
      </c>
      <c r="I250">
        <v>2021</v>
      </c>
      <c r="J250">
        <v>13547.4657072356</v>
      </c>
      <c r="K250">
        <v>31895.944292764401</v>
      </c>
      <c r="L250">
        <v>260584.05</v>
      </c>
      <c r="M250">
        <v>0</v>
      </c>
      <c r="N250">
        <v>306027.46000000002</v>
      </c>
      <c r="O250" t="s">
        <v>127</v>
      </c>
    </row>
    <row r="251" spans="1:15" x14ac:dyDescent="0.25">
      <c r="A251" t="s">
        <v>851</v>
      </c>
      <c r="B251" t="s">
        <v>852</v>
      </c>
      <c r="C251" t="s">
        <v>853</v>
      </c>
      <c r="D251" t="s">
        <v>110</v>
      </c>
      <c r="E251" s="2">
        <v>44334</v>
      </c>
      <c r="F251" t="s">
        <v>11</v>
      </c>
      <c r="G251">
        <v>1000000</v>
      </c>
      <c r="H251" s="2">
        <v>44405</v>
      </c>
      <c r="I251">
        <v>2021</v>
      </c>
      <c r="J251">
        <v>8247.2757818586597</v>
      </c>
      <c r="K251">
        <v>29433.6442181413</v>
      </c>
      <c r="L251">
        <v>155887.63</v>
      </c>
      <c r="M251">
        <v>0</v>
      </c>
      <c r="N251">
        <v>193568.55</v>
      </c>
      <c r="O251" t="s">
        <v>211</v>
      </c>
    </row>
    <row r="252" spans="1:15" x14ac:dyDescent="0.25">
      <c r="A252" t="s">
        <v>854</v>
      </c>
      <c r="B252" t="s">
        <v>855</v>
      </c>
      <c r="C252" t="s">
        <v>856</v>
      </c>
      <c r="D252" t="s">
        <v>110</v>
      </c>
      <c r="E252" s="2">
        <v>44268</v>
      </c>
      <c r="F252" t="s">
        <v>17</v>
      </c>
      <c r="G252">
        <v>5000000</v>
      </c>
      <c r="H252" s="2">
        <v>44405</v>
      </c>
      <c r="I252">
        <v>2021</v>
      </c>
      <c r="J252">
        <v>6936.8994945998802</v>
      </c>
      <c r="K252">
        <v>20675.980505400101</v>
      </c>
      <c r="L252">
        <v>152473.59</v>
      </c>
      <c r="M252">
        <v>0</v>
      </c>
      <c r="N252">
        <v>180086.47</v>
      </c>
      <c r="O252" t="s">
        <v>211</v>
      </c>
    </row>
    <row r="253" spans="1:15" x14ac:dyDescent="0.25">
      <c r="A253" t="s">
        <v>857</v>
      </c>
      <c r="B253" t="s">
        <v>858</v>
      </c>
      <c r="C253" t="s">
        <v>859</v>
      </c>
      <c r="D253" t="s">
        <v>110</v>
      </c>
      <c r="E253" s="2">
        <v>44066</v>
      </c>
      <c r="F253" t="s">
        <v>41</v>
      </c>
      <c r="G253">
        <v>1000000</v>
      </c>
      <c r="H253" s="2">
        <v>44413</v>
      </c>
      <c r="I253">
        <v>2021</v>
      </c>
      <c r="J253">
        <v>8744.7194265186899</v>
      </c>
      <c r="K253">
        <v>30471.780573481301</v>
      </c>
      <c r="L253">
        <v>145230.21</v>
      </c>
      <c r="M253">
        <v>0</v>
      </c>
      <c r="N253">
        <v>184446.71</v>
      </c>
      <c r="O253" t="s">
        <v>193</v>
      </c>
    </row>
    <row r="254" spans="1:15" x14ac:dyDescent="0.25">
      <c r="A254" t="s">
        <v>860</v>
      </c>
      <c r="B254" t="s">
        <v>861</v>
      </c>
      <c r="C254" t="s">
        <v>862</v>
      </c>
      <c r="D254" t="s">
        <v>110</v>
      </c>
      <c r="E254" s="2">
        <v>44141</v>
      </c>
      <c r="F254" t="s">
        <v>50</v>
      </c>
      <c r="G254">
        <v>3000000</v>
      </c>
      <c r="H254" s="2">
        <v>44291</v>
      </c>
      <c r="I254">
        <v>2021</v>
      </c>
      <c r="J254">
        <v>3410.5901939109199</v>
      </c>
      <c r="K254">
        <v>9655.6698060890794</v>
      </c>
      <c r="L254">
        <v>56057.11</v>
      </c>
      <c r="M254">
        <v>0</v>
      </c>
      <c r="N254">
        <v>69123.37</v>
      </c>
      <c r="O254" t="s">
        <v>157</v>
      </c>
    </row>
    <row r="255" spans="1:15" x14ac:dyDescent="0.25">
      <c r="A255" t="s">
        <v>863</v>
      </c>
      <c r="B255" t="s">
        <v>864</v>
      </c>
      <c r="C255" t="s">
        <v>865</v>
      </c>
      <c r="D255" t="s">
        <v>110</v>
      </c>
      <c r="E255" s="2">
        <v>44249</v>
      </c>
      <c r="F255" t="s">
        <v>50</v>
      </c>
      <c r="G255">
        <v>5000000</v>
      </c>
      <c r="H255" s="2">
        <v>44427</v>
      </c>
      <c r="I255">
        <v>2021</v>
      </c>
      <c r="J255">
        <v>4469.0501389577203</v>
      </c>
      <c r="K255">
        <v>17000.889861042298</v>
      </c>
      <c r="L255">
        <v>124277.29</v>
      </c>
      <c r="M255">
        <v>0</v>
      </c>
      <c r="N255">
        <v>145747.23000000001</v>
      </c>
      <c r="O255" t="s">
        <v>186</v>
      </c>
    </row>
    <row r="256" spans="1:15" x14ac:dyDescent="0.25">
      <c r="A256" t="s">
        <v>866</v>
      </c>
      <c r="B256" t="s">
        <v>867</v>
      </c>
      <c r="C256" t="s">
        <v>868</v>
      </c>
      <c r="D256" t="s">
        <v>110</v>
      </c>
      <c r="E256" s="2">
        <v>44091</v>
      </c>
      <c r="F256" t="s">
        <v>12</v>
      </c>
      <c r="G256">
        <v>2000000</v>
      </c>
      <c r="H256" s="2">
        <v>44429</v>
      </c>
      <c r="I256">
        <v>2021</v>
      </c>
      <c r="J256">
        <v>4209.2134897251099</v>
      </c>
      <c r="K256">
        <v>12894.996510274899</v>
      </c>
      <c r="L256">
        <v>68340.990000000005</v>
      </c>
      <c r="M256">
        <v>0</v>
      </c>
      <c r="N256">
        <v>85445.2</v>
      </c>
      <c r="O256" t="s">
        <v>207</v>
      </c>
    </row>
    <row r="257" spans="1:15" x14ac:dyDescent="0.25">
      <c r="A257" t="s">
        <v>869</v>
      </c>
      <c r="B257" t="s">
        <v>870</v>
      </c>
      <c r="C257" t="s">
        <v>871</v>
      </c>
      <c r="D257" t="s">
        <v>110</v>
      </c>
      <c r="E257" s="2">
        <v>44092</v>
      </c>
      <c r="F257" t="s">
        <v>12</v>
      </c>
      <c r="G257">
        <v>5000000</v>
      </c>
      <c r="H257" s="2">
        <v>44443</v>
      </c>
      <c r="I257">
        <v>2021</v>
      </c>
      <c r="J257">
        <v>8117.92675756056</v>
      </c>
      <c r="K257">
        <v>27020.183242439402</v>
      </c>
      <c r="L257">
        <v>168076.72</v>
      </c>
      <c r="M257">
        <v>0</v>
      </c>
      <c r="N257">
        <v>203214.83</v>
      </c>
      <c r="O257" t="s">
        <v>168</v>
      </c>
    </row>
    <row r="258" spans="1:15" x14ac:dyDescent="0.25">
      <c r="A258" t="s">
        <v>872</v>
      </c>
      <c r="B258" t="s">
        <v>873</v>
      </c>
      <c r="C258" t="s">
        <v>384</v>
      </c>
      <c r="D258" t="s">
        <v>110</v>
      </c>
      <c r="E258" s="2">
        <v>44344</v>
      </c>
      <c r="F258" t="s">
        <v>21</v>
      </c>
      <c r="G258">
        <v>10000000</v>
      </c>
      <c r="H258" s="2">
        <v>44390</v>
      </c>
      <c r="I258">
        <v>2021</v>
      </c>
      <c r="J258">
        <v>40376.539621940799</v>
      </c>
      <c r="K258">
        <v>127103.540378059</v>
      </c>
      <c r="L258">
        <v>834679.61</v>
      </c>
      <c r="M258">
        <v>0</v>
      </c>
      <c r="N258">
        <v>1002159.69</v>
      </c>
      <c r="O258" t="s">
        <v>143</v>
      </c>
    </row>
    <row r="259" spans="1:15" x14ac:dyDescent="0.25">
      <c r="A259" t="s">
        <v>874</v>
      </c>
      <c r="B259" t="s">
        <v>875</v>
      </c>
      <c r="C259" t="s">
        <v>876</v>
      </c>
      <c r="D259" t="s">
        <v>110</v>
      </c>
      <c r="E259" s="2">
        <v>44164</v>
      </c>
      <c r="F259" t="s">
        <v>27</v>
      </c>
      <c r="G259">
        <v>2000000</v>
      </c>
      <c r="H259" s="2">
        <v>44328</v>
      </c>
      <c r="I259">
        <v>2021</v>
      </c>
      <c r="J259">
        <v>20733.435820932998</v>
      </c>
      <c r="K259">
        <v>75194.284179067006</v>
      </c>
      <c r="L259">
        <v>540309.43999999994</v>
      </c>
      <c r="M259">
        <v>0</v>
      </c>
      <c r="N259">
        <v>636237.16</v>
      </c>
      <c r="O259" t="s">
        <v>115</v>
      </c>
    </row>
    <row r="260" spans="1:15" x14ac:dyDescent="0.25">
      <c r="A260" t="s">
        <v>877</v>
      </c>
      <c r="B260" t="s">
        <v>878</v>
      </c>
      <c r="C260" t="s">
        <v>879</v>
      </c>
      <c r="D260" t="s">
        <v>110</v>
      </c>
      <c r="E260" s="2">
        <v>44364</v>
      </c>
      <c r="F260" t="s">
        <v>50</v>
      </c>
      <c r="G260">
        <v>2000000</v>
      </c>
      <c r="H260" s="2">
        <v>44431</v>
      </c>
      <c r="I260">
        <v>2021</v>
      </c>
      <c r="J260">
        <v>4136.77326539557</v>
      </c>
      <c r="K260">
        <v>13612.7867346044</v>
      </c>
      <c r="L260">
        <v>62558.17</v>
      </c>
      <c r="M260">
        <v>0</v>
      </c>
      <c r="N260">
        <v>80307.73</v>
      </c>
      <c r="O260" t="s">
        <v>150</v>
      </c>
    </row>
    <row r="261" spans="1:15" x14ac:dyDescent="0.25">
      <c r="A261" t="s">
        <v>880</v>
      </c>
      <c r="B261" t="s">
        <v>881</v>
      </c>
      <c r="C261" t="s">
        <v>882</v>
      </c>
      <c r="D261" t="s">
        <v>110</v>
      </c>
      <c r="E261" s="2">
        <v>44319</v>
      </c>
      <c r="F261" t="s">
        <v>52</v>
      </c>
      <c r="G261">
        <v>10000000</v>
      </c>
      <c r="H261" s="2">
        <v>44434</v>
      </c>
      <c r="I261">
        <v>2021</v>
      </c>
      <c r="J261">
        <v>15824.512194127001</v>
      </c>
      <c r="K261">
        <v>46768.357805872998</v>
      </c>
      <c r="L261">
        <v>264834.09999999998</v>
      </c>
      <c r="M261">
        <v>0</v>
      </c>
      <c r="N261">
        <v>327426.96999999997</v>
      </c>
      <c r="O261" t="s">
        <v>343</v>
      </c>
    </row>
    <row r="262" spans="1:15" x14ac:dyDescent="0.25">
      <c r="A262" t="s">
        <v>883</v>
      </c>
      <c r="B262" t="s">
        <v>884</v>
      </c>
      <c r="C262" t="s">
        <v>885</v>
      </c>
      <c r="D262" t="s">
        <v>110</v>
      </c>
      <c r="E262" s="2">
        <v>44156</v>
      </c>
      <c r="F262" t="s">
        <v>50</v>
      </c>
      <c r="G262">
        <v>2000000</v>
      </c>
      <c r="H262" s="2">
        <v>44421</v>
      </c>
      <c r="I262">
        <v>2021</v>
      </c>
      <c r="J262">
        <v>2329.1016313240402</v>
      </c>
      <c r="K262">
        <v>8521.8283686759605</v>
      </c>
      <c r="L262">
        <v>74004.44</v>
      </c>
      <c r="M262">
        <v>0</v>
      </c>
      <c r="N262">
        <v>84855.37</v>
      </c>
      <c r="O262" t="s">
        <v>197</v>
      </c>
    </row>
    <row r="263" spans="1:15" x14ac:dyDescent="0.25">
      <c r="A263" t="s">
        <v>886</v>
      </c>
      <c r="B263" t="s">
        <v>887</v>
      </c>
      <c r="C263" t="s">
        <v>888</v>
      </c>
      <c r="D263" t="s">
        <v>110</v>
      </c>
      <c r="E263" s="2">
        <v>44207</v>
      </c>
      <c r="F263" t="s">
        <v>25</v>
      </c>
      <c r="G263">
        <v>1000000</v>
      </c>
      <c r="H263" s="2">
        <v>44349</v>
      </c>
      <c r="I263">
        <v>2021</v>
      </c>
      <c r="J263">
        <v>4867.3787853559797</v>
      </c>
      <c r="K263">
        <v>18777.701214643999</v>
      </c>
      <c r="L263">
        <v>150529.07999999999</v>
      </c>
      <c r="M263">
        <v>0</v>
      </c>
      <c r="N263">
        <v>174174.16</v>
      </c>
      <c r="O263" t="s">
        <v>211</v>
      </c>
    </row>
    <row r="264" spans="1:15" x14ac:dyDescent="0.25">
      <c r="A264" t="s">
        <v>889</v>
      </c>
      <c r="B264" t="s">
        <v>890</v>
      </c>
      <c r="C264" t="s">
        <v>891</v>
      </c>
      <c r="D264" t="s">
        <v>110</v>
      </c>
      <c r="E264" s="2">
        <v>44175</v>
      </c>
      <c r="F264" t="s">
        <v>25</v>
      </c>
      <c r="G264">
        <v>1000000</v>
      </c>
      <c r="H264" s="2">
        <v>44470</v>
      </c>
      <c r="I264">
        <v>2021</v>
      </c>
      <c r="J264">
        <v>2723.0427719106401</v>
      </c>
      <c r="K264">
        <v>10665.527228089401</v>
      </c>
      <c r="L264">
        <v>58479.15</v>
      </c>
      <c r="M264">
        <v>0</v>
      </c>
      <c r="N264">
        <v>71867.72</v>
      </c>
      <c r="O264" t="s">
        <v>157</v>
      </c>
    </row>
    <row r="265" spans="1:15" x14ac:dyDescent="0.25">
      <c r="A265" t="s">
        <v>892</v>
      </c>
      <c r="B265" t="s">
        <v>893</v>
      </c>
      <c r="C265" t="s">
        <v>894</v>
      </c>
      <c r="D265" t="s">
        <v>110</v>
      </c>
      <c r="E265" s="2">
        <v>44269</v>
      </c>
      <c r="F265" t="s">
        <v>26</v>
      </c>
      <c r="G265">
        <v>4000000</v>
      </c>
      <c r="H265" s="2">
        <v>44473</v>
      </c>
      <c r="I265">
        <v>2021</v>
      </c>
      <c r="J265">
        <v>28074.680522767401</v>
      </c>
      <c r="K265">
        <v>78588.389477232602</v>
      </c>
      <c r="L265">
        <v>500644.04</v>
      </c>
      <c r="M265">
        <v>0</v>
      </c>
      <c r="N265">
        <v>607307.11</v>
      </c>
      <c r="O265" t="s">
        <v>179</v>
      </c>
    </row>
    <row r="266" spans="1:15" x14ac:dyDescent="0.25">
      <c r="A266" t="s">
        <v>895</v>
      </c>
      <c r="B266" t="s">
        <v>896</v>
      </c>
      <c r="C266" t="s">
        <v>897</v>
      </c>
      <c r="D266" t="s">
        <v>110</v>
      </c>
      <c r="E266" s="2">
        <v>44185</v>
      </c>
      <c r="F266" t="s">
        <v>41</v>
      </c>
      <c r="G266">
        <v>2000000</v>
      </c>
      <c r="H266" s="2">
        <v>44455</v>
      </c>
      <c r="I266">
        <v>2021</v>
      </c>
      <c r="J266">
        <v>2280.4729264319799</v>
      </c>
      <c r="K266">
        <v>7349.4670735680202</v>
      </c>
      <c r="L266">
        <v>67937.119999999995</v>
      </c>
      <c r="M266">
        <v>0</v>
      </c>
      <c r="N266">
        <v>77567.06</v>
      </c>
      <c r="O266" t="s">
        <v>207</v>
      </c>
    </row>
    <row r="267" spans="1:15" x14ac:dyDescent="0.25">
      <c r="A267" t="s">
        <v>898</v>
      </c>
      <c r="B267" t="s">
        <v>899</v>
      </c>
      <c r="C267" t="s">
        <v>900</v>
      </c>
      <c r="D267" t="s">
        <v>110</v>
      </c>
      <c r="E267" s="2">
        <v>44347</v>
      </c>
      <c r="F267" t="s">
        <v>26</v>
      </c>
      <c r="G267">
        <v>10000000</v>
      </c>
      <c r="H267" s="2">
        <v>44447</v>
      </c>
      <c r="I267">
        <v>2021</v>
      </c>
      <c r="J267">
        <v>95064.921656451799</v>
      </c>
      <c r="K267">
        <v>369829.30834354798</v>
      </c>
      <c r="L267">
        <v>2038159.16</v>
      </c>
      <c r="M267">
        <v>0</v>
      </c>
      <c r="N267">
        <v>2503053.39</v>
      </c>
      <c r="O267" t="s">
        <v>353</v>
      </c>
    </row>
    <row r="268" spans="1:15" x14ac:dyDescent="0.25">
      <c r="A268" t="s">
        <v>901</v>
      </c>
      <c r="B268" t="s">
        <v>902</v>
      </c>
      <c r="C268" t="s">
        <v>903</v>
      </c>
      <c r="D268" t="s">
        <v>110</v>
      </c>
      <c r="E268" s="2">
        <v>44225</v>
      </c>
      <c r="F268" t="s">
        <v>34</v>
      </c>
      <c r="G268">
        <v>2000000</v>
      </c>
      <c r="H268" s="2">
        <v>44460</v>
      </c>
      <c r="I268">
        <v>2021</v>
      </c>
      <c r="J268">
        <v>3403.9635833038001</v>
      </c>
      <c r="K268">
        <v>9702.6464166961996</v>
      </c>
      <c r="L268">
        <v>63927.97</v>
      </c>
      <c r="M268">
        <v>0</v>
      </c>
      <c r="N268">
        <v>77034.58</v>
      </c>
      <c r="O268" t="s">
        <v>150</v>
      </c>
    </row>
    <row r="269" spans="1:15" x14ac:dyDescent="0.25">
      <c r="A269" t="s">
        <v>904</v>
      </c>
      <c r="B269" t="s">
        <v>905</v>
      </c>
      <c r="C269" t="s">
        <v>906</v>
      </c>
      <c r="D269" t="s">
        <v>110</v>
      </c>
      <c r="E269" s="2">
        <v>44227</v>
      </c>
      <c r="F269" t="s">
        <v>45</v>
      </c>
      <c r="G269">
        <v>1000000</v>
      </c>
      <c r="H269" s="2">
        <v>44492</v>
      </c>
      <c r="I269">
        <v>2021</v>
      </c>
      <c r="J269">
        <v>28943.711968473799</v>
      </c>
      <c r="K269">
        <v>72033.098031526199</v>
      </c>
      <c r="L269">
        <v>480526.85</v>
      </c>
      <c r="M269">
        <v>0</v>
      </c>
      <c r="N269">
        <v>581503.66</v>
      </c>
      <c r="O269" t="s">
        <v>179</v>
      </c>
    </row>
    <row r="270" spans="1:15" x14ac:dyDescent="0.25">
      <c r="A270" t="s">
        <v>907</v>
      </c>
      <c r="B270" t="s">
        <v>908</v>
      </c>
      <c r="C270" t="s">
        <v>909</v>
      </c>
      <c r="D270" t="s">
        <v>110</v>
      </c>
      <c r="E270" s="2">
        <v>44470</v>
      </c>
      <c r="F270" t="s">
        <v>13</v>
      </c>
      <c r="G270">
        <v>5000000</v>
      </c>
      <c r="H270" s="2">
        <v>44504</v>
      </c>
      <c r="I270">
        <v>2021</v>
      </c>
      <c r="J270">
        <v>13626.7815725043</v>
      </c>
      <c r="K270">
        <v>32517.228427495698</v>
      </c>
      <c r="L270">
        <v>281032.09000000003</v>
      </c>
      <c r="M270">
        <v>0</v>
      </c>
      <c r="N270">
        <v>327176.09999999998</v>
      </c>
      <c r="O270" t="s">
        <v>343</v>
      </c>
    </row>
    <row r="271" spans="1:15" x14ac:dyDescent="0.25">
      <c r="A271" t="s">
        <v>910</v>
      </c>
      <c r="B271" t="s">
        <v>782</v>
      </c>
      <c r="C271" t="s">
        <v>783</v>
      </c>
      <c r="D271" t="s">
        <v>110</v>
      </c>
      <c r="E271" s="2">
        <v>44223</v>
      </c>
      <c r="F271" t="s">
        <v>38</v>
      </c>
      <c r="G271">
        <v>1000000</v>
      </c>
      <c r="H271" s="2">
        <v>44384</v>
      </c>
      <c r="I271">
        <v>2021</v>
      </c>
      <c r="J271">
        <v>5406.5966943192298</v>
      </c>
      <c r="K271">
        <v>17799.103305680801</v>
      </c>
      <c r="L271">
        <v>81458.710000000006</v>
      </c>
      <c r="M271">
        <v>0</v>
      </c>
      <c r="N271">
        <v>104664.41</v>
      </c>
      <c r="O271" t="s">
        <v>119</v>
      </c>
    </row>
    <row r="272" spans="1:15" x14ac:dyDescent="0.25">
      <c r="A272" t="s">
        <v>911</v>
      </c>
      <c r="B272" t="s">
        <v>912</v>
      </c>
      <c r="C272" t="s">
        <v>913</v>
      </c>
      <c r="D272" t="s">
        <v>110</v>
      </c>
      <c r="E272" s="2">
        <v>44413</v>
      </c>
      <c r="F272" t="s">
        <v>57</v>
      </c>
      <c r="G272">
        <v>5000000</v>
      </c>
      <c r="H272" s="2">
        <v>44441</v>
      </c>
      <c r="I272">
        <v>2021</v>
      </c>
      <c r="J272">
        <v>13618.045668766001</v>
      </c>
      <c r="K272">
        <v>35747.594331234002</v>
      </c>
      <c r="L272">
        <v>296846.90000000002</v>
      </c>
      <c r="M272">
        <v>0</v>
      </c>
      <c r="N272">
        <v>346212.54</v>
      </c>
      <c r="O272" t="s">
        <v>343</v>
      </c>
    </row>
    <row r="273" spans="1:15" x14ac:dyDescent="0.25">
      <c r="A273" t="s">
        <v>914</v>
      </c>
      <c r="B273" t="s">
        <v>915</v>
      </c>
      <c r="C273" t="s">
        <v>916</v>
      </c>
      <c r="D273" t="s">
        <v>110</v>
      </c>
      <c r="E273" s="2">
        <v>44265</v>
      </c>
      <c r="F273" t="s">
        <v>45</v>
      </c>
      <c r="G273">
        <v>1000000</v>
      </c>
      <c r="H273" s="2">
        <v>44502</v>
      </c>
      <c r="I273">
        <v>2021</v>
      </c>
      <c r="J273">
        <v>5202.2207464878702</v>
      </c>
      <c r="K273">
        <v>20681.199253512099</v>
      </c>
      <c r="L273">
        <v>93003.24</v>
      </c>
      <c r="M273">
        <v>0</v>
      </c>
      <c r="N273">
        <v>118886.66</v>
      </c>
      <c r="O273" t="s">
        <v>111</v>
      </c>
    </row>
    <row r="274" spans="1:15" x14ac:dyDescent="0.25">
      <c r="A274" t="s">
        <v>917</v>
      </c>
      <c r="B274" t="s">
        <v>918</v>
      </c>
      <c r="C274" t="s">
        <v>919</v>
      </c>
      <c r="D274" t="s">
        <v>110</v>
      </c>
      <c r="E274" s="2">
        <v>44231</v>
      </c>
      <c r="F274" t="s">
        <v>41</v>
      </c>
      <c r="G274">
        <v>2000000</v>
      </c>
      <c r="H274" s="2">
        <v>44487</v>
      </c>
      <c r="I274">
        <v>2021</v>
      </c>
      <c r="J274">
        <v>15552.898373718101</v>
      </c>
      <c r="K274">
        <v>58886.151626282001</v>
      </c>
      <c r="L274">
        <v>259994.89</v>
      </c>
      <c r="M274">
        <v>0</v>
      </c>
      <c r="N274">
        <v>334433.94</v>
      </c>
      <c r="O274" t="s">
        <v>127</v>
      </c>
    </row>
    <row r="275" spans="1:15" x14ac:dyDescent="0.25">
      <c r="A275" t="s">
        <v>920</v>
      </c>
      <c r="B275" t="s">
        <v>921</v>
      </c>
      <c r="C275" t="s">
        <v>922</v>
      </c>
      <c r="D275" t="s">
        <v>110</v>
      </c>
      <c r="E275" s="2">
        <v>44137</v>
      </c>
      <c r="F275" t="s">
        <v>21</v>
      </c>
      <c r="G275">
        <v>4000000</v>
      </c>
      <c r="H275" s="2">
        <v>44431</v>
      </c>
      <c r="I275">
        <v>2021</v>
      </c>
      <c r="J275">
        <v>11464.040796486899</v>
      </c>
      <c r="K275">
        <v>31872.459203513099</v>
      </c>
      <c r="L275">
        <v>401699.37</v>
      </c>
      <c r="M275">
        <v>0</v>
      </c>
      <c r="N275">
        <v>445035.87</v>
      </c>
      <c r="O275" t="s">
        <v>431</v>
      </c>
    </row>
    <row r="276" spans="1:15" x14ac:dyDescent="0.25">
      <c r="A276" t="s">
        <v>923</v>
      </c>
      <c r="B276" t="s">
        <v>739</v>
      </c>
      <c r="C276" t="s">
        <v>740</v>
      </c>
      <c r="D276" t="s">
        <v>110</v>
      </c>
      <c r="E276" s="2">
        <v>44203</v>
      </c>
      <c r="F276" t="s">
        <v>34</v>
      </c>
      <c r="G276">
        <v>5000000</v>
      </c>
      <c r="H276" s="2">
        <v>44522</v>
      </c>
      <c r="I276">
        <v>2021</v>
      </c>
      <c r="J276">
        <v>60493.189170255799</v>
      </c>
      <c r="K276">
        <v>161839.36082974399</v>
      </c>
      <c r="L276">
        <v>1224246.33</v>
      </c>
      <c r="M276">
        <v>0</v>
      </c>
      <c r="N276">
        <v>1446578.88</v>
      </c>
      <c r="O276" t="s">
        <v>131</v>
      </c>
    </row>
    <row r="277" spans="1:15" x14ac:dyDescent="0.25">
      <c r="A277" t="s">
        <v>924</v>
      </c>
      <c r="B277" t="s">
        <v>925</v>
      </c>
      <c r="C277" t="s">
        <v>926</v>
      </c>
      <c r="D277" t="s">
        <v>734</v>
      </c>
      <c r="E277" s="2">
        <v>44249</v>
      </c>
      <c r="F277" t="s">
        <v>11</v>
      </c>
      <c r="G277">
        <v>3000000</v>
      </c>
      <c r="H277" s="2">
        <v>44493</v>
      </c>
      <c r="I277">
        <v>2021</v>
      </c>
      <c r="J277">
        <v>8461.1402639547796</v>
      </c>
      <c r="K277">
        <v>27229.1597360452</v>
      </c>
      <c r="L277">
        <v>127928.62</v>
      </c>
      <c r="M277">
        <v>55315.32</v>
      </c>
      <c r="N277">
        <v>218934.24</v>
      </c>
      <c r="O277" t="s">
        <v>168</v>
      </c>
    </row>
    <row r="278" spans="1:15" x14ac:dyDescent="0.25">
      <c r="A278" t="s">
        <v>927</v>
      </c>
      <c r="B278" t="s">
        <v>915</v>
      </c>
      <c r="C278" t="s">
        <v>916</v>
      </c>
      <c r="D278" t="s">
        <v>110</v>
      </c>
      <c r="E278" s="2">
        <v>44265</v>
      </c>
      <c r="F278" t="s">
        <v>45</v>
      </c>
      <c r="G278">
        <v>1000000</v>
      </c>
      <c r="H278" s="2">
        <v>44514</v>
      </c>
      <c r="I278">
        <v>2021</v>
      </c>
      <c r="J278">
        <v>6797.2051613906497</v>
      </c>
      <c r="K278">
        <v>25030.534838609401</v>
      </c>
      <c r="L278">
        <v>160585.26</v>
      </c>
      <c r="M278">
        <v>0</v>
      </c>
      <c r="N278">
        <v>192413</v>
      </c>
      <c r="O278" t="s">
        <v>211</v>
      </c>
    </row>
    <row r="279" spans="1:15" x14ac:dyDescent="0.25">
      <c r="A279" t="s">
        <v>928</v>
      </c>
      <c r="B279" t="s">
        <v>929</v>
      </c>
      <c r="C279" t="s">
        <v>930</v>
      </c>
      <c r="D279" t="s">
        <v>110</v>
      </c>
      <c r="E279" s="2">
        <v>44165</v>
      </c>
      <c r="F279" t="s">
        <v>50</v>
      </c>
      <c r="G279">
        <v>3000000</v>
      </c>
      <c r="H279" s="2">
        <v>44490</v>
      </c>
      <c r="I279">
        <v>2021</v>
      </c>
      <c r="J279">
        <v>6734.4181917983697</v>
      </c>
      <c r="K279">
        <v>23851.911808201599</v>
      </c>
      <c r="L279">
        <v>124767.86</v>
      </c>
      <c r="M279">
        <v>0</v>
      </c>
      <c r="N279">
        <v>155354.19</v>
      </c>
      <c r="O279" t="s">
        <v>186</v>
      </c>
    </row>
    <row r="280" spans="1:15" x14ac:dyDescent="0.25">
      <c r="A280" t="s">
        <v>931</v>
      </c>
      <c r="B280" t="s">
        <v>932</v>
      </c>
      <c r="C280" t="s">
        <v>933</v>
      </c>
      <c r="D280" t="s">
        <v>110</v>
      </c>
      <c r="E280" s="2">
        <v>44238</v>
      </c>
      <c r="F280" t="s">
        <v>39</v>
      </c>
      <c r="G280">
        <v>5000000</v>
      </c>
      <c r="H280" s="2">
        <v>44509</v>
      </c>
      <c r="I280">
        <v>2021</v>
      </c>
      <c r="J280">
        <v>7216.9775956753801</v>
      </c>
      <c r="K280">
        <v>18437.052404324601</v>
      </c>
      <c r="L280">
        <v>127896.62</v>
      </c>
      <c r="M280">
        <v>0</v>
      </c>
      <c r="N280">
        <v>153550.65</v>
      </c>
      <c r="O280" t="s">
        <v>123</v>
      </c>
    </row>
    <row r="281" spans="1:15" x14ac:dyDescent="0.25">
      <c r="A281" t="s">
        <v>934</v>
      </c>
      <c r="B281" t="s">
        <v>935</v>
      </c>
      <c r="C281" t="s">
        <v>936</v>
      </c>
      <c r="D281" t="s">
        <v>110</v>
      </c>
      <c r="E281" s="2">
        <v>44137</v>
      </c>
      <c r="F281" t="s">
        <v>39</v>
      </c>
      <c r="G281">
        <v>4000000</v>
      </c>
      <c r="H281" s="2">
        <v>44200</v>
      </c>
      <c r="I281">
        <v>2021</v>
      </c>
      <c r="J281">
        <v>4474.7928929180898</v>
      </c>
      <c r="K281">
        <v>13787.1271070819</v>
      </c>
      <c r="L281">
        <v>98115.32</v>
      </c>
      <c r="M281">
        <v>0</v>
      </c>
      <c r="N281">
        <v>116377.24</v>
      </c>
      <c r="O281" t="s">
        <v>164</v>
      </c>
    </row>
    <row r="282" spans="1:15" x14ac:dyDescent="0.25">
      <c r="A282" t="s">
        <v>937</v>
      </c>
      <c r="B282" t="s">
        <v>938</v>
      </c>
      <c r="C282" t="s">
        <v>939</v>
      </c>
      <c r="D282" t="s">
        <v>110</v>
      </c>
      <c r="E282" s="2">
        <v>44465</v>
      </c>
      <c r="F282" t="s">
        <v>52</v>
      </c>
      <c r="G282">
        <v>1000000</v>
      </c>
      <c r="H282" s="2">
        <v>44536</v>
      </c>
      <c r="I282">
        <v>2021</v>
      </c>
      <c r="J282">
        <v>23286.0440051068</v>
      </c>
      <c r="K282">
        <v>56906.585994893197</v>
      </c>
      <c r="L282">
        <v>445440.57</v>
      </c>
      <c r="M282">
        <v>0</v>
      </c>
      <c r="N282">
        <v>525633.19999999995</v>
      </c>
      <c r="O282" t="s">
        <v>179</v>
      </c>
    </row>
    <row r="283" spans="1:15" x14ac:dyDescent="0.25">
      <c r="A283" t="s">
        <v>940</v>
      </c>
      <c r="B283" t="s">
        <v>941</v>
      </c>
      <c r="C283" t="s">
        <v>942</v>
      </c>
      <c r="D283" t="s">
        <v>110</v>
      </c>
      <c r="E283" s="2">
        <v>44365</v>
      </c>
      <c r="F283" t="s">
        <v>29</v>
      </c>
      <c r="G283">
        <v>10000000</v>
      </c>
      <c r="H283" s="2">
        <v>44508</v>
      </c>
      <c r="I283">
        <v>2021</v>
      </c>
      <c r="J283">
        <v>22507.6138640063</v>
      </c>
      <c r="K283">
        <v>61340.366135993703</v>
      </c>
      <c r="L283">
        <v>396010.23</v>
      </c>
      <c r="M283">
        <v>0</v>
      </c>
      <c r="N283">
        <v>479858.21</v>
      </c>
      <c r="O283" t="s">
        <v>431</v>
      </c>
    </row>
    <row r="284" spans="1:15" x14ac:dyDescent="0.25">
      <c r="A284" t="s">
        <v>943</v>
      </c>
      <c r="B284" t="s">
        <v>944</v>
      </c>
      <c r="C284" t="s">
        <v>945</v>
      </c>
      <c r="D284" t="s">
        <v>110</v>
      </c>
      <c r="E284" s="2">
        <v>44501</v>
      </c>
      <c r="F284" t="s">
        <v>40</v>
      </c>
      <c r="G284">
        <v>2000000</v>
      </c>
      <c r="H284" s="2">
        <v>44536</v>
      </c>
      <c r="I284">
        <v>2021</v>
      </c>
      <c r="J284">
        <v>4077.3668668627301</v>
      </c>
      <c r="K284">
        <v>11079.3731331373</v>
      </c>
      <c r="L284">
        <v>75368.899999999994</v>
      </c>
      <c r="M284">
        <v>0</v>
      </c>
      <c r="N284">
        <v>90525.64</v>
      </c>
      <c r="O284" t="s">
        <v>197</v>
      </c>
    </row>
    <row r="285" spans="1:15" x14ac:dyDescent="0.25">
      <c r="A285" t="s">
        <v>946</v>
      </c>
      <c r="B285" t="s">
        <v>947</v>
      </c>
      <c r="C285" t="s">
        <v>948</v>
      </c>
      <c r="D285" t="s">
        <v>110</v>
      </c>
      <c r="E285" s="2">
        <v>43979</v>
      </c>
      <c r="F285" t="s">
        <v>36</v>
      </c>
      <c r="G285">
        <v>5000000</v>
      </c>
      <c r="H285" s="2">
        <v>44320</v>
      </c>
      <c r="I285">
        <v>2021</v>
      </c>
      <c r="J285">
        <v>3906.7953211998001</v>
      </c>
      <c r="K285">
        <v>10003.614678800201</v>
      </c>
      <c r="L285">
        <v>86647.95</v>
      </c>
      <c r="M285">
        <v>0</v>
      </c>
      <c r="N285">
        <v>100558.36</v>
      </c>
      <c r="O285" t="s">
        <v>119</v>
      </c>
    </row>
    <row r="286" spans="1:15" x14ac:dyDescent="0.25">
      <c r="A286" t="s">
        <v>949</v>
      </c>
      <c r="B286" t="s">
        <v>950</v>
      </c>
      <c r="C286" t="s">
        <v>951</v>
      </c>
      <c r="D286" t="s">
        <v>110</v>
      </c>
      <c r="E286" s="2">
        <v>44121</v>
      </c>
      <c r="F286" t="s">
        <v>12</v>
      </c>
      <c r="G286">
        <v>2000000</v>
      </c>
      <c r="H286" s="2">
        <v>44139</v>
      </c>
      <c r="I286">
        <v>2020</v>
      </c>
      <c r="J286">
        <v>7380.6701893276504</v>
      </c>
      <c r="K286">
        <v>18202.579810672301</v>
      </c>
      <c r="L286">
        <v>167726.79999999999</v>
      </c>
      <c r="M286">
        <v>0</v>
      </c>
      <c r="N286">
        <v>193310.05</v>
      </c>
      <c r="O286" t="s">
        <v>168</v>
      </c>
    </row>
    <row r="287" spans="1:15" x14ac:dyDescent="0.25">
      <c r="A287" t="s">
        <v>952</v>
      </c>
      <c r="B287" t="s">
        <v>953</v>
      </c>
      <c r="C287" t="s">
        <v>954</v>
      </c>
      <c r="D287" t="s">
        <v>110</v>
      </c>
      <c r="E287" s="2">
        <v>44512</v>
      </c>
      <c r="F287" t="s">
        <v>34</v>
      </c>
      <c r="G287">
        <v>5000000</v>
      </c>
      <c r="H287" s="2">
        <v>44527</v>
      </c>
      <c r="I287">
        <v>2021</v>
      </c>
      <c r="J287">
        <v>7244.9713056207702</v>
      </c>
      <c r="K287">
        <v>16953.3586943792</v>
      </c>
      <c r="L287">
        <v>90952.17</v>
      </c>
      <c r="M287">
        <v>0</v>
      </c>
      <c r="N287">
        <v>115150.5</v>
      </c>
      <c r="O287" t="s">
        <v>111</v>
      </c>
    </row>
    <row r="288" spans="1:15" x14ac:dyDescent="0.25">
      <c r="A288" t="s">
        <v>955</v>
      </c>
      <c r="B288" t="s">
        <v>956</v>
      </c>
      <c r="C288" t="s">
        <v>957</v>
      </c>
      <c r="D288" t="s">
        <v>110</v>
      </c>
      <c r="E288" s="2">
        <v>44570</v>
      </c>
      <c r="F288" t="s">
        <v>52</v>
      </c>
      <c r="G288">
        <v>3000000</v>
      </c>
      <c r="H288" s="2">
        <v>44580</v>
      </c>
      <c r="I288">
        <v>2022</v>
      </c>
      <c r="J288">
        <v>3060.64708805892</v>
      </c>
      <c r="K288">
        <v>11360.7229119411</v>
      </c>
      <c r="L288">
        <v>79786.84</v>
      </c>
      <c r="M288">
        <v>0</v>
      </c>
      <c r="N288">
        <v>94208.21</v>
      </c>
      <c r="O288" t="s">
        <v>240</v>
      </c>
    </row>
    <row r="289" spans="1:15" x14ac:dyDescent="0.25">
      <c r="A289" t="s">
        <v>958</v>
      </c>
      <c r="B289" t="s">
        <v>959</v>
      </c>
      <c r="C289" t="s">
        <v>960</v>
      </c>
      <c r="D289" t="s">
        <v>110</v>
      </c>
      <c r="E289" s="2">
        <v>44100</v>
      </c>
      <c r="F289" t="s">
        <v>41</v>
      </c>
      <c r="G289">
        <v>4000000</v>
      </c>
      <c r="H289" s="2">
        <v>44424</v>
      </c>
      <c r="I289">
        <v>2021</v>
      </c>
      <c r="J289">
        <v>26472.737448650001</v>
      </c>
      <c r="K289">
        <v>101830.79255134999</v>
      </c>
      <c r="L289">
        <v>856634.74</v>
      </c>
      <c r="M289">
        <v>0</v>
      </c>
      <c r="N289">
        <v>984938.27</v>
      </c>
      <c r="O289" t="s">
        <v>143</v>
      </c>
    </row>
    <row r="290" spans="1:15" x14ac:dyDescent="0.25">
      <c r="A290" t="s">
        <v>961</v>
      </c>
      <c r="B290" t="s">
        <v>962</v>
      </c>
      <c r="C290" t="s">
        <v>963</v>
      </c>
      <c r="D290" t="s">
        <v>110</v>
      </c>
      <c r="E290" s="2">
        <v>44481</v>
      </c>
      <c r="F290" t="s">
        <v>41</v>
      </c>
      <c r="G290">
        <v>5000000</v>
      </c>
      <c r="H290" s="2">
        <v>44577</v>
      </c>
      <c r="I290">
        <v>2022</v>
      </c>
      <c r="J290">
        <v>3028.2552419593899</v>
      </c>
      <c r="K290">
        <v>9705.7247580406092</v>
      </c>
      <c r="L290">
        <v>101988.63</v>
      </c>
      <c r="M290">
        <v>0</v>
      </c>
      <c r="N290">
        <v>114722.61</v>
      </c>
      <c r="O290" t="s">
        <v>164</v>
      </c>
    </row>
    <row r="291" spans="1:15" x14ac:dyDescent="0.25">
      <c r="A291" t="s">
        <v>964</v>
      </c>
      <c r="B291" t="s">
        <v>965</v>
      </c>
      <c r="C291" t="s">
        <v>966</v>
      </c>
      <c r="D291" t="s">
        <v>110</v>
      </c>
      <c r="E291" s="2">
        <v>44467</v>
      </c>
      <c r="F291" t="s">
        <v>45</v>
      </c>
      <c r="G291">
        <v>1000000</v>
      </c>
      <c r="H291" s="2">
        <v>44547</v>
      </c>
      <c r="I291">
        <v>2021</v>
      </c>
      <c r="J291">
        <v>2738.24897814511</v>
      </c>
      <c r="K291">
        <v>10014.651021854899</v>
      </c>
      <c r="L291">
        <v>51814.34</v>
      </c>
      <c r="M291">
        <v>0</v>
      </c>
      <c r="N291">
        <v>64567.24</v>
      </c>
      <c r="O291" t="s">
        <v>139</v>
      </c>
    </row>
    <row r="292" spans="1:15" x14ac:dyDescent="0.25">
      <c r="A292" t="s">
        <v>967</v>
      </c>
      <c r="B292" t="s">
        <v>968</v>
      </c>
      <c r="C292" t="s">
        <v>969</v>
      </c>
      <c r="D292" t="s">
        <v>110</v>
      </c>
      <c r="E292" s="2">
        <v>44271</v>
      </c>
      <c r="F292" t="s">
        <v>9</v>
      </c>
      <c r="G292">
        <v>10000000</v>
      </c>
      <c r="H292" s="2">
        <v>44589</v>
      </c>
      <c r="I292">
        <v>2022</v>
      </c>
      <c r="J292">
        <v>3912.7981123063901</v>
      </c>
      <c r="K292">
        <v>13949.831887693599</v>
      </c>
      <c r="L292">
        <v>68657.929999999993</v>
      </c>
      <c r="M292">
        <v>0</v>
      </c>
      <c r="N292">
        <v>86520.56</v>
      </c>
      <c r="O292" t="s">
        <v>207</v>
      </c>
    </row>
    <row r="293" spans="1:15" x14ac:dyDescent="0.25">
      <c r="A293" t="s">
        <v>970</v>
      </c>
      <c r="B293" t="s">
        <v>971</v>
      </c>
      <c r="C293" t="s">
        <v>972</v>
      </c>
      <c r="D293" t="s">
        <v>110</v>
      </c>
      <c r="E293" s="2">
        <v>44327</v>
      </c>
      <c r="F293" t="s">
        <v>21</v>
      </c>
      <c r="G293">
        <v>2000000</v>
      </c>
      <c r="H293" s="2">
        <v>44588</v>
      </c>
      <c r="I293">
        <v>2022</v>
      </c>
      <c r="J293">
        <v>20614.943916257602</v>
      </c>
      <c r="K293">
        <v>48207.336083742397</v>
      </c>
      <c r="L293">
        <v>323497.64</v>
      </c>
      <c r="M293">
        <v>0</v>
      </c>
      <c r="N293">
        <v>392319.92</v>
      </c>
      <c r="O293" t="s">
        <v>274</v>
      </c>
    </row>
    <row r="294" spans="1:15" x14ac:dyDescent="0.25">
      <c r="A294" t="s">
        <v>973</v>
      </c>
      <c r="B294" t="s">
        <v>974</v>
      </c>
      <c r="C294" t="s">
        <v>975</v>
      </c>
      <c r="D294" t="s">
        <v>110</v>
      </c>
      <c r="E294" s="2">
        <v>44296</v>
      </c>
      <c r="F294" t="s">
        <v>28</v>
      </c>
      <c r="G294">
        <v>3000000</v>
      </c>
      <c r="H294" s="2">
        <v>44541</v>
      </c>
      <c r="I294">
        <v>2021</v>
      </c>
      <c r="J294">
        <v>3449.6659516589598</v>
      </c>
      <c r="K294">
        <v>12413.374048341</v>
      </c>
      <c r="L294">
        <v>91548.27</v>
      </c>
      <c r="M294">
        <v>0</v>
      </c>
      <c r="N294">
        <v>107411.31</v>
      </c>
      <c r="O294" t="s">
        <v>111</v>
      </c>
    </row>
    <row r="295" spans="1:15" x14ac:dyDescent="0.25">
      <c r="A295" t="s">
        <v>976</v>
      </c>
      <c r="B295" t="s">
        <v>977</v>
      </c>
      <c r="C295" t="s">
        <v>978</v>
      </c>
      <c r="D295" t="s">
        <v>110</v>
      </c>
      <c r="E295" s="2">
        <v>44322</v>
      </c>
      <c r="F295" t="s">
        <v>56</v>
      </c>
      <c r="G295">
        <v>10000000</v>
      </c>
      <c r="H295" s="2">
        <v>44555</v>
      </c>
      <c r="I295">
        <v>2021</v>
      </c>
      <c r="J295">
        <v>7178.0424334480203</v>
      </c>
      <c r="K295">
        <v>18859.717566552001</v>
      </c>
      <c r="L295">
        <v>256089.08</v>
      </c>
      <c r="M295">
        <v>0</v>
      </c>
      <c r="N295">
        <v>282126.84000000003</v>
      </c>
      <c r="O295" t="s">
        <v>127</v>
      </c>
    </row>
    <row r="296" spans="1:15" x14ac:dyDescent="0.25">
      <c r="A296" t="s">
        <v>979</v>
      </c>
      <c r="B296" t="s">
        <v>980</v>
      </c>
      <c r="C296" t="s">
        <v>981</v>
      </c>
      <c r="D296" t="s">
        <v>110</v>
      </c>
      <c r="E296" s="2">
        <v>44268</v>
      </c>
      <c r="F296" t="s">
        <v>21</v>
      </c>
      <c r="G296">
        <v>2000000</v>
      </c>
      <c r="H296" s="2">
        <v>44625</v>
      </c>
      <c r="I296">
        <v>2022</v>
      </c>
      <c r="J296">
        <v>3543.9368419873799</v>
      </c>
      <c r="K296">
        <v>12424.6631580126</v>
      </c>
      <c r="L296">
        <v>60337.39</v>
      </c>
      <c r="M296">
        <v>0</v>
      </c>
      <c r="N296">
        <v>76305.990000000005</v>
      </c>
      <c r="O296" t="s">
        <v>150</v>
      </c>
    </row>
    <row r="297" spans="1:15" x14ac:dyDescent="0.25">
      <c r="A297" t="s">
        <v>982</v>
      </c>
      <c r="B297" t="s">
        <v>983</v>
      </c>
      <c r="C297" t="s">
        <v>984</v>
      </c>
      <c r="D297" t="s">
        <v>110</v>
      </c>
      <c r="E297" s="2">
        <v>43764</v>
      </c>
      <c r="F297" t="s">
        <v>19</v>
      </c>
      <c r="G297">
        <v>3000000</v>
      </c>
      <c r="H297" s="2">
        <v>44126</v>
      </c>
      <c r="I297">
        <v>2020</v>
      </c>
      <c r="J297">
        <v>4823.7045551563097</v>
      </c>
      <c r="K297">
        <v>16056.9754448437</v>
      </c>
      <c r="L297">
        <v>71139.17</v>
      </c>
      <c r="M297">
        <v>0</v>
      </c>
      <c r="N297">
        <v>92019.85</v>
      </c>
      <c r="O297" t="s">
        <v>197</v>
      </c>
    </row>
    <row r="298" spans="1:15" x14ac:dyDescent="0.25">
      <c r="A298" t="s">
        <v>985</v>
      </c>
      <c r="B298" t="s">
        <v>986</v>
      </c>
      <c r="C298" t="s">
        <v>987</v>
      </c>
      <c r="D298" t="s">
        <v>110</v>
      </c>
      <c r="E298" s="2">
        <v>44527</v>
      </c>
      <c r="F298" t="s">
        <v>55</v>
      </c>
      <c r="G298">
        <v>5000000</v>
      </c>
      <c r="H298" s="2">
        <v>44593</v>
      </c>
      <c r="I298">
        <v>2022</v>
      </c>
      <c r="J298">
        <v>9011.3780660340708</v>
      </c>
      <c r="K298">
        <v>25870.4419339659</v>
      </c>
      <c r="L298">
        <v>121614.66</v>
      </c>
      <c r="M298">
        <v>0</v>
      </c>
      <c r="N298">
        <v>156496.48000000001</v>
      </c>
      <c r="O298" t="s">
        <v>186</v>
      </c>
    </row>
    <row r="299" spans="1:15" x14ac:dyDescent="0.25">
      <c r="A299" t="s">
        <v>988</v>
      </c>
      <c r="B299" t="s">
        <v>989</v>
      </c>
      <c r="C299" t="s">
        <v>990</v>
      </c>
      <c r="D299" t="s">
        <v>110</v>
      </c>
      <c r="E299" s="2">
        <v>44363</v>
      </c>
      <c r="F299" t="s">
        <v>43</v>
      </c>
      <c r="G299">
        <v>5000000</v>
      </c>
      <c r="H299" s="2">
        <v>44613</v>
      </c>
      <c r="I299">
        <v>2022</v>
      </c>
      <c r="J299">
        <v>9661.8939106530797</v>
      </c>
      <c r="K299">
        <v>23305.776089346899</v>
      </c>
      <c r="L299">
        <v>115974</v>
      </c>
      <c r="M299">
        <v>0</v>
      </c>
      <c r="N299">
        <v>148941.67000000001</v>
      </c>
      <c r="O299" t="s">
        <v>186</v>
      </c>
    </row>
    <row r="300" spans="1:15" x14ac:dyDescent="0.25">
      <c r="A300" t="s">
        <v>991</v>
      </c>
      <c r="B300" t="s">
        <v>992</v>
      </c>
      <c r="C300" t="s">
        <v>993</v>
      </c>
      <c r="D300" t="s">
        <v>110</v>
      </c>
      <c r="E300" s="2">
        <v>44483</v>
      </c>
      <c r="F300" t="s">
        <v>17</v>
      </c>
      <c r="G300">
        <v>3000000</v>
      </c>
      <c r="H300" s="2">
        <v>44585</v>
      </c>
      <c r="I300">
        <v>2022</v>
      </c>
      <c r="J300">
        <v>6483.6716562255397</v>
      </c>
      <c r="K300">
        <v>22930.848343774502</v>
      </c>
      <c r="L300">
        <v>124123.09</v>
      </c>
      <c r="M300">
        <v>0</v>
      </c>
      <c r="N300">
        <v>153537.60999999999</v>
      </c>
      <c r="O300" t="s">
        <v>186</v>
      </c>
    </row>
    <row r="301" spans="1:15" x14ac:dyDescent="0.25">
      <c r="A301" t="s">
        <v>994</v>
      </c>
      <c r="B301" t="s">
        <v>995</v>
      </c>
      <c r="C301" t="s">
        <v>996</v>
      </c>
      <c r="D301" t="s">
        <v>110</v>
      </c>
      <c r="E301" s="2">
        <v>44532</v>
      </c>
      <c r="F301" t="s">
        <v>49</v>
      </c>
      <c r="G301">
        <v>4000000</v>
      </c>
      <c r="H301" s="2">
        <v>44582</v>
      </c>
      <c r="I301">
        <v>2022</v>
      </c>
      <c r="J301">
        <v>9328.0348210958891</v>
      </c>
      <c r="K301">
        <v>23574.435178904099</v>
      </c>
      <c r="L301">
        <v>229045.58</v>
      </c>
      <c r="M301">
        <v>0</v>
      </c>
      <c r="N301">
        <v>261948.05</v>
      </c>
      <c r="O301" t="s">
        <v>233</v>
      </c>
    </row>
    <row r="302" spans="1:15" x14ac:dyDescent="0.25">
      <c r="A302" t="s">
        <v>997</v>
      </c>
      <c r="B302" t="s">
        <v>998</v>
      </c>
      <c r="C302" t="s">
        <v>336</v>
      </c>
      <c r="D302" t="s">
        <v>110</v>
      </c>
      <c r="E302" s="2">
        <v>44593</v>
      </c>
      <c r="F302" t="s">
        <v>21</v>
      </c>
      <c r="G302">
        <v>10000000</v>
      </c>
      <c r="H302" s="2">
        <v>44622</v>
      </c>
      <c r="I302">
        <v>2022</v>
      </c>
      <c r="J302">
        <v>12513.3978980627</v>
      </c>
      <c r="K302">
        <v>32741.572101937301</v>
      </c>
      <c r="L302">
        <v>216075.53</v>
      </c>
      <c r="M302">
        <v>0</v>
      </c>
      <c r="N302">
        <v>261330.5</v>
      </c>
      <c r="O302" t="s">
        <v>233</v>
      </c>
    </row>
    <row r="303" spans="1:15" x14ac:dyDescent="0.25">
      <c r="A303" t="s">
        <v>999</v>
      </c>
      <c r="B303" t="s">
        <v>1000</v>
      </c>
      <c r="C303" t="s">
        <v>1001</v>
      </c>
      <c r="D303" t="s">
        <v>110</v>
      </c>
      <c r="E303" s="2">
        <v>44336</v>
      </c>
      <c r="F303" t="s">
        <v>54</v>
      </c>
      <c r="G303">
        <v>5000000</v>
      </c>
      <c r="H303" s="2">
        <v>44607</v>
      </c>
      <c r="I303">
        <v>2022</v>
      </c>
      <c r="J303">
        <v>5181.9817855673</v>
      </c>
      <c r="K303">
        <v>12218.9782144327</v>
      </c>
      <c r="L303">
        <v>75235.899999999994</v>
      </c>
      <c r="M303">
        <v>0</v>
      </c>
      <c r="N303">
        <v>92636.86</v>
      </c>
      <c r="O303" t="s">
        <v>197</v>
      </c>
    </row>
    <row r="304" spans="1:15" x14ac:dyDescent="0.25">
      <c r="A304" t="s">
        <v>1002</v>
      </c>
      <c r="B304" t="s">
        <v>1003</v>
      </c>
      <c r="C304" t="s">
        <v>1004</v>
      </c>
      <c r="D304" t="s">
        <v>110</v>
      </c>
      <c r="E304" s="2">
        <v>44321</v>
      </c>
      <c r="F304" t="s">
        <v>34</v>
      </c>
      <c r="G304">
        <v>3000000</v>
      </c>
      <c r="H304" s="2">
        <v>44385</v>
      </c>
      <c r="I304">
        <v>2021</v>
      </c>
      <c r="J304">
        <v>4050.5129831528502</v>
      </c>
      <c r="K304">
        <v>11908.9570168472</v>
      </c>
      <c r="L304">
        <v>55163.45</v>
      </c>
      <c r="M304">
        <v>0</v>
      </c>
      <c r="N304">
        <v>71122.92</v>
      </c>
      <c r="O304" t="s">
        <v>139</v>
      </c>
    </row>
    <row r="305" spans="1:15" x14ac:dyDescent="0.25">
      <c r="A305" t="s">
        <v>1005</v>
      </c>
      <c r="B305" t="s">
        <v>1006</v>
      </c>
      <c r="C305" t="s">
        <v>1007</v>
      </c>
      <c r="D305" t="s">
        <v>110</v>
      </c>
      <c r="E305" s="2">
        <v>44504</v>
      </c>
      <c r="F305" t="s">
        <v>17</v>
      </c>
      <c r="G305">
        <v>5000000</v>
      </c>
      <c r="H305" s="2">
        <v>44639</v>
      </c>
      <c r="I305">
        <v>2022</v>
      </c>
      <c r="J305">
        <v>29183.749024880701</v>
      </c>
      <c r="K305">
        <v>92796.940975119302</v>
      </c>
      <c r="L305">
        <v>711675.43</v>
      </c>
      <c r="M305">
        <v>0</v>
      </c>
      <c r="N305">
        <v>833656.12</v>
      </c>
      <c r="O305" t="s">
        <v>143</v>
      </c>
    </row>
    <row r="306" spans="1:15" x14ac:dyDescent="0.25">
      <c r="A306" t="s">
        <v>1008</v>
      </c>
      <c r="B306" t="s">
        <v>1009</v>
      </c>
      <c r="C306" t="s">
        <v>1010</v>
      </c>
      <c r="D306" t="s">
        <v>110</v>
      </c>
      <c r="E306" s="2">
        <v>44335</v>
      </c>
      <c r="F306" t="s">
        <v>57</v>
      </c>
      <c r="G306">
        <v>5000000</v>
      </c>
      <c r="H306" s="2">
        <v>44594</v>
      </c>
      <c r="I306">
        <v>2022</v>
      </c>
      <c r="J306">
        <v>1990.2406305070499</v>
      </c>
      <c r="K306">
        <v>7355.7993694929501</v>
      </c>
      <c r="L306">
        <v>61562.47</v>
      </c>
      <c r="M306">
        <v>0</v>
      </c>
      <c r="N306">
        <v>70908.509999999995</v>
      </c>
      <c r="O306" t="s">
        <v>150</v>
      </c>
    </row>
    <row r="307" spans="1:15" x14ac:dyDescent="0.25">
      <c r="A307" t="s">
        <v>1011</v>
      </c>
      <c r="B307" t="s">
        <v>1012</v>
      </c>
      <c r="C307" t="s">
        <v>1013</v>
      </c>
      <c r="D307" t="s">
        <v>110</v>
      </c>
      <c r="E307" s="2">
        <v>43653</v>
      </c>
      <c r="F307" t="s">
        <v>50</v>
      </c>
      <c r="G307">
        <v>1000000</v>
      </c>
      <c r="H307" s="2">
        <v>43703</v>
      </c>
      <c r="I307">
        <v>2019</v>
      </c>
      <c r="J307">
        <v>2689.1865535031202</v>
      </c>
      <c r="K307">
        <v>7535.15344649688</v>
      </c>
      <c r="L307">
        <v>89470.3</v>
      </c>
      <c r="M307">
        <v>0</v>
      </c>
      <c r="N307">
        <v>99694.64</v>
      </c>
      <c r="O307" t="s">
        <v>111</v>
      </c>
    </row>
    <row r="308" spans="1:15" x14ac:dyDescent="0.25">
      <c r="A308" t="s">
        <v>1014</v>
      </c>
      <c r="B308" t="s">
        <v>1015</v>
      </c>
      <c r="C308" t="s">
        <v>1016</v>
      </c>
      <c r="D308" t="s">
        <v>110</v>
      </c>
      <c r="E308" s="2">
        <v>44655</v>
      </c>
      <c r="F308" t="s">
        <v>12</v>
      </c>
      <c r="G308">
        <v>5000000</v>
      </c>
      <c r="H308" s="2">
        <v>44678</v>
      </c>
      <c r="I308">
        <v>2022</v>
      </c>
      <c r="J308">
        <v>5238.4195698334797</v>
      </c>
      <c r="K308">
        <v>17115.620430166498</v>
      </c>
      <c r="L308">
        <v>167035.21</v>
      </c>
      <c r="M308">
        <v>0</v>
      </c>
      <c r="N308">
        <v>189389.25</v>
      </c>
      <c r="O308" t="s">
        <v>168</v>
      </c>
    </row>
    <row r="309" spans="1:15" x14ac:dyDescent="0.25">
      <c r="A309" t="s">
        <v>1017</v>
      </c>
      <c r="B309" t="s">
        <v>1018</v>
      </c>
      <c r="C309" t="s">
        <v>1019</v>
      </c>
      <c r="D309" t="s">
        <v>110</v>
      </c>
      <c r="E309" s="2">
        <v>44607</v>
      </c>
      <c r="F309" t="s">
        <v>26</v>
      </c>
      <c r="G309">
        <v>1000000</v>
      </c>
      <c r="H309" s="2">
        <v>44669</v>
      </c>
      <c r="I309">
        <v>2022</v>
      </c>
      <c r="J309">
        <v>11316.572177883399</v>
      </c>
      <c r="K309">
        <v>38256.857822116603</v>
      </c>
      <c r="L309">
        <v>328133.53000000003</v>
      </c>
      <c r="M309">
        <v>0</v>
      </c>
      <c r="N309">
        <v>377706.96</v>
      </c>
      <c r="O309" t="s">
        <v>274</v>
      </c>
    </row>
    <row r="310" spans="1:15" x14ac:dyDescent="0.25">
      <c r="A310" t="s">
        <v>1020</v>
      </c>
      <c r="B310" t="s">
        <v>1021</v>
      </c>
      <c r="C310" t="s">
        <v>1022</v>
      </c>
      <c r="D310" t="s">
        <v>110</v>
      </c>
      <c r="E310" s="2">
        <v>44311</v>
      </c>
      <c r="F310" t="s">
        <v>44</v>
      </c>
      <c r="G310">
        <v>5000000</v>
      </c>
      <c r="H310" s="2">
        <v>44647</v>
      </c>
      <c r="I310">
        <v>2022</v>
      </c>
      <c r="J310">
        <v>4369.5514206670596</v>
      </c>
      <c r="K310">
        <v>14156.638579332899</v>
      </c>
      <c r="L310">
        <v>104463.82</v>
      </c>
      <c r="M310">
        <v>0</v>
      </c>
      <c r="N310">
        <v>122990.01</v>
      </c>
      <c r="O310" t="s">
        <v>135</v>
      </c>
    </row>
    <row r="311" spans="1:15" x14ac:dyDescent="0.25">
      <c r="A311" t="s">
        <v>1023</v>
      </c>
      <c r="B311" t="s">
        <v>1024</v>
      </c>
      <c r="C311" t="s">
        <v>1025</v>
      </c>
      <c r="D311" t="s">
        <v>110</v>
      </c>
      <c r="E311" s="2">
        <v>44539</v>
      </c>
      <c r="F311" t="s">
        <v>30</v>
      </c>
      <c r="G311">
        <v>5000000</v>
      </c>
      <c r="H311" s="2">
        <v>44645</v>
      </c>
      <c r="I311">
        <v>2022</v>
      </c>
      <c r="J311">
        <v>4775.6434858262601</v>
      </c>
      <c r="K311">
        <v>12363.5465141737</v>
      </c>
      <c r="L311">
        <v>59988.83</v>
      </c>
      <c r="M311">
        <v>0</v>
      </c>
      <c r="N311">
        <v>77128.02</v>
      </c>
      <c r="O311" t="s">
        <v>150</v>
      </c>
    </row>
    <row r="312" spans="1:15" x14ac:dyDescent="0.25">
      <c r="A312" t="s">
        <v>1026</v>
      </c>
      <c r="B312" t="s">
        <v>1027</v>
      </c>
      <c r="C312" t="s">
        <v>1028</v>
      </c>
      <c r="D312" t="s">
        <v>110</v>
      </c>
      <c r="E312" s="2">
        <v>44560</v>
      </c>
      <c r="F312" t="s">
        <v>38</v>
      </c>
      <c r="G312">
        <v>1000000</v>
      </c>
      <c r="H312" s="2">
        <v>44672</v>
      </c>
      <c r="I312">
        <v>2022</v>
      </c>
      <c r="J312">
        <v>4468.4341898582697</v>
      </c>
      <c r="K312">
        <v>11550.735810141699</v>
      </c>
      <c r="L312">
        <v>59930.02</v>
      </c>
      <c r="M312">
        <v>0</v>
      </c>
      <c r="N312">
        <v>75949.19</v>
      </c>
      <c r="O312" t="s">
        <v>150</v>
      </c>
    </row>
    <row r="313" spans="1:15" x14ac:dyDescent="0.25">
      <c r="A313" t="s">
        <v>1029</v>
      </c>
      <c r="B313" t="s">
        <v>1030</v>
      </c>
      <c r="C313" t="s">
        <v>387</v>
      </c>
      <c r="D313" t="s">
        <v>110</v>
      </c>
      <c r="E313" s="2">
        <v>44604</v>
      </c>
      <c r="F313" t="s">
        <v>26</v>
      </c>
      <c r="G313">
        <v>5000000</v>
      </c>
      <c r="H313" s="2">
        <v>44675</v>
      </c>
      <c r="I313">
        <v>2022</v>
      </c>
      <c r="J313">
        <v>18469.0081962722</v>
      </c>
      <c r="K313">
        <v>56996.481803727802</v>
      </c>
      <c r="L313">
        <v>294313.14</v>
      </c>
      <c r="M313">
        <v>0</v>
      </c>
      <c r="N313">
        <v>369778.63</v>
      </c>
      <c r="O313" t="s">
        <v>343</v>
      </c>
    </row>
    <row r="314" spans="1:15" x14ac:dyDescent="0.25">
      <c r="A314" t="s">
        <v>1031</v>
      </c>
      <c r="B314" t="s">
        <v>1032</v>
      </c>
      <c r="C314" t="s">
        <v>1033</v>
      </c>
      <c r="D314" t="s">
        <v>110</v>
      </c>
      <c r="E314" s="2">
        <v>44363</v>
      </c>
      <c r="F314" t="s">
        <v>41</v>
      </c>
      <c r="G314">
        <v>4000000</v>
      </c>
      <c r="H314" s="2">
        <v>44660</v>
      </c>
      <c r="I314">
        <v>2022</v>
      </c>
      <c r="J314">
        <v>16383.827281125999</v>
      </c>
      <c r="K314">
        <v>55587.542718874</v>
      </c>
      <c r="L314">
        <v>319197.46000000002</v>
      </c>
      <c r="M314">
        <v>0</v>
      </c>
      <c r="N314">
        <v>391168.83</v>
      </c>
      <c r="O314" t="s">
        <v>274</v>
      </c>
    </row>
    <row r="315" spans="1:15" x14ac:dyDescent="0.25">
      <c r="A315" t="s">
        <v>1034</v>
      </c>
      <c r="B315" t="s">
        <v>1035</v>
      </c>
      <c r="C315" t="s">
        <v>1036</v>
      </c>
      <c r="D315" t="s">
        <v>110</v>
      </c>
      <c r="E315" s="2">
        <v>44457</v>
      </c>
      <c r="F315" t="s">
        <v>9</v>
      </c>
      <c r="G315">
        <v>1000000</v>
      </c>
      <c r="H315" s="2">
        <v>44702</v>
      </c>
      <c r="I315">
        <v>2022</v>
      </c>
      <c r="J315">
        <v>4227.9172405208401</v>
      </c>
      <c r="K315">
        <v>10540.822759479201</v>
      </c>
      <c r="L315">
        <v>58852.66</v>
      </c>
      <c r="M315">
        <v>0</v>
      </c>
      <c r="N315">
        <v>73621.399999999994</v>
      </c>
      <c r="O315" t="s">
        <v>157</v>
      </c>
    </row>
    <row r="316" spans="1:15" x14ac:dyDescent="0.25">
      <c r="A316" t="s">
        <v>1037</v>
      </c>
      <c r="B316" t="s">
        <v>1038</v>
      </c>
      <c r="C316" t="s">
        <v>1039</v>
      </c>
      <c r="D316" t="s">
        <v>110</v>
      </c>
      <c r="E316" s="2">
        <v>44347</v>
      </c>
      <c r="F316" t="s">
        <v>17</v>
      </c>
      <c r="G316">
        <v>3000000</v>
      </c>
      <c r="H316" s="2">
        <v>44683</v>
      </c>
      <c r="I316">
        <v>2022</v>
      </c>
      <c r="J316">
        <v>5855.3402093506102</v>
      </c>
      <c r="K316">
        <v>14430.6097906494</v>
      </c>
      <c r="L316">
        <v>106957.7</v>
      </c>
      <c r="M316">
        <v>0</v>
      </c>
      <c r="N316">
        <v>127243.65</v>
      </c>
      <c r="O316" t="s">
        <v>135</v>
      </c>
    </row>
    <row r="317" spans="1:15" x14ac:dyDescent="0.25">
      <c r="A317" t="s">
        <v>1040</v>
      </c>
      <c r="B317" t="s">
        <v>1041</v>
      </c>
      <c r="C317" t="s">
        <v>236</v>
      </c>
      <c r="D317" t="s">
        <v>110</v>
      </c>
      <c r="E317" s="2">
        <v>44471</v>
      </c>
      <c r="F317" t="s">
        <v>38</v>
      </c>
      <c r="G317">
        <v>3000000</v>
      </c>
      <c r="H317" s="2">
        <v>44697</v>
      </c>
      <c r="I317">
        <v>2022</v>
      </c>
      <c r="J317">
        <v>3479.5862127922201</v>
      </c>
      <c r="K317">
        <v>8655.3337872077791</v>
      </c>
      <c r="L317">
        <v>72237.960000000006</v>
      </c>
      <c r="M317">
        <v>0</v>
      </c>
      <c r="N317">
        <v>84372.88</v>
      </c>
      <c r="O317" t="s">
        <v>197</v>
      </c>
    </row>
    <row r="318" spans="1:15" x14ac:dyDescent="0.25">
      <c r="A318" t="s">
        <v>1042</v>
      </c>
      <c r="B318" t="s">
        <v>1043</v>
      </c>
      <c r="C318" t="s">
        <v>1044</v>
      </c>
      <c r="D318" t="s">
        <v>110</v>
      </c>
      <c r="E318" s="2">
        <v>44688</v>
      </c>
      <c r="F318" t="s">
        <v>49</v>
      </c>
      <c r="G318">
        <v>4000000</v>
      </c>
      <c r="H318" s="2">
        <v>44711</v>
      </c>
      <c r="I318">
        <v>2022</v>
      </c>
      <c r="J318">
        <v>3662.3526905152598</v>
      </c>
      <c r="K318">
        <v>10334.6173094847</v>
      </c>
      <c r="L318">
        <v>52612.38</v>
      </c>
      <c r="M318">
        <v>0</v>
      </c>
      <c r="N318">
        <v>66609.350000000006</v>
      </c>
      <c r="O318" t="s">
        <v>139</v>
      </c>
    </row>
    <row r="319" spans="1:15" x14ac:dyDescent="0.25">
      <c r="A319" t="s">
        <v>1045</v>
      </c>
      <c r="B319" t="s">
        <v>1046</v>
      </c>
      <c r="C319" t="s">
        <v>1047</v>
      </c>
      <c r="D319" t="s">
        <v>110</v>
      </c>
      <c r="E319" s="2">
        <v>44669</v>
      </c>
      <c r="F319" t="s">
        <v>41</v>
      </c>
      <c r="G319">
        <v>4000000</v>
      </c>
      <c r="H319" s="2">
        <v>44714</v>
      </c>
      <c r="I319">
        <v>2022</v>
      </c>
      <c r="J319">
        <v>9450.8725425814791</v>
      </c>
      <c r="K319">
        <v>32180.047457418499</v>
      </c>
      <c r="L319">
        <v>378279.45</v>
      </c>
      <c r="M319">
        <v>0</v>
      </c>
      <c r="N319">
        <v>419910.37</v>
      </c>
      <c r="O319" t="s">
        <v>431</v>
      </c>
    </row>
    <row r="320" spans="1:15" x14ac:dyDescent="0.25">
      <c r="A320" t="s">
        <v>1048</v>
      </c>
      <c r="B320" t="s">
        <v>1049</v>
      </c>
      <c r="C320" t="s">
        <v>1050</v>
      </c>
      <c r="D320" t="s">
        <v>110</v>
      </c>
      <c r="E320" s="2">
        <v>44681</v>
      </c>
      <c r="F320" t="s">
        <v>23</v>
      </c>
      <c r="G320">
        <v>5000000</v>
      </c>
      <c r="H320" s="2">
        <v>44700</v>
      </c>
      <c r="I320">
        <v>2022</v>
      </c>
      <c r="J320">
        <v>3268.1450174773299</v>
      </c>
      <c r="K320">
        <v>12820.7649825227</v>
      </c>
      <c r="L320">
        <v>96022.26</v>
      </c>
      <c r="M320">
        <v>0</v>
      </c>
      <c r="N320">
        <v>112111.17</v>
      </c>
      <c r="O320" t="s">
        <v>111</v>
      </c>
    </row>
    <row r="321" spans="1:15" x14ac:dyDescent="0.25">
      <c r="A321" t="s">
        <v>1051</v>
      </c>
      <c r="B321" t="s">
        <v>1052</v>
      </c>
      <c r="C321" t="s">
        <v>1053</v>
      </c>
      <c r="D321" t="s">
        <v>110</v>
      </c>
      <c r="E321" s="2">
        <v>44583</v>
      </c>
      <c r="F321" t="s">
        <v>41</v>
      </c>
      <c r="G321">
        <v>2000000</v>
      </c>
      <c r="H321" s="2">
        <v>44636</v>
      </c>
      <c r="I321">
        <v>2022</v>
      </c>
      <c r="J321">
        <v>8620.9692271146705</v>
      </c>
      <c r="K321">
        <v>22412.180772885298</v>
      </c>
      <c r="L321">
        <v>113482.71</v>
      </c>
      <c r="M321">
        <v>0</v>
      </c>
      <c r="N321">
        <v>144515.85999999999</v>
      </c>
      <c r="O321" t="s">
        <v>135</v>
      </c>
    </row>
    <row r="322" spans="1:15" x14ac:dyDescent="0.25">
      <c r="A322" t="s">
        <v>1054</v>
      </c>
      <c r="B322" t="s">
        <v>1055</v>
      </c>
      <c r="C322" t="s">
        <v>1056</v>
      </c>
      <c r="D322" t="s">
        <v>110</v>
      </c>
      <c r="E322" s="2">
        <v>44547</v>
      </c>
      <c r="F322" t="s">
        <v>12</v>
      </c>
      <c r="G322">
        <v>1000000</v>
      </c>
      <c r="H322" s="2">
        <v>44642</v>
      </c>
      <c r="I322">
        <v>2022</v>
      </c>
      <c r="J322">
        <v>9555.2343283497703</v>
      </c>
      <c r="K322">
        <v>27068.3256716502</v>
      </c>
      <c r="L322">
        <v>321207.81</v>
      </c>
      <c r="M322">
        <v>0</v>
      </c>
      <c r="N322">
        <v>357831.37</v>
      </c>
      <c r="O322" t="s">
        <v>274</v>
      </c>
    </row>
    <row r="323" spans="1:15" x14ac:dyDescent="0.25">
      <c r="A323" t="s">
        <v>1057</v>
      </c>
      <c r="B323" t="s">
        <v>1058</v>
      </c>
      <c r="C323" t="s">
        <v>1059</v>
      </c>
      <c r="D323" t="s">
        <v>110</v>
      </c>
      <c r="E323" s="2">
        <v>44601</v>
      </c>
      <c r="F323" t="s">
        <v>41</v>
      </c>
      <c r="G323">
        <v>1000000</v>
      </c>
      <c r="H323" s="2">
        <v>44723</v>
      </c>
      <c r="I323">
        <v>2022</v>
      </c>
      <c r="J323">
        <v>5145.2831841878096</v>
      </c>
      <c r="K323">
        <v>14564.326815812199</v>
      </c>
      <c r="L323">
        <v>74949.53</v>
      </c>
      <c r="M323">
        <v>0</v>
      </c>
      <c r="N323">
        <v>94659.14</v>
      </c>
      <c r="O323" t="s">
        <v>197</v>
      </c>
    </row>
    <row r="324" spans="1:15" x14ac:dyDescent="0.25">
      <c r="A324" t="s">
        <v>1060</v>
      </c>
      <c r="B324" t="s">
        <v>1061</v>
      </c>
      <c r="C324" t="s">
        <v>1062</v>
      </c>
      <c r="D324" t="s">
        <v>110</v>
      </c>
      <c r="E324" s="2">
        <v>44633</v>
      </c>
      <c r="F324" t="s">
        <v>21</v>
      </c>
      <c r="G324">
        <v>2000000</v>
      </c>
      <c r="H324" s="2">
        <v>44708</v>
      </c>
      <c r="I324">
        <v>2022</v>
      </c>
      <c r="J324">
        <v>3783.77714129777</v>
      </c>
      <c r="K324">
        <v>14481.2928587022</v>
      </c>
      <c r="L324">
        <v>73739.02</v>
      </c>
      <c r="M324">
        <v>0</v>
      </c>
      <c r="N324">
        <v>92004.09</v>
      </c>
      <c r="O324" t="s">
        <v>197</v>
      </c>
    </row>
    <row r="325" spans="1:15" x14ac:dyDescent="0.25">
      <c r="A325" t="s">
        <v>1063</v>
      </c>
      <c r="B325" t="s">
        <v>1064</v>
      </c>
      <c r="C325" t="s">
        <v>882</v>
      </c>
      <c r="D325" t="s">
        <v>110</v>
      </c>
      <c r="E325" s="2">
        <v>44684</v>
      </c>
      <c r="F325" t="s">
        <v>52</v>
      </c>
      <c r="G325">
        <v>10000000</v>
      </c>
      <c r="H325" s="2">
        <v>44727</v>
      </c>
      <c r="I325">
        <v>2022</v>
      </c>
      <c r="J325">
        <v>39092.426949189998</v>
      </c>
      <c r="K325">
        <v>142884.90305081001</v>
      </c>
      <c r="L325">
        <v>710334.98</v>
      </c>
      <c r="M325">
        <v>0</v>
      </c>
      <c r="N325">
        <v>892312.31</v>
      </c>
      <c r="O325" t="s">
        <v>143</v>
      </c>
    </row>
    <row r="326" spans="1:15" x14ac:dyDescent="0.25">
      <c r="A326" t="s">
        <v>1065</v>
      </c>
      <c r="B326" t="s">
        <v>1066</v>
      </c>
      <c r="C326" t="s">
        <v>1067</v>
      </c>
      <c r="D326" t="s">
        <v>110</v>
      </c>
      <c r="E326" s="2">
        <v>44414</v>
      </c>
      <c r="F326" t="s">
        <v>12</v>
      </c>
      <c r="G326">
        <v>2000000</v>
      </c>
      <c r="H326" s="2">
        <v>44721</v>
      </c>
      <c r="I326">
        <v>2022</v>
      </c>
      <c r="J326">
        <v>4317.9436480905297</v>
      </c>
      <c r="K326">
        <v>10373.036351909501</v>
      </c>
      <c r="L326">
        <v>51701.98</v>
      </c>
      <c r="M326">
        <v>0</v>
      </c>
      <c r="N326">
        <v>66392.960000000006</v>
      </c>
      <c r="O326" t="s">
        <v>139</v>
      </c>
    </row>
    <row r="327" spans="1:15" x14ac:dyDescent="0.25">
      <c r="A327" t="s">
        <v>1068</v>
      </c>
      <c r="B327" t="s">
        <v>1069</v>
      </c>
      <c r="C327" t="s">
        <v>1070</v>
      </c>
      <c r="D327" t="s">
        <v>110</v>
      </c>
      <c r="E327" s="2">
        <v>44448</v>
      </c>
      <c r="F327" t="s">
        <v>52</v>
      </c>
      <c r="G327">
        <v>1000000</v>
      </c>
      <c r="H327" s="2">
        <v>44752</v>
      </c>
      <c r="I327">
        <v>2022</v>
      </c>
      <c r="J327">
        <v>4196.0994065334298</v>
      </c>
      <c r="K327">
        <v>10077.3805934666</v>
      </c>
      <c r="L327">
        <v>134549.63</v>
      </c>
      <c r="M327">
        <v>0</v>
      </c>
      <c r="N327">
        <v>148823.10999999999</v>
      </c>
      <c r="O327" t="s">
        <v>123</v>
      </c>
    </row>
    <row r="328" spans="1:15" x14ac:dyDescent="0.25">
      <c r="A328" t="s">
        <v>1071</v>
      </c>
      <c r="B328" t="s">
        <v>1072</v>
      </c>
      <c r="C328" t="s">
        <v>1073</v>
      </c>
      <c r="D328" t="s">
        <v>110</v>
      </c>
      <c r="E328" s="2">
        <v>44588</v>
      </c>
      <c r="F328" t="s">
        <v>50</v>
      </c>
      <c r="G328">
        <v>4000000</v>
      </c>
      <c r="H328" s="2">
        <v>44646</v>
      </c>
      <c r="I328">
        <v>2022</v>
      </c>
      <c r="J328">
        <v>7669.28398134091</v>
      </c>
      <c r="K328">
        <v>18105.866018659101</v>
      </c>
      <c r="L328">
        <v>151696.85999999999</v>
      </c>
      <c r="M328">
        <v>0</v>
      </c>
      <c r="N328">
        <v>177472.01</v>
      </c>
      <c r="O328" t="s">
        <v>211</v>
      </c>
    </row>
    <row r="329" spans="1:15" x14ac:dyDescent="0.25">
      <c r="A329" t="s">
        <v>1074</v>
      </c>
      <c r="B329" t="s">
        <v>1075</v>
      </c>
      <c r="C329" t="s">
        <v>1076</v>
      </c>
      <c r="D329" t="s">
        <v>110</v>
      </c>
      <c r="E329" s="2">
        <v>44475</v>
      </c>
      <c r="F329" t="s">
        <v>31</v>
      </c>
      <c r="G329">
        <v>4000000</v>
      </c>
      <c r="H329" s="2">
        <v>44715</v>
      </c>
      <c r="I329">
        <v>2022</v>
      </c>
      <c r="J329">
        <v>3887.3327139688299</v>
      </c>
      <c r="K329">
        <v>11307.087286031199</v>
      </c>
      <c r="L329">
        <v>143378.31</v>
      </c>
      <c r="M329">
        <v>0</v>
      </c>
      <c r="N329">
        <v>158572.73000000001</v>
      </c>
      <c r="O329" t="s">
        <v>193</v>
      </c>
    </row>
    <row r="330" spans="1:15" x14ac:dyDescent="0.25">
      <c r="A330" t="s">
        <v>1077</v>
      </c>
      <c r="B330" t="s">
        <v>1078</v>
      </c>
      <c r="C330" t="s">
        <v>1079</v>
      </c>
      <c r="D330" t="s">
        <v>734</v>
      </c>
      <c r="E330" s="2">
        <v>44458</v>
      </c>
      <c r="F330" t="s">
        <v>15</v>
      </c>
      <c r="G330">
        <v>1000000</v>
      </c>
      <c r="H330" s="2">
        <v>44762</v>
      </c>
      <c r="I330">
        <v>2022</v>
      </c>
      <c r="J330">
        <v>1474.1074466437001</v>
      </c>
      <c r="K330">
        <v>4205.3825533563004</v>
      </c>
      <c r="L330">
        <v>72116.28</v>
      </c>
      <c r="M330">
        <v>17502.86</v>
      </c>
      <c r="N330">
        <v>95298.63</v>
      </c>
      <c r="O330" t="s">
        <v>119</v>
      </c>
    </row>
    <row r="331" spans="1:15" x14ac:dyDescent="0.25">
      <c r="A331" t="s">
        <v>1080</v>
      </c>
      <c r="B331" t="s">
        <v>1081</v>
      </c>
      <c r="C331" t="s">
        <v>1082</v>
      </c>
      <c r="D331" t="s">
        <v>110</v>
      </c>
      <c r="E331" s="2">
        <v>44316</v>
      </c>
      <c r="F331" t="s">
        <v>26</v>
      </c>
      <c r="G331">
        <v>3000000</v>
      </c>
      <c r="H331" s="2">
        <v>44514</v>
      </c>
      <c r="I331">
        <v>2021</v>
      </c>
      <c r="J331">
        <v>24801.100482882499</v>
      </c>
      <c r="K331">
        <v>79845.009517117505</v>
      </c>
      <c r="L331">
        <v>497160.3</v>
      </c>
      <c r="M331">
        <v>0</v>
      </c>
      <c r="N331">
        <v>601806.41</v>
      </c>
      <c r="O331" t="s">
        <v>179</v>
      </c>
    </row>
    <row r="332" spans="1:15" x14ac:dyDescent="0.25">
      <c r="A332" t="s">
        <v>1083</v>
      </c>
      <c r="B332" t="s">
        <v>1084</v>
      </c>
      <c r="C332" t="s">
        <v>1085</v>
      </c>
      <c r="D332" t="s">
        <v>734</v>
      </c>
      <c r="E332" s="2">
        <v>44477</v>
      </c>
      <c r="F332" t="s">
        <v>50</v>
      </c>
      <c r="G332">
        <v>10000000</v>
      </c>
      <c r="H332" s="2">
        <v>44767</v>
      </c>
      <c r="I332">
        <v>2022</v>
      </c>
      <c r="J332">
        <v>209072.28038305399</v>
      </c>
      <c r="K332">
        <v>738832.05961694603</v>
      </c>
      <c r="L332">
        <v>3985549.86</v>
      </c>
      <c r="M332">
        <v>576919.76</v>
      </c>
      <c r="N332">
        <v>5510373.96</v>
      </c>
      <c r="O332" t="s">
        <v>353</v>
      </c>
    </row>
    <row r="333" spans="1:15" x14ac:dyDescent="0.25">
      <c r="A333" t="s">
        <v>1086</v>
      </c>
      <c r="B333" t="s">
        <v>1087</v>
      </c>
      <c r="C333" t="s">
        <v>1088</v>
      </c>
      <c r="D333" t="s">
        <v>110</v>
      </c>
      <c r="E333" s="2">
        <v>44043</v>
      </c>
      <c r="F333" t="s">
        <v>38</v>
      </c>
      <c r="G333">
        <v>2000000</v>
      </c>
      <c r="H333" s="2">
        <v>44347</v>
      </c>
      <c r="I333">
        <v>2021</v>
      </c>
      <c r="J333">
        <v>4149.8898457124897</v>
      </c>
      <c r="K333">
        <v>15990.630154287501</v>
      </c>
      <c r="L333">
        <v>134366.72</v>
      </c>
      <c r="M333">
        <v>0</v>
      </c>
      <c r="N333">
        <v>154507.24</v>
      </c>
      <c r="O333" t="s">
        <v>123</v>
      </c>
    </row>
    <row r="334" spans="1:15" x14ac:dyDescent="0.25">
      <c r="A334" t="s">
        <v>1089</v>
      </c>
      <c r="B334" t="s">
        <v>1090</v>
      </c>
      <c r="C334" t="s">
        <v>722</v>
      </c>
      <c r="D334" t="s">
        <v>110</v>
      </c>
      <c r="E334" s="2">
        <v>44609</v>
      </c>
      <c r="F334" t="s">
        <v>41</v>
      </c>
      <c r="G334">
        <v>1000000</v>
      </c>
      <c r="H334" s="2">
        <v>44685</v>
      </c>
      <c r="I334">
        <v>2022</v>
      </c>
      <c r="J334">
        <v>21828.0455426105</v>
      </c>
      <c r="K334">
        <v>85558.324457389506</v>
      </c>
      <c r="L334">
        <v>395232.1</v>
      </c>
      <c r="M334">
        <v>0</v>
      </c>
      <c r="N334">
        <v>502618.47</v>
      </c>
      <c r="O334" t="s">
        <v>431</v>
      </c>
    </row>
    <row r="335" spans="1:15" x14ac:dyDescent="0.25">
      <c r="A335" t="s">
        <v>1091</v>
      </c>
      <c r="B335" t="s">
        <v>1092</v>
      </c>
      <c r="C335" t="s">
        <v>1093</v>
      </c>
      <c r="D335" t="s">
        <v>110</v>
      </c>
      <c r="E335" s="2">
        <v>44520</v>
      </c>
      <c r="F335" t="s">
        <v>43</v>
      </c>
      <c r="G335">
        <v>5000000</v>
      </c>
      <c r="H335" s="2">
        <v>44691</v>
      </c>
      <c r="I335">
        <v>2022</v>
      </c>
      <c r="J335">
        <v>5713.68904348459</v>
      </c>
      <c r="K335">
        <v>14693.9209565154</v>
      </c>
      <c r="L335">
        <v>82675.5</v>
      </c>
      <c r="M335">
        <v>0</v>
      </c>
      <c r="N335">
        <v>103083.11</v>
      </c>
      <c r="O335" t="s">
        <v>119</v>
      </c>
    </row>
    <row r="336" spans="1:15" x14ac:dyDescent="0.25">
      <c r="A336" t="s">
        <v>1094</v>
      </c>
      <c r="B336" t="s">
        <v>1095</v>
      </c>
      <c r="C336" t="s">
        <v>1096</v>
      </c>
      <c r="D336" t="s">
        <v>110</v>
      </c>
      <c r="E336" s="2">
        <v>44670</v>
      </c>
      <c r="F336" t="s">
        <v>50</v>
      </c>
      <c r="G336">
        <v>1000000</v>
      </c>
      <c r="H336" s="2">
        <v>44799</v>
      </c>
      <c r="I336">
        <v>2022</v>
      </c>
      <c r="J336">
        <v>8275.73060982475</v>
      </c>
      <c r="K336">
        <v>21651.9093901753</v>
      </c>
      <c r="L336">
        <v>148558.74</v>
      </c>
      <c r="M336">
        <v>0</v>
      </c>
      <c r="N336">
        <v>178486.38</v>
      </c>
      <c r="O336" t="s">
        <v>193</v>
      </c>
    </row>
    <row r="337" spans="1:15" x14ac:dyDescent="0.25">
      <c r="A337" t="s">
        <v>1097</v>
      </c>
      <c r="B337" t="s">
        <v>1098</v>
      </c>
      <c r="C337" t="s">
        <v>283</v>
      </c>
      <c r="D337" t="s">
        <v>110</v>
      </c>
      <c r="E337" s="2">
        <v>44514</v>
      </c>
      <c r="F337" t="s">
        <v>13</v>
      </c>
      <c r="G337">
        <v>5000000</v>
      </c>
      <c r="H337" s="2">
        <v>44797</v>
      </c>
      <c r="I337">
        <v>2022</v>
      </c>
      <c r="J337">
        <v>27218.677619996899</v>
      </c>
      <c r="K337">
        <v>79668.902380003099</v>
      </c>
      <c r="L337">
        <v>418636.89</v>
      </c>
      <c r="M337">
        <v>0</v>
      </c>
      <c r="N337">
        <v>525524.47</v>
      </c>
      <c r="O337" t="s">
        <v>431</v>
      </c>
    </row>
    <row r="338" spans="1:15" x14ac:dyDescent="0.25">
      <c r="A338" t="s">
        <v>1099</v>
      </c>
      <c r="B338" t="s">
        <v>1100</v>
      </c>
      <c r="C338" t="s">
        <v>1101</v>
      </c>
      <c r="D338" t="s">
        <v>110</v>
      </c>
      <c r="E338" s="2">
        <v>44666</v>
      </c>
      <c r="F338" t="s">
        <v>12</v>
      </c>
      <c r="G338">
        <v>4000000</v>
      </c>
      <c r="H338" s="2">
        <v>44766</v>
      </c>
      <c r="I338">
        <v>2022</v>
      </c>
      <c r="J338">
        <v>2334.6927453991898</v>
      </c>
      <c r="K338">
        <v>8936.5472546008095</v>
      </c>
      <c r="L338">
        <v>98552.27</v>
      </c>
      <c r="M338">
        <v>0</v>
      </c>
      <c r="N338">
        <v>109823.51</v>
      </c>
      <c r="O338" t="s">
        <v>164</v>
      </c>
    </row>
    <row r="339" spans="1:15" x14ac:dyDescent="0.25">
      <c r="A339" t="s">
        <v>1102</v>
      </c>
      <c r="B339" t="s">
        <v>1103</v>
      </c>
      <c r="C339" t="s">
        <v>1104</v>
      </c>
      <c r="D339" t="s">
        <v>110</v>
      </c>
      <c r="E339" s="2">
        <v>44599</v>
      </c>
      <c r="F339" t="s">
        <v>11</v>
      </c>
      <c r="G339">
        <v>4000000</v>
      </c>
      <c r="H339" s="2">
        <v>44788</v>
      </c>
      <c r="I339">
        <v>2022</v>
      </c>
      <c r="J339">
        <v>9872.3229656370004</v>
      </c>
      <c r="K339">
        <v>24552.917034362999</v>
      </c>
      <c r="L339">
        <v>122815.95</v>
      </c>
      <c r="M339">
        <v>0</v>
      </c>
      <c r="N339">
        <v>157241.19</v>
      </c>
      <c r="O339" t="s">
        <v>186</v>
      </c>
    </row>
    <row r="340" spans="1:15" x14ac:dyDescent="0.25">
      <c r="A340" t="s">
        <v>1105</v>
      </c>
      <c r="B340" t="s">
        <v>1106</v>
      </c>
      <c r="C340" t="s">
        <v>420</v>
      </c>
      <c r="D340" t="s">
        <v>110</v>
      </c>
      <c r="E340" s="2">
        <v>44579</v>
      </c>
      <c r="F340" t="s">
        <v>36</v>
      </c>
      <c r="G340">
        <v>5000000</v>
      </c>
      <c r="H340" s="2">
        <v>44695</v>
      </c>
      <c r="I340">
        <v>2022</v>
      </c>
      <c r="J340">
        <v>9459.6634229944793</v>
      </c>
      <c r="K340">
        <v>23906.136577005502</v>
      </c>
      <c r="L340">
        <v>162543</v>
      </c>
      <c r="M340">
        <v>0</v>
      </c>
      <c r="N340">
        <v>195908.8</v>
      </c>
      <c r="O340" t="s">
        <v>168</v>
      </c>
    </row>
    <row r="341" spans="1:15" x14ac:dyDescent="0.25">
      <c r="A341" t="s">
        <v>1107</v>
      </c>
      <c r="B341" t="s">
        <v>1108</v>
      </c>
      <c r="C341" t="s">
        <v>1109</v>
      </c>
      <c r="D341" t="s">
        <v>734</v>
      </c>
      <c r="E341" s="2">
        <v>44755</v>
      </c>
      <c r="F341" t="s">
        <v>21</v>
      </c>
      <c r="G341">
        <v>1000000</v>
      </c>
      <c r="H341" s="2">
        <v>44795</v>
      </c>
      <c r="I341">
        <v>2022</v>
      </c>
      <c r="J341">
        <v>3734.43199165139</v>
      </c>
      <c r="K341">
        <v>10004.938008348599</v>
      </c>
      <c r="L341">
        <v>76931.03</v>
      </c>
      <c r="M341">
        <v>347.90999999999798</v>
      </c>
      <c r="N341">
        <v>91018.31</v>
      </c>
      <c r="O341" t="s">
        <v>240</v>
      </c>
    </row>
    <row r="342" spans="1:15" x14ac:dyDescent="0.25">
      <c r="A342" t="s">
        <v>1110</v>
      </c>
      <c r="B342" t="s">
        <v>1111</v>
      </c>
      <c r="C342" t="s">
        <v>1112</v>
      </c>
      <c r="D342" t="s">
        <v>110</v>
      </c>
      <c r="E342" s="2">
        <v>44579</v>
      </c>
      <c r="F342" t="s">
        <v>21</v>
      </c>
      <c r="G342">
        <v>4000000</v>
      </c>
      <c r="H342" s="2">
        <v>44796</v>
      </c>
      <c r="I342">
        <v>2022</v>
      </c>
      <c r="J342">
        <v>22874.8029792815</v>
      </c>
      <c r="K342">
        <v>55256.147020718498</v>
      </c>
      <c r="L342">
        <v>303805.71000000002</v>
      </c>
      <c r="M342">
        <v>0</v>
      </c>
      <c r="N342">
        <v>381936.66</v>
      </c>
      <c r="O342" t="s">
        <v>343</v>
      </c>
    </row>
    <row r="343" spans="1:15" x14ac:dyDescent="0.25">
      <c r="A343" t="s">
        <v>1113</v>
      </c>
      <c r="B343" t="s">
        <v>1114</v>
      </c>
      <c r="C343" t="s">
        <v>1115</v>
      </c>
      <c r="D343" t="s">
        <v>110</v>
      </c>
      <c r="E343" s="2">
        <v>44593</v>
      </c>
      <c r="F343" t="s">
        <v>26</v>
      </c>
      <c r="G343">
        <v>1000000</v>
      </c>
      <c r="H343" s="2">
        <v>44778</v>
      </c>
      <c r="I343">
        <v>2022</v>
      </c>
      <c r="J343">
        <v>5110.4152258938402</v>
      </c>
      <c r="K343">
        <v>12890.9747741062</v>
      </c>
      <c r="L343">
        <v>81135.27</v>
      </c>
      <c r="M343">
        <v>0</v>
      </c>
      <c r="N343">
        <v>99136.66</v>
      </c>
      <c r="O343" t="s">
        <v>240</v>
      </c>
    </row>
    <row r="344" spans="1:15" x14ac:dyDescent="0.25">
      <c r="A344" t="s">
        <v>1116</v>
      </c>
      <c r="B344" t="s">
        <v>1117</v>
      </c>
      <c r="C344" t="s">
        <v>1118</v>
      </c>
      <c r="D344" t="s">
        <v>110</v>
      </c>
      <c r="E344" s="2">
        <v>44665</v>
      </c>
      <c r="F344" t="s">
        <v>33</v>
      </c>
      <c r="G344">
        <v>2000000</v>
      </c>
      <c r="H344" s="2">
        <v>44816</v>
      </c>
      <c r="I344">
        <v>2022</v>
      </c>
      <c r="J344">
        <v>107667.20071536901</v>
      </c>
      <c r="K344">
        <v>292254.17928463098</v>
      </c>
      <c r="L344">
        <v>1554764.32</v>
      </c>
      <c r="M344">
        <v>0</v>
      </c>
      <c r="N344">
        <v>1954685.7</v>
      </c>
      <c r="O344" t="s">
        <v>131</v>
      </c>
    </row>
    <row r="345" spans="1:15" x14ac:dyDescent="0.25">
      <c r="A345" t="s">
        <v>1119</v>
      </c>
      <c r="B345" t="s">
        <v>1120</v>
      </c>
      <c r="C345" t="s">
        <v>1121</v>
      </c>
      <c r="D345" t="s">
        <v>110</v>
      </c>
      <c r="E345" s="2">
        <v>44585</v>
      </c>
      <c r="F345" t="s">
        <v>12</v>
      </c>
      <c r="G345">
        <v>10000000</v>
      </c>
      <c r="H345" s="2">
        <v>44806</v>
      </c>
      <c r="I345">
        <v>2022</v>
      </c>
      <c r="J345">
        <v>37713.194618300098</v>
      </c>
      <c r="K345">
        <v>123541.7553817</v>
      </c>
      <c r="L345">
        <v>620933.46</v>
      </c>
      <c r="M345">
        <v>0</v>
      </c>
      <c r="N345">
        <v>782188.41</v>
      </c>
      <c r="O345" t="s">
        <v>115</v>
      </c>
    </row>
    <row r="346" spans="1:15" x14ac:dyDescent="0.25">
      <c r="A346" t="s">
        <v>1122</v>
      </c>
      <c r="B346" t="s">
        <v>1123</v>
      </c>
      <c r="C346" t="s">
        <v>1124</v>
      </c>
      <c r="D346" t="s">
        <v>110</v>
      </c>
      <c r="E346" s="2">
        <v>44781</v>
      </c>
      <c r="F346" t="s">
        <v>13</v>
      </c>
      <c r="G346">
        <v>1000000</v>
      </c>
      <c r="H346" s="2">
        <v>44827</v>
      </c>
      <c r="I346">
        <v>2022</v>
      </c>
      <c r="J346">
        <v>1550.7309942403199</v>
      </c>
      <c r="K346">
        <v>5212.6890057596702</v>
      </c>
      <c r="L346">
        <v>50921.03</v>
      </c>
      <c r="M346">
        <v>0</v>
      </c>
      <c r="N346">
        <v>57684.45</v>
      </c>
      <c r="O346" t="s">
        <v>427</v>
      </c>
    </row>
    <row r="347" spans="1:15" x14ac:dyDescent="0.25">
      <c r="A347" t="s">
        <v>1125</v>
      </c>
      <c r="B347" t="s">
        <v>1126</v>
      </c>
      <c r="C347" t="s">
        <v>1127</v>
      </c>
      <c r="D347" t="s">
        <v>734</v>
      </c>
      <c r="E347" s="2">
        <v>44599</v>
      </c>
      <c r="F347" t="s">
        <v>11</v>
      </c>
      <c r="G347">
        <v>10000000</v>
      </c>
      <c r="H347" s="2">
        <v>44713</v>
      </c>
      <c r="I347">
        <v>2022</v>
      </c>
      <c r="J347">
        <v>6580.18977831559</v>
      </c>
      <c r="K347">
        <v>24037.860221684401</v>
      </c>
      <c r="L347">
        <v>163477.79</v>
      </c>
      <c r="M347">
        <v>48035.12</v>
      </c>
      <c r="N347">
        <v>242130.96</v>
      </c>
      <c r="O347" t="s">
        <v>168</v>
      </c>
    </row>
    <row r="348" spans="1:15" x14ac:dyDescent="0.25">
      <c r="A348" t="s">
        <v>1128</v>
      </c>
      <c r="B348" t="s">
        <v>1129</v>
      </c>
      <c r="C348" t="s">
        <v>1130</v>
      </c>
      <c r="D348" t="s">
        <v>110</v>
      </c>
      <c r="E348" s="2">
        <v>44624</v>
      </c>
      <c r="F348" t="s">
        <v>38</v>
      </c>
      <c r="G348">
        <v>4000000</v>
      </c>
      <c r="H348" s="2">
        <v>44795</v>
      </c>
      <c r="I348">
        <v>2022</v>
      </c>
      <c r="J348">
        <v>6915.4482441734899</v>
      </c>
      <c r="K348">
        <v>24909.821755826499</v>
      </c>
      <c r="L348">
        <v>200868.95</v>
      </c>
      <c r="M348">
        <v>0</v>
      </c>
      <c r="N348">
        <v>232694.22</v>
      </c>
      <c r="O348" t="s">
        <v>233</v>
      </c>
    </row>
    <row r="349" spans="1:15" x14ac:dyDescent="0.25">
      <c r="A349" t="s">
        <v>1131</v>
      </c>
      <c r="B349" t="s">
        <v>1132</v>
      </c>
      <c r="C349" t="s">
        <v>1133</v>
      </c>
      <c r="D349" t="s">
        <v>110</v>
      </c>
      <c r="E349" s="2">
        <v>44752</v>
      </c>
      <c r="F349" t="s">
        <v>17</v>
      </c>
      <c r="G349">
        <v>5000000</v>
      </c>
      <c r="H349" s="2">
        <v>44833</v>
      </c>
      <c r="I349">
        <v>2022</v>
      </c>
      <c r="J349">
        <v>6560.6456870681504</v>
      </c>
      <c r="K349">
        <v>16767.7343129318</v>
      </c>
      <c r="L349">
        <v>163858.04</v>
      </c>
      <c r="M349">
        <v>0</v>
      </c>
      <c r="N349">
        <v>187186.42</v>
      </c>
      <c r="O349" t="s">
        <v>168</v>
      </c>
    </row>
    <row r="350" spans="1:15" x14ac:dyDescent="0.25">
      <c r="A350" t="s">
        <v>1134</v>
      </c>
      <c r="B350" t="s">
        <v>1135</v>
      </c>
      <c r="C350" t="s">
        <v>1136</v>
      </c>
      <c r="D350" t="s">
        <v>110</v>
      </c>
      <c r="E350" s="2">
        <v>44468</v>
      </c>
      <c r="F350" t="s">
        <v>50</v>
      </c>
      <c r="G350">
        <v>5000000</v>
      </c>
      <c r="H350" s="2">
        <v>44608</v>
      </c>
      <c r="I350">
        <v>2022</v>
      </c>
      <c r="J350">
        <v>60113.852715025299</v>
      </c>
      <c r="K350">
        <v>221935.097284975</v>
      </c>
      <c r="L350">
        <v>1341901.6100000001</v>
      </c>
      <c r="M350">
        <v>0</v>
      </c>
      <c r="N350">
        <v>1623950.56</v>
      </c>
      <c r="O350" t="s">
        <v>131</v>
      </c>
    </row>
    <row r="351" spans="1:15" x14ac:dyDescent="0.25">
      <c r="A351" t="s">
        <v>1137</v>
      </c>
      <c r="B351" t="s">
        <v>1138</v>
      </c>
      <c r="C351" t="s">
        <v>1139</v>
      </c>
      <c r="D351" t="s">
        <v>110</v>
      </c>
      <c r="E351" s="2">
        <v>44703</v>
      </c>
      <c r="F351" t="s">
        <v>34</v>
      </c>
      <c r="G351">
        <v>5000000</v>
      </c>
      <c r="H351" s="2">
        <v>44845</v>
      </c>
      <c r="I351">
        <v>2022</v>
      </c>
      <c r="J351">
        <v>1948.4928853658801</v>
      </c>
      <c r="K351">
        <v>5775.7571146341197</v>
      </c>
      <c r="L351">
        <v>67027.520000000004</v>
      </c>
      <c r="M351">
        <v>0</v>
      </c>
      <c r="N351">
        <v>74751.77</v>
      </c>
      <c r="O351" t="s">
        <v>207</v>
      </c>
    </row>
    <row r="352" spans="1:15" x14ac:dyDescent="0.25">
      <c r="A352" t="s">
        <v>1140</v>
      </c>
      <c r="B352" t="s">
        <v>1141</v>
      </c>
      <c r="C352" t="s">
        <v>1142</v>
      </c>
      <c r="D352" t="s">
        <v>110</v>
      </c>
      <c r="E352" s="2">
        <v>44478</v>
      </c>
      <c r="F352" t="s">
        <v>30</v>
      </c>
      <c r="G352">
        <v>5000000</v>
      </c>
      <c r="H352" s="2">
        <v>44707</v>
      </c>
      <c r="I352">
        <v>2022</v>
      </c>
      <c r="J352">
        <v>3110.2336169138698</v>
      </c>
      <c r="K352">
        <v>8404.4563830861298</v>
      </c>
      <c r="L352">
        <v>112503.05</v>
      </c>
      <c r="M352">
        <v>0</v>
      </c>
      <c r="N352">
        <v>124017.74</v>
      </c>
      <c r="O352" t="s">
        <v>135</v>
      </c>
    </row>
    <row r="353" spans="1:15" x14ac:dyDescent="0.25">
      <c r="A353" t="s">
        <v>1143</v>
      </c>
      <c r="B353" t="s">
        <v>1144</v>
      </c>
      <c r="C353" t="s">
        <v>1145</v>
      </c>
      <c r="D353" t="s">
        <v>110</v>
      </c>
      <c r="E353" s="2">
        <v>43685</v>
      </c>
      <c r="F353" t="s">
        <v>41</v>
      </c>
      <c r="G353">
        <v>1000000</v>
      </c>
      <c r="H353" s="2">
        <v>43855</v>
      </c>
      <c r="I353">
        <v>2020</v>
      </c>
      <c r="J353">
        <v>3283.9574714648502</v>
      </c>
      <c r="K353">
        <v>10777.3125285352</v>
      </c>
      <c r="L353">
        <v>53514.03</v>
      </c>
      <c r="M353">
        <v>0</v>
      </c>
      <c r="N353">
        <v>67575.3</v>
      </c>
      <c r="O353" t="s">
        <v>139</v>
      </c>
    </row>
    <row r="354" spans="1:15" x14ac:dyDescent="0.25">
      <c r="A354" t="s">
        <v>1146</v>
      </c>
      <c r="B354" t="s">
        <v>1147</v>
      </c>
      <c r="C354" t="s">
        <v>1148</v>
      </c>
      <c r="D354" t="s">
        <v>110</v>
      </c>
      <c r="E354" s="2">
        <v>44786</v>
      </c>
      <c r="F354" t="s">
        <v>38</v>
      </c>
      <c r="G354">
        <v>3000000</v>
      </c>
      <c r="H354" s="2">
        <v>44841</v>
      </c>
      <c r="I354">
        <v>2022</v>
      </c>
      <c r="J354">
        <v>9059.3616543579392</v>
      </c>
      <c r="K354">
        <v>32993.118345642099</v>
      </c>
      <c r="L354">
        <v>173234.01</v>
      </c>
      <c r="M354">
        <v>0</v>
      </c>
      <c r="N354">
        <v>215286.49</v>
      </c>
      <c r="O354" t="s">
        <v>168</v>
      </c>
    </row>
    <row r="355" spans="1:15" x14ac:dyDescent="0.25">
      <c r="A355" t="s">
        <v>1149</v>
      </c>
      <c r="B355" t="s">
        <v>1150</v>
      </c>
      <c r="C355" t="s">
        <v>1151</v>
      </c>
      <c r="D355" t="s">
        <v>734</v>
      </c>
      <c r="E355" s="2">
        <v>44781</v>
      </c>
      <c r="F355" t="s">
        <v>38</v>
      </c>
      <c r="G355">
        <v>10000000</v>
      </c>
      <c r="H355" s="2">
        <v>44872</v>
      </c>
      <c r="I355">
        <v>2022</v>
      </c>
      <c r="J355">
        <v>2506.92680830776</v>
      </c>
      <c r="K355">
        <v>9504.8531916922402</v>
      </c>
      <c r="L355">
        <v>64990.43</v>
      </c>
      <c r="M355">
        <v>574.91999999999598</v>
      </c>
      <c r="N355">
        <v>77577.13</v>
      </c>
      <c r="O355" t="s">
        <v>207</v>
      </c>
    </row>
    <row r="356" spans="1:15" x14ac:dyDescent="0.25">
      <c r="A356" t="s">
        <v>1152</v>
      </c>
      <c r="B356" t="s">
        <v>1153</v>
      </c>
      <c r="C356" t="s">
        <v>1154</v>
      </c>
      <c r="D356" t="s">
        <v>734</v>
      </c>
      <c r="E356" s="2">
        <v>44530</v>
      </c>
      <c r="F356" t="s">
        <v>21</v>
      </c>
      <c r="G356">
        <v>1000000</v>
      </c>
      <c r="H356" s="2">
        <v>44842</v>
      </c>
      <c r="I356">
        <v>2022</v>
      </c>
      <c r="J356">
        <v>3542.68204970957</v>
      </c>
      <c r="K356">
        <v>12185.4579502904</v>
      </c>
      <c r="L356">
        <v>77242.7</v>
      </c>
      <c r="M356">
        <v>36709.370000000003</v>
      </c>
      <c r="N356">
        <v>129680.21</v>
      </c>
      <c r="O356" t="s">
        <v>135</v>
      </c>
    </row>
    <row r="357" spans="1:15" x14ac:dyDescent="0.25">
      <c r="A357" t="s">
        <v>1155</v>
      </c>
      <c r="B357" t="s">
        <v>1156</v>
      </c>
      <c r="C357" t="s">
        <v>1157</v>
      </c>
      <c r="D357" t="s">
        <v>110</v>
      </c>
      <c r="E357" s="2">
        <v>44577</v>
      </c>
      <c r="F357" t="s">
        <v>41</v>
      </c>
      <c r="G357">
        <v>2000000</v>
      </c>
      <c r="H357" s="2">
        <v>44841</v>
      </c>
      <c r="I357">
        <v>2022</v>
      </c>
      <c r="J357">
        <v>4211.4593499069797</v>
      </c>
      <c r="K357">
        <v>12225.080650092999</v>
      </c>
      <c r="L357">
        <v>59550.94</v>
      </c>
      <c r="M357">
        <v>0</v>
      </c>
      <c r="N357">
        <v>75987.48</v>
      </c>
      <c r="O357" t="s">
        <v>157</v>
      </c>
    </row>
    <row r="358" spans="1:15" x14ac:dyDescent="0.25">
      <c r="A358" t="s">
        <v>1158</v>
      </c>
      <c r="B358" t="s">
        <v>1159</v>
      </c>
      <c r="C358" t="s">
        <v>1160</v>
      </c>
      <c r="D358" t="s">
        <v>110</v>
      </c>
      <c r="E358" s="2">
        <v>44730</v>
      </c>
      <c r="F358" t="s">
        <v>49</v>
      </c>
      <c r="G358">
        <v>5000000</v>
      </c>
      <c r="H358" s="2">
        <v>44837</v>
      </c>
      <c r="I358">
        <v>2022</v>
      </c>
      <c r="J358">
        <v>7033.4823341668198</v>
      </c>
      <c r="K358">
        <v>25455.377665833199</v>
      </c>
      <c r="L358">
        <v>144487.95000000001</v>
      </c>
      <c r="M358">
        <v>0</v>
      </c>
      <c r="N358">
        <v>176976.81</v>
      </c>
      <c r="O358" t="s">
        <v>193</v>
      </c>
    </row>
    <row r="359" spans="1:15" x14ac:dyDescent="0.25">
      <c r="A359" t="s">
        <v>1161</v>
      </c>
      <c r="B359" t="s">
        <v>1162</v>
      </c>
      <c r="C359" t="s">
        <v>1163</v>
      </c>
      <c r="D359" t="s">
        <v>734</v>
      </c>
      <c r="E359" s="2">
        <v>44679</v>
      </c>
      <c r="F359" t="s">
        <v>42</v>
      </c>
      <c r="G359">
        <v>5000000</v>
      </c>
      <c r="H359" s="2">
        <v>44879</v>
      </c>
      <c r="I359">
        <v>2022</v>
      </c>
      <c r="J359">
        <v>2063.3297526026799</v>
      </c>
      <c r="K359">
        <v>7161.6602473973198</v>
      </c>
      <c r="L359">
        <v>29186.54</v>
      </c>
      <c r="M359">
        <v>48480.4</v>
      </c>
      <c r="N359">
        <v>86891.93</v>
      </c>
      <c r="O359" t="s">
        <v>135</v>
      </c>
    </row>
    <row r="360" spans="1:15" x14ac:dyDescent="0.25">
      <c r="A360" t="s">
        <v>1164</v>
      </c>
      <c r="B360" t="s">
        <v>1165</v>
      </c>
      <c r="C360" t="s">
        <v>1166</v>
      </c>
      <c r="D360" t="s">
        <v>734</v>
      </c>
      <c r="E360" s="2">
        <v>44517</v>
      </c>
      <c r="F360" t="s">
        <v>51</v>
      </c>
      <c r="G360">
        <v>5000000</v>
      </c>
      <c r="H360" s="2">
        <v>44825</v>
      </c>
      <c r="I360">
        <v>2022</v>
      </c>
      <c r="J360">
        <v>22524.262222970599</v>
      </c>
      <c r="K360">
        <v>63286.5377770294</v>
      </c>
      <c r="L360">
        <v>275366.52</v>
      </c>
      <c r="M360">
        <v>245200.22</v>
      </c>
      <c r="N360">
        <v>606377.54</v>
      </c>
      <c r="O360" t="s">
        <v>115</v>
      </c>
    </row>
    <row r="361" spans="1:15" x14ac:dyDescent="0.25">
      <c r="A361" t="s">
        <v>1167</v>
      </c>
      <c r="B361" t="s">
        <v>1168</v>
      </c>
      <c r="C361" t="s">
        <v>1169</v>
      </c>
      <c r="D361" t="s">
        <v>110</v>
      </c>
      <c r="E361" s="2">
        <v>44690</v>
      </c>
      <c r="F361" t="s">
        <v>45</v>
      </c>
      <c r="G361">
        <v>1000000</v>
      </c>
      <c r="H361" s="2">
        <v>44856</v>
      </c>
      <c r="I361">
        <v>2022</v>
      </c>
      <c r="J361">
        <v>1737.3307492619899</v>
      </c>
      <c r="K361">
        <v>6219.7192507380096</v>
      </c>
      <c r="L361">
        <v>66636.899999999994</v>
      </c>
      <c r="M361">
        <v>0</v>
      </c>
      <c r="N361">
        <v>74593.95</v>
      </c>
      <c r="O361" t="s">
        <v>207</v>
      </c>
    </row>
    <row r="362" spans="1:15" x14ac:dyDescent="0.25">
      <c r="A362" t="s">
        <v>1170</v>
      </c>
      <c r="B362" t="s">
        <v>1171</v>
      </c>
      <c r="C362" t="s">
        <v>1172</v>
      </c>
      <c r="D362" t="s">
        <v>734</v>
      </c>
      <c r="E362" s="2">
        <v>44558</v>
      </c>
      <c r="F362" t="s">
        <v>12</v>
      </c>
      <c r="G362">
        <v>10000000</v>
      </c>
      <c r="H362" s="2">
        <v>44846</v>
      </c>
      <c r="I362">
        <v>2022</v>
      </c>
      <c r="J362">
        <v>6165.0475301098904</v>
      </c>
      <c r="K362">
        <v>23506.302469890099</v>
      </c>
      <c r="L362">
        <v>204531.20000000001</v>
      </c>
      <c r="M362">
        <v>17710.03</v>
      </c>
      <c r="N362">
        <v>251912.58</v>
      </c>
      <c r="O362" t="s">
        <v>233</v>
      </c>
    </row>
    <row r="363" spans="1:15" x14ac:dyDescent="0.25">
      <c r="A363" t="s">
        <v>1173</v>
      </c>
      <c r="B363" t="s">
        <v>1174</v>
      </c>
      <c r="C363" t="s">
        <v>1175</v>
      </c>
      <c r="D363" t="s">
        <v>734</v>
      </c>
      <c r="E363" s="2">
        <v>44567</v>
      </c>
      <c r="F363" t="s">
        <v>42</v>
      </c>
      <c r="G363">
        <v>5000000</v>
      </c>
      <c r="H363" s="2">
        <v>44890</v>
      </c>
      <c r="I363">
        <v>2022</v>
      </c>
      <c r="J363">
        <v>3016.4870428028798</v>
      </c>
      <c r="K363">
        <v>8772.9429571971195</v>
      </c>
      <c r="L363">
        <v>50336.03</v>
      </c>
      <c r="M363">
        <v>9500.61</v>
      </c>
      <c r="N363">
        <v>71626.070000000007</v>
      </c>
      <c r="O363" t="s">
        <v>150</v>
      </c>
    </row>
    <row r="364" spans="1:15" x14ac:dyDescent="0.25">
      <c r="A364" t="s">
        <v>1176</v>
      </c>
      <c r="B364" t="s">
        <v>1177</v>
      </c>
      <c r="C364" t="s">
        <v>1178</v>
      </c>
      <c r="D364" t="s">
        <v>110</v>
      </c>
      <c r="E364" s="2">
        <v>44713</v>
      </c>
      <c r="F364" t="s">
        <v>39</v>
      </c>
      <c r="G364">
        <v>5000000</v>
      </c>
      <c r="H364" s="2">
        <v>44888</v>
      </c>
      <c r="I364">
        <v>2022</v>
      </c>
      <c r="J364">
        <v>80200.976908182201</v>
      </c>
      <c r="K364">
        <v>209328.75309181801</v>
      </c>
      <c r="L364">
        <v>2889811.55</v>
      </c>
      <c r="M364">
        <v>0</v>
      </c>
      <c r="N364">
        <v>3179341.28</v>
      </c>
      <c r="O364" t="s">
        <v>353</v>
      </c>
    </row>
    <row r="365" spans="1:15" x14ac:dyDescent="0.25">
      <c r="A365" t="s">
        <v>1179</v>
      </c>
      <c r="B365" t="s">
        <v>1180</v>
      </c>
      <c r="C365" t="s">
        <v>1181</v>
      </c>
      <c r="D365" t="s">
        <v>110</v>
      </c>
      <c r="E365" s="2">
        <v>44716</v>
      </c>
      <c r="F365" t="s">
        <v>27</v>
      </c>
      <c r="G365">
        <v>10000000</v>
      </c>
      <c r="H365" s="2">
        <v>44738</v>
      </c>
      <c r="I365">
        <v>2022</v>
      </c>
      <c r="J365">
        <v>61195.713933251202</v>
      </c>
      <c r="K365">
        <v>170615.68606674901</v>
      </c>
      <c r="L365">
        <v>1924020.04</v>
      </c>
      <c r="M365">
        <v>0</v>
      </c>
      <c r="N365">
        <v>2155831.44</v>
      </c>
      <c r="O365" t="s">
        <v>353</v>
      </c>
    </row>
    <row r="366" spans="1:15" x14ac:dyDescent="0.25">
      <c r="A366" t="s">
        <v>1182</v>
      </c>
      <c r="B366" t="s">
        <v>1183</v>
      </c>
      <c r="C366" t="s">
        <v>1184</v>
      </c>
      <c r="D366" t="s">
        <v>110</v>
      </c>
      <c r="E366" s="2">
        <v>44837</v>
      </c>
      <c r="F366" t="s">
        <v>30</v>
      </c>
      <c r="G366">
        <v>1000000</v>
      </c>
      <c r="H366" s="2">
        <v>44904</v>
      </c>
      <c r="I366">
        <v>2022</v>
      </c>
      <c r="J366">
        <v>2874.5548210143502</v>
      </c>
      <c r="K366">
        <v>8360.9951789856495</v>
      </c>
      <c r="L366">
        <v>84886.3</v>
      </c>
      <c r="M366">
        <v>0</v>
      </c>
      <c r="N366">
        <v>96121.85</v>
      </c>
      <c r="O366" t="s">
        <v>119</v>
      </c>
    </row>
    <row r="367" spans="1:15" x14ac:dyDescent="0.25">
      <c r="A367" t="s">
        <v>1185</v>
      </c>
      <c r="B367" t="s">
        <v>1186</v>
      </c>
      <c r="C367" t="s">
        <v>1187</v>
      </c>
      <c r="D367" t="s">
        <v>110</v>
      </c>
      <c r="E367" s="2">
        <v>44770</v>
      </c>
      <c r="F367" t="s">
        <v>55</v>
      </c>
      <c r="G367">
        <v>5000000</v>
      </c>
      <c r="H367" s="2">
        <v>44869</v>
      </c>
      <c r="I367">
        <v>2022</v>
      </c>
      <c r="J367">
        <v>3701.2779850257598</v>
      </c>
      <c r="K367">
        <v>12436.3620149742</v>
      </c>
      <c r="L367">
        <v>77778.210000000006</v>
      </c>
      <c r="M367">
        <v>0</v>
      </c>
      <c r="N367">
        <v>93915.85</v>
      </c>
      <c r="O367" t="s">
        <v>240</v>
      </c>
    </row>
    <row r="368" spans="1:15" x14ac:dyDescent="0.25">
      <c r="A368" t="s">
        <v>1188</v>
      </c>
      <c r="B368" t="s">
        <v>1189</v>
      </c>
      <c r="C368" t="s">
        <v>1190</v>
      </c>
      <c r="D368" t="s">
        <v>110</v>
      </c>
      <c r="E368" s="2">
        <v>44638</v>
      </c>
      <c r="F368" t="s">
        <v>12</v>
      </c>
      <c r="G368">
        <v>2000000</v>
      </c>
      <c r="H368" s="2">
        <v>44908</v>
      </c>
      <c r="I368">
        <v>2022</v>
      </c>
      <c r="J368">
        <v>3465.9747862082399</v>
      </c>
      <c r="K368">
        <v>13602.9452137918</v>
      </c>
      <c r="L368">
        <v>122858.63</v>
      </c>
      <c r="M368">
        <v>0</v>
      </c>
      <c r="N368">
        <v>139927.54999999999</v>
      </c>
      <c r="O368" t="s">
        <v>186</v>
      </c>
    </row>
    <row r="369" spans="1:15" x14ac:dyDescent="0.25">
      <c r="A369" t="s">
        <v>1191</v>
      </c>
      <c r="B369" t="s">
        <v>1192</v>
      </c>
      <c r="C369" t="s">
        <v>1193</v>
      </c>
      <c r="D369" t="s">
        <v>110</v>
      </c>
      <c r="E369" s="2">
        <v>44769</v>
      </c>
      <c r="F369" t="s">
        <v>25</v>
      </c>
      <c r="G369">
        <v>1000000</v>
      </c>
      <c r="H369" s="2">
        <v>44821</v>
      </c>
      <c r="I369">
        <v>2022</v>
      </c>
      <c r="J369">
        <v>3458.2292938063201</v>
      </c>
      <c r="K369">
        <v>10587.220706193701</v>
      </c>
      <c r="L369">
        <v>83004.72</v>
      </c>
      <c r="M369">
        <v>0</v>
      </c>
      <c r="N369">
        <v>97050.17</v>
      </c>
      <c r="O369" t="s">
        <v>119</v>
      </c>
    </row>
    <row r="370" spans="1:15" x14ac:dyDescent="0.25">
      <c r="A370" t="s">
        <v>1194</v>
      </c>
      <c r="B370" t="s">
        <v>1195</v>
      </c>
      <c r="C370" t="s">
        <v>1196</v>
      </c>
      <c r="D370" t="s">
        <v>734</v>
      </c>
      <c r="E370" s="2">
        <v>44582</v>
      </c>
      <c r="F370" t="s">
        <v>17</v>
      </c>
      <c r="G370">
        <v>5000000</v>
      </c>
      <c r="H370" s="2">
        <v>44926</v>
      </c>
      <c r="I370">
        <v>2022</v>
      </c>
      <c r="J370">
        <v>6307.3292282959501</v>
      </c>
      <c r="K370">
        <v>22709.130771704</v>
      </c>
      <c r="L370">
        <v>262942.08000000002</v>
      </c>
      <c r="M370">
        <v>173467.11</v>
      </c>
      <c r="N370">
        <v>465425.65</v>
      </c>
      <c r="O370" t="s">
        <v>179</v>
      </c>
    </row>
    <row r="371" spans="1:15" x14ac:dyDescent="0.25">
      <c r="A371" t="s">
        <v>1197</v>
      </c>
      <c r="B371" t="s">
        <v>1198</v>
      </c>
      <c r="C371" t="s">
        <v>1199</v>
      </c>
      <c r="D371" t="s">
        <v>110</v>
      </c>
      <c r="E371" s="2">
        <v>44819</v>
      </c>
      <c r="F371" t="s">
        <v>42</v>
      </c>
      <c r="G371">
        <v>1000000</v>
      </c>
      <c r="H371" s="2">
        <v>44918</v>
      </c>
      <c r="I371">
        <v>2022</v>
      </c>
      <c r="J371">
        <v>4385.7963826714104</v>
      </c>
      <c r="K371">
        <v>16645.103617328601</v>
      </c>
      <c r="L371">
        <v>87708.3</v>
      </c>
      <c r="M371">
        <v>0</v>
      </c>
      <c r="N371">
        <v>108739.2</v>
      </c>
      <c r="O371" t="s">
        <v>119</v>
      </c>
    </row>
    <row r="372" spans="1:15" x14ac:dyDescent="0.25">
      <c r="A372" t="s">
        <v>1200</v>
      </c>
      <c r="B372" t="s">
        <v>1201</v>
      </c>
      <c r="C372" t="s">
        <v>1202</v>
      </c>
      <c r="D372" t="s">
        <v>734</v>
      </c>
      <c r="E372" s="2">
        <v>44860</v>
      </c>
      <c r="F372" t="s">
        <v>52</v>
      </c>
      <c r="G372">
        <v>1000000</v>
      </c>
      <c r="H372" s="2">
        <v>44906</v>
      </c>
      <c r="I372">
        <v>2022</v>
      </c>
      <c r="J372">
        <v>4102.5889994589597</v>
      </c>
      <c r="K372">
        <v>11852.751000541</v>
      </c>
      <c r="L372">
        <v>152262.07</v>
      </c>
      <c r="M372">
        <v>24317.4</v>
      </c>
      <c r="N372">
        <v>192534.81</v>
      </c>
      <c r="O372" t="s">
        <v>172</v>
      </c>
    </row>
    <row r="373" spans="1:15" x14ac:dyDescent="0.25">
      <c r="A373" t="s">
        <v>1203</v>
      </c>
      <c r="B373" t="s">
        <v>1204</v>
      </c>
      <c r="C373" t="s">
        <v>1205</v>
      </c>
      <c r="D373" t="s">
        <v>734</v>
      </c>
      <c r="E373" s="2">
        <v>44765</v>
      </c>
      <c r="F373" t="s">
        <v>12</v>
      </c>
      <c r="G373">
        <v>1000000</v>
      </c>
      <c r="H373" s="2">
        <v>44883</v>
      </c>
      <c r="I373">
        <v>2022</v>
      </c>
      <c r="J373">
        <v>3473.5838024311402</v>
      </c>
      <c r="K373">
        <v>12612.7461975689</v>
      </c>
      <c r="L373">
        <v>82387.42</v>
      </c>
      <c r="M373">
        <v>47083.28</v>
      </c>
      <c r="N373">
        <v>145557.03</v>
      </c>
      <c r="O373" t="s">
        <v>123</v>
      </c>
    </row>
    <row r="374" spans="1:15" x14ac:dyDescent="0.25">
      <c r="A374" t="s">
        <v>1206</v>
      </c>
      <c r="B374" t="s">
        <v>1207</v>
      </c>
      <c r="C374" t="s">
        <v>1208</v>
      </c>
      <c r="D374" t="s">
        <v>734</v>
      </c>
      <c r="E374" s="2">
        <v>44650</v>
      </c>
      <c r="F374" t="s">
        <v>21</v>
      </c>
      <c r="G374">
        <v>3000000</v>
      </c>
      <c r="H374" s="2">
        <v>44939</v>
      </c>
      <c r="I374">
        <v>2023</v>
      </c>
      <c r="J374">
        <v>2305.6462237462802</v>
      </c>
      <c r="K374">
        <v>6380.90377625372</v>
      </c>
      <c r="L374">
        <v>75618.899999999994</v>
      </c>
      <c r="M374">
        <v>33356.31</v>
      </c>
      <c r="N374">
        <v>117661.75999999999</v>
      </c>
      <c r="O374" t="s">
        <v>186</v>
      </c>
    </row>
    <row r="375" spans="1:15" x14ac:dyDescent="0.25">
      <c r="A375" t="s">
        <v>1209</v>
      </c>
      <c r="B375" t="s">
        <v>1210</v>
      </c>
      <c r="C375" t="s">
        <v>1211</v>
      </c>
      <c r="D375" t="s">
        <v>110</v>
      </c>
      <c r="E375" s="2">
        <v>44523</v>
      </c>
      <c r="F375" t="s">
        <v>38</v>
      </c>
      <c r="G375">
        <v>10000000</v>
      </c>
      <c r="H375" s="2">
        <v>44741</v>
      </c>
      <c r="I375">
        <v>2022</v>
      </c>
      <c r="J375">
        <v>237251.776214913</v>
      </c>
      <c r="K375">
        <v>881480.23378508701</v>
      </c>
      <c r="L375">
        <v>7241167.79</v>
      </c>
      <c r="M375">
        <v>0</v>
      </c>
      <c r="N375">
        <v>8359899.7999999998</v>
      </c>
      <c r="O375" t="s">
        <v>353</v>
      </c>
    </row>
    <row r="376" spans="1:15" x14ac:dyDescent="0.25">
      <c r="A376" t="s">
        <v>1212</v>
      </c>
      <c r="B376" t="s">
        <v>1213</v>
      </c>
      <c r="C376" t="s">
        <v>1214</v>
      </c>
      <c r="D376" t="s">
        <v>110</v>
      </c>
      <c r="E376" s="2">
        <v>44829</v>
      </c>
      <c r="F376" t="s">
        <v>48</v>
      </c>
      <c r="G376">
        <v>1000000</v>
      </c>
      <c r="H376" s="2">
        <v>44942</v>
      </c>
      <c r="I376">
        <v>2023</v>
      </c>
      <c r="J376">
        <v>9661.1362613572492</v>
      </c>
      <c r="K376">
        <v>26390.223738642799</v>
      </c>
      <c r="L376">
        <v>140597.74</v>
      </c>
      <c r="M376">
        <v>0</v>
      </c>
      <c r="N376">
        <v>176649.1</v>
      </c>
      <c r="O376" t="s">
        <v>193</v>
      </c>
    </row>
    <row r="377" spans="1:15" x14ac:dyDescent="0.25">
      <c r="A377" t="s">
        <v>1215</v>
      </c>
      <c r="B377" t="s">
        <v>1216</v>
      </c>
      <c r="C377" t="s">
        <v>1217</v>
      </c>
      <c r="D377" t="s">
        <v>110</v>
      </c>
      <c r="E377" s="2">
        <v>44609</v>
      </c>
      <c r="F377" t="s">
        <v>21</v>
      </c>
      <c r="G377">
        <v>1000000</v>
      </c>
      <c r="H377" s="2">
        <v>44913</v>
      </c>
      <c r="I377">
        <v>2022</v>
      </c>
      <c r="J377">
        <v>14634.4659275083</v>
      </c>
      <c r="K377">
        <v>46738.364072491699</v>
      </c>
      <c r="L377">
        <v>597979</v>
      </c>
      <c r="M377">
        <v>0</v>
      </c>
      <c r="N377">
        <v>659351.82999999996</v>
      </c>
      <c r="O377" t="s">
        <v>115</v>
      </c>
    </row>
    <row r="378" spans="1:15" x14ac:dyDescent="0.25">
      <c r="A378" t="s">
        <v>1218</v>
      </c>
      <c r="B378" t="s">
        <v>1219</v>
      </c>
      <c r="C378" t="s">
        <v>1220</v>
      </c>
      <c r="D378" t="s">
        <v>110</v>
      </c>
      <c r="E378" s="2">
        <v>44696</v>
      </c>
      <c r="F378" t="s">
        <v>45</v>
      </c>
      <c r="G378">
        <v>5000000</v>
      </c>
      <c r="H378" s="2">
        <v>44937</v>
      </c>
      <c r="I378">
        <v>2023</v>
      </c>
      <c r="J378">
        <v>7594.5761886140799</v>
      </c>
      <c r="K378">
        <v>18758.2838113859</v>
      </c>
      <c r="L378">
        <v>103138.84</v>
      </c>
      <c r="M378">
        <v>0</v>
      </c>
      <c r="N378">
        <v>129491.7</v>
      </c>
      <c r="O378" t="s">
        <v>164</v>
      </c>
    </row>
    <row r="379" spans="1:15" x14ac:dyDescent="0.25">
      <c r="A379" t="s">
        <v>1221</v>
      </c>
      <c r="B379" t="s">
        <v>1222</v>
      </c>
      <c r="C379" t="s">
        <v>1223</v>
      </c>
      <c r="D379" t="s">
        <v>734</v>
      </c>
      <c r="E379" s="2">
        <v>44721</v>
      </c>
      <c r="F379" t="s">
        <v>50</v>
      </c>
      <c r="G379">
        <v>2000000</v>
      </c>
      <c r="H379" s="2">
        <v>44951</v>
      </c>
      <c r="I379">
        <v>2023</v>
      </c>
      <c r="J379">
        <v>13701.1970877271</v>
      </c>
      <c r="K379">
        <v>42870.5229122729</v>
      </c>
      <c r="L379">
        <v>187315.31</v>
      </c>
      <c r="M379">
        <v>3073.61</v>
      </c>
      <c r="N379">
        <v>246960.64000000001</v>
      </c>
      <c r="O379" t="s">
        <v>172</v>
      </c>
    </row>
    <row r="380" spans="1:15" x14ac:dyDescent="0.25">
      <c r="A380" t="s">
        <v>1224</v>
      </c>
      <c r="B380" t="s">
        <v>1225</v>
      </c>
      <c r="C380" t="s">
        <v>1226</v>
      </c>
      <c r="D380" t="s">
        <v>110</v>
      </c>
      <c r="E380" s="2">
        <v>44811</v>
      </c>
      <c r="F380" t="s">
        <v>21</v>
      </c>
      <c r="G380">
        <v>1000000</v>
      </c>
      <c r="H380" s="2">
        <v>44958</v>
      </c>
      <c r="I380">
        <v>2023</v>
      </c>
      <c r="J380">
        <v>10922.6704141471</v>
      </c>
      <c r="K380">
        <v>29169.9795858529</v>
      </c>
      <c r="L380">
        <v>176809.45</v>
      </c>
      <c r="M380">
        <v>0</v>
      </c>
      <c r="N380">
        <v>216902.1</v>
      </c>
      <c r="O380" t="s">
        <v>168</v>
      </c>
    </row>
    <row r="381" spans="1:15" x14ac:dyDescent="0.25">
      <c r="A381" t="s">
        <v>1227</v>
      </c>
      <c r="B381" t="s">
        <v>1228</v>
      </c>
      <c r="C381" t="s">
        <v>1229</v>
      </c>
      <c r="D381" t="s">
        <v>110</v>
      </c>
      <c r="E381" s="2">
        <v>44747</v>
      </c>
      <c r="F381" t="s">
        <v>42</v>
      </c>
      <c r="G381">
        <v>5000000</v>
      </c>
      <c r="H381" s="2">
        <v>44939</v>
      </c>
      <c r="I381">
        <v>2023</v>
      </c>
      <c r="J381">
        <v>4307.6499425408101</v>
      </c>
      <c r="K381">
        <v>10710.970057459201</v>
      </c>
      <c r="L381">
        <v>111873.34</v>
      </c>
      <c r="M381">
        <v>0</v>
      </c>
      <c r="N381">
        <v>126891.96</v>
      </c>
      <c r="O381" t="s">
        <v>135</v>
      </c>
    </row>
    <row r="382" spans="1:15" x14ac:dyDescent="0.25">
      <c r="A382" t="s">
        <v>1230</v>
      </c>
      <c r="B382" t="s">
        <v>1231</v>
      </c>
      <c r="C382" t="s">
        <v>1232</v>
      </c>
      <c r="D382" t="s">
        <v>110</v>
      </c>
      <c r="E382" s="2">
        <v>43729</v>
      </c>
      <c r="F382" t="s">
        <v>27</v>
      </c>
      <c r="G382">
        <v>1000000</v>
      </c>
      <c r="H382" s="2">
        <v>44014</v>
      </c>
      <c r="I382">
        <v>2020</v>
      </c>
      <c r="J382">
        <v>4203.31051092487</v>
      </c>
      <c r="K382">
        <v>13584.3194890751</v>
      </c>
      <c r="L382">
        <v>128585.16</v>
      </c>
      <c r="M382">
        <v>0</v>
      </c>
      <c r="N382">
        <v>146372.79</v>
      </c>
      <c r="O382" t="s">
        <v>123</v>
      </c>
    </row>
    <row r="383" spans="1:15" x14ac:dyDescent="0.25">
      <c r="A383" t="s">
        <v>1233</v>
      </c>
      <c r="B383" t="s">
        <v>1234</v>
      </c>
      <c r="C383" t="s">
        <v>1235</v>
      </c>
      <c r="D383" t="s">
        <v>734</v>
      </c>
      <c r="E383" s="2">
        <v>44750</v>
      </c>
      <c r="F383" t="s">
        <v>11</v>
      </c>
      <c r="G383">
        <v>1000000</v>
      </c>
      <c r="H383" s="2">
        <v>44966</v>
      </c>
      <c r="I383">
        <v>2023</v>
      </c>
      <c r="J383">
        <v>4501.2233210307104</v>
      </c>
      <c r="K383">
        <v>13432.4666789693</v>
      </c>
      <c r="L383">
        <v>77457.19</v>
      </c>
      <c r="M383">
        <v>37983.56</v>
      </c>
      <c r="N383">
        <v>133374.44</v>
      </c>
      <c r="O383" t="s">
        <v>186</v>
      </c>
    </row>
    <row r="384" spans="1:15" x14ac:dyDescent="0.25">
      <c r="A384" t="s">
        <v>1236</v>
      </c>
      <c r="B384" t="s">
        <v>1237</v>
      </c>
      <c r="C384" t="s">
        <v>1238</v>
      </c>
      <c r="D384" t="s">
        <v>110</v>
      </c>
      <c r="E384" s="2">
        <v>44583</v>
      </c>
      <c r="F384" t="s">
        <v>50</v>
      </c>
      <c r="G384">
        <v>2000000</v>
      </c>
      <c r="H384" s="2">
        <v>44909</v>
      </c>
      <c r="I384">
        <v>2022</v>
      </c>
      <c r="J384">
        <v>5616.0366292086001</v>
      </c>
      <c r="K384">
        <v>15992.423370791401</v>
      </c>
      <c r="L384">
        <v>79918.28</v>
      </c>
      <c r="M384">
        <v>0</v>
      </c>
      <c r="N384">
        <v>101526.74</v>
      </c>
      <c r="O384" t="s">
        <v>240</v>
      </c>
    </row>
    <row r="385" spans="1:15" x14ac:dyDescent="0.25">
      <c r="A385" t="s">
        <v>1239</v>
      </c>
      <c r="B385" t="s">
        <v>1240</v>
      </c>
      <c r="C385" t="s">
        <v>1241</v>
      </c>
      <c r="D385" t="s">
        <v>110</v>
      </c>
      <c r="E385" s="2">
        <v>44680</v>
      </c>
      <c r="F385" t="s">
        <v>12</v>
      </c>
      <c r="G385">
        <v>5000000</v>
      </c>
      <c r="H385" s="2">
        <v>44972</v>
      </c>
      <c r="I385">
        <v>2023</v>
      </c>
      <c r="J385">
        <v>11223.170450457001</v>
      </c>
      <c r="K385">
        <v>32368.019549543002</v>
      </c>
      <c r="L385">
        <v>199708.99</v>
      </c>
      <c r="M385">
        <v>0</v>
      </c>
      <c r="N385">
        <v>243300.18</v>
      </c>
      <c r="O385" t="s">
        <v>233</v>
      </c>
    </row>
    <row r="386" spans="1:15" x14ac:dyDescent="0.25">
      <c r="A386" t="s">
        <v>1242</v>
      </c>
      <c r="B386" t="s">
        <v>1243</v>
      </c>
      <c r="C386" t="s">
        <v>1244</v>
      </c>
      <c r="D386" t="s">
        <v>110</v>
      </c>
      <c r="E386" s="2">
        <v>44672</v>
      </c>
      <c r="F386" t="s">
        <v>42</v>
      </c>
      <c r="G386">
        <v>5000000</v>
      </c>
      <c r="H386" s="2">
        <v>44889</v>
      </c>
      <c r="I386">
        <v>2022</v>
      </c>
      <c r="J386">
        <v>15531.5744543938</v>
      </c>
      <c r="K386">
        <v>49787.055545606199</v>
      </c>
      <c r="L386">
        <v>363353.85</v>
      </c>
      <c r="M386">
        <v>0</v>
      </c>
      <c r="N386">
        <v>428672.48</v>
      </c>
      <c r="O386" t="s">
        <v>431</v>
      </c>
    </row>
    <row r="387" spans="1:15" x14ac:dyDescent="0.25">
      <c r="A387" t="s">
        <v>1245</v>
      </c>
      <c r="B387" t="s">
        <v>1246</v>
      </c>
      <c r="C387" t="s">
        <v>1247</v>
      </c>
      <c r="D387" t="s">
        <v>110</v>
      </c>
      <c r="E387" s="2">
        <v>44567</v>
      </c>
      <c r="F387" t="s">
        <v>13</v>
      </c>
      <c r="G387">
        <v>1000000</v>
      </c>
      <c r="H387" s="2">
        <v>44929</v>
      </c>
      <c r="I387">
        <v>2023</v>
      </c>
      <c r="J387">
        <v>15485.8241684022</v>
      </c>
      <c r="K387">
        <v>42187.255831597802</v>
      </c>
      <c r="L387">
        <v>253876.44</v>
      </c>
      <c r="M387">
        <v>0</v>
      </c>
      <c r="N387">
        <v>311549.52</v>
      </c>
      <c r="O387" t="s">
        <v>127</v>
      </c>
    </row>
    <row r="388" spans="1:15" x14ac:dyDescent="0.25">
      <c r="A388" t="s">
        <v>1248</v>
      </c>
      <c r="B388" t="s">
        <v>1249</v>
      </c>
      <c r="C388" t="s">
        <v>1250</v>
      </c>
      <c r="D388" t="s">
        <v>110</v>
      </c>
      <c r="E388" s="2">
        <v>44767</v>
      </c>
      <c r="F388" t="s">
        <v>12</v>
      </c>
      <c r="G388">
        <v>2000000</v>
      </c>
      <c r="H388" s="2">
        <v>44977</v>
      </c>
      <c r="I388">
        <v>2023</v>
      </c>
      <c r="J388">
        <v>4028.3188140368802</v>
      </c>
      <c r="K388">
        <v>14146.0111859631</v>
      </c>
      <c r="L388">
        <v>101521.56</v>
      </c>
      <c r="M388">
        <v>0</v>
      </c>
      <c r="N388">
        <v>119695.89</v>
      </c>
      <c r="O388" t="s">
        <v>164</v>
      </c>
    </row>
    <row r="389" spans="1:15" x14ac:dyDescent="0.25">
      <c r="A389" t="s">
        <v>1251</v>
      </c>
      <c r="B389" t="s">
        <v>1252</v>
      </c>
      <c r="C389" t="s">
        <v>1253</v>
      </c>
      <c r="D389" t="s">
        <v>734</v>
      </c>
      <c r="E389" s="2">
        <v>44865</v>
      </c>
      <c r="F389" t="s">
        <v>54</v>
      </c>
      <c r="G389">
        <v>1000000</v>
      </c>
      <c r="H389" s="2">
        <v>44981</v>
      </c>
      <c r="I389">
        <v>2023</v>
      </c>
      <c r="J389">
        <v>6811.0849773527398</v>
      </c>
      <c r="K389">
        <v>23019.655022647301</v>
      </c>
      <c r="L389">
        <v>210925.94</v>
      </c>
      <c r="M389">
        <v>27788.959999999999</v>
      </c>
      <c r="N389">
        <v>268545.64</v>
      </c>
      <c r="O389" t="s">
        <v>127</v>
      </c>
    </row>
    <row r="390" spans="1:15" x14ac:dyDescent="0.25">
      <c r="A390" t="s">
        <v>1254</v>
      </c>
      <c r="B390" t="s">
        <v>1255</v>
      </c>
      <c r="C390" t="s">
        <v>1256</v>
      </c>
      <c r="D390" t="s">
        <v>110</v>
      </c>
      <c r="E390" s="2">
        <v>44918</v>
      </c>
      <c r="F390" t="s">
        <v>14</v>
      </c>
      <c r="G390">
        <v>1000000</v>
      </c>
      <c r="H390" s="2">
        <v>44977</v>
      </c>
      <c r="I390">
        <v>2023</v>
      </c>
      <c r="J390">
        <v>2966.1136107267798</v>
      </c>
      <c r="K390">
        <v>7214.6463892732199</v>
      </c>
      <c r="L390">
        <v>88108.29</v>
      </c>
      <c r="M390">
        <v>0</v>
      </c>
      <c r="N390">
        <v>98289.05</v>
      </c>
      <c r="O390" t="s">
        <v>119</v>
      </c>
    </row>
    <row r="391" spans="1:15" x14ac:dyDescent="0.25">
      <c r="A391" t="s">
        <v>1257</v>
      </c>
      <c r="B391" t="s">
        <v>1258</v>
      </c>
      <c r="C391" t="s">
        <v>1259</v>
      </c>
      <c r="D391" t="s">
        <v>110</v>
      </c>
      <c r="E391" s="2">
        <v>44758</v>
      </c>
      <c r="F391" t="s">
        <v>18</v>
      </c>
      <c r="G391">
        <v>5000000</v>
      </c>
      <c r="H391" s="2">
        <v>44957</v>
      </c>
      <c r="I391">
        <v>2023</v>
      </c>
      <c r="J391">
        <v>14391.638658228099</v>
      </c>
      <c r="K391">
        <v>33786.9213417719</v>
      </c>
      <c r="L391">
        <v>233776.51</v>
      </c>
      <c r="M391">
        <v>0</v>
      </c>
      <c r="N391">
        <v>281955.07</v>
      </c>
      <c r="O391" t="s">
        <v>127</v>
      </c>
    </row>
    <row r="392" spans="1:15" x14ac:dyDescent="0.25">
      <c r="A392" t="s">
        <v>1260</v>
      </c>
      <c r="B392" t="s">
        <v>1261</v>
      </c>
      <c r="C392" t="s">
        <v>1262</v>
      </c>
      <c r="D392" t="s">
        <v>110</v>
      </c>
      <c r="E392" s="2">
        <v>44917</v>
      </c>
      <c r="F392" t="s">
        <v>12</v>
      </c>
      <c r="G392">
        <v>4000000</v>
      </c>
      <c r="H392" s="2">
        <v>44963</v>
      </c>
      <c r="I392">
        <v>2023</v>
      </c>
      <c r="J392">
        <v>16474.771631239699</v>
      </c>
      <c r="K392">
        <v>41194.638368760301</v>
      </c>
      <c r="L392">
        <v>270053.57</v>
      </c>
      <c r="M392">
        <v>0</v>
      </c>
      <c r="N392">
        <v>327722.98</v>
      </c>
      <c r="O392" t="s">
        <v>343</v>
      </c>
    </row>
    <row r="393" spans="1:15" x14ac:dyDescent="0.25">
      <c r="A393" t="s">
        <v>1263</v>
      </c>
      <c r="B393" t="s">
        <v>1264</v>
      </c>
      <c r="C393" t="s">
        <v>1265</v>
      </c>
      <c r="D393" t="s">
        <v>110</v>
      </c>
      <c r="E393" s="2">
        <v>44602</v>
      </c>
      <c r="F393" t="s">
        <v>41</v>
      </c>
      <c r="G393">
        <v>2000000</v>
      </c>
      <c r="H393" s="2">
        <v>44934</v>
      </c>
      <c r="I393">
        <v>2023</v>
      </c>
      <c r="J393">
        <v>5722.3826720900597</v>
      </c>
      <c r="K393">
        <v>18033.9473279099</v>
      </c>
      <c r="L393">
        <v>102789.35</v>
      </c>
      <c r="M393">
        <v>0</v>
      </c>
      <c r="N393">
        <v>126545.68</v>
      </c>
      <c r="O393" t="s">
        <v>164</v>
      </c>
    </row>
    <row r="394" spans="1:15" x14ac:dyDescent="0.25">
      <c r="A394" t="s">
        <v>1266</v>
      </c>
      <c r="B394" t="s">
        <v>1267</v>
      </c>
      <c r="C394" t="s">
        <v>1268</v>
      </c>
      <c r="D394" t="s">
        <v>110</v>
      </c>
      <c r="E394" s="2">
        <v>44727</v>
      </c>
      <c r="F394" t="s">
        <v>12</v>
      </c>
      <c r="G394">
        <v>4000000</v>
      </c>
      <c r="H394" s="2">
        <v>44985</v>
      </c>
      <c r="I394">
        <v>2023</v>
      </c>
      <c r="J394">
        <v>4720.2043118863903</v>
      </c>
      <c r="K394">
        <v>12899.785688113599</v>
      </c>
      <c r="L394">
        <v>131740.66</v>
      </c>
      <c r="M394">
        <v>0</v>
      </c>
      <c r="N394">
        <v>149360.65</v>
      </c>
      <c r="O394" t="s">
        <v>123</v>
      </c>
    </row>
    <row r="395" spans="1:15" x14ac:dyDescent="0.25">
      <c r="A395" t="s">
        <v>1269</v>
      </c>
      <c r="B395" t="s">
        <v>1270</v>
      </c>
      <c r="C395" t="s">
        <v>1271</v>
      </c>
      <c r="D395" t="s">
        <v>110</v>
      </c>
      <c r="E395" s="2">
        <v>44785</v>
      </c>
      <c r="F395" t="s">
        <v>52</v>
      </c>
      <c r="G395">
        <v>2000000</v>
      </c>
      <c r="H395" s="2">
        <v>44899</v>
      </c>
      <c r="I395">
        <v>2022</v>
      </c>
      <c r="J395">
        <v>6000.5335511392996</v>
      </c>
      <c r="K395">
        <v>14606.0064488607</v>
      </c>
      <c r="L395">
        <v>135815.79</v>
      </c>
      <c r="M395">
        <v>0</v>
      </c>
      <c r="N395">
        <v>156422.32999999999</v>
      </c>
      <c r="O395" t="s">
        <v>123</v>
      </c>
    </row>
    <row r="396" spans="1:15" x14ac:dyDescent="0.25">
      <c r="A396" t="s">
        <v>1272</v>
      </c>
      <c r="B396" t="s">
        <v>1273</v>
      </c>
      <c r="C396" t="s">
        <v>1274</v>
      </c>
      <c r="D396" t="s">
        <v>110</v>
      </c>
      <c r="E396" s="2">
        <v>44736</v>
      </c>
      <c r="F396" t="s">
        <v>38</v>
      </c>
      <c r="G396">
        <v>5000000</v>
      </c>
      <c r="H396" s="2">
        <v>44989</v>
      </c>
      <c r="I396">
        <v>2023</v>
      </c>
      <c r="J396">
        <v>13051.0299624616</v>
      </c>
      <c r="K396">
        <v>43439.880037538402</v>
      </c>
      <c r="L396">
        <v>436436.18</v>
      </c>
      <c r="M396">
        <v>0</v>
      </c>
      <c r="N396">
        <v>492927.09</v>
      </c>
      <c r="O396" t="s">
        <v>179</v>
      </c>
    </row>
    <row r="397" spans="1:15" x14ac:dyDescent="0.25">
      <c r="A397" t="s">
        <v>1275</v>
      </c>
      <c r="B397" t="s">
        <v>1276</v>
      </c>
      <c r="C397" t="s">
        <v>1277</v>
      </c>
      <c r="D397" t="s">
        <v>734</v>
      </c>
      <c r="E397" s="2">
        <v>44799</v>
      </c>
      <c r="F397" t="s">
        <v>45</v>
      </c>
      <c r="G397">
        <v>3000000</v>
      </c>
      <c r="H397" s="2">
        <v>45009</v>
      </c>
      <c r="I397">
        <v>2023</v>
      </c>
      <c r="J397">
        <v>4270.2780563361603</v>
      </c>
      <c r="K397">
        <v>10915.231943663801</v>
      </c>
      <c r="L397">
        <v>56580.71</v>
      </c>
      <c r="M397">
        <v>4503.4799999999996</v>
      </c>
      <c r="N397">
        <v>76269.7</v>
      </c>
      <c r="O397" t="s">
        <v>150</v>
      </c>
    </row>
    <row r="398" spans="1:15" x14ac:dyDescent="0.25">
      <c r="A398" t="s">
        <v>1278</v>
      </c>
      <c r="B398" t="s">
        <v>1279</v>
      </c>
      <c r="C398" t="s">
        <v>1280</v>
      </c>
      <c r="D398" t="s">
        <v>734</v>
      </c>
      <c r="E398" s="2">
        <v>44634</v>
      </c>
      <c r="F398" t="s">
        <v>42</v>
      </c>
      <c r="G398">
        <v>2000000</v>
      </c>
      <c r="H398" s="2">
        <v>44993</v>
      </c>
      <c r="I398">
        <v>2023</v>
      </c>
      <c r="J398">
        <v>9611.1952894349706</v>
      </c>
      <c r="K398">
        <v>26339.824710565001</v>
      </c>
      <c r="L398">
        <v>145205.39000000001</v>
      </c>
      <c r="M398">
        <v>85578.25</v>
      </c>
      <c r="N398">
        <v>266734.65999999997</v>
      </c>
      <c r="O398" t="s">
        <v>127</v>
      </c>
    </row>
    <row r="399" spans="1:15" x14ac:dyDescent="0.25">
      <c r="A399" t="s">
        <v>1281</v>
      </c>
      <c r="B399" t="s">
        <v>1282</v>
      </c>
      <c r="C399" t="s">
        <v>1283</v>
      </c>
      <c r="D399" t="s">
        <v>110</v>
      </c>
      <c r="E399" s="2">
        <v>44772</v>
      </c>
      <c r="F399" t="s">
        <v>12</v>
      </c>
      <c r="G399">
        <v>2000000</v>
      </c>
      <c r="H399" s="2">
        <v>45002</v>
      </c>
      <c r="I399">
        <v>2023</v>
      </c>
      <c r="J399">
        <v>7776.7089162163402</v>
      </c>
      <c r="K399">
        <v>25810.421083783702</v>
      </c>
      <c r="L399">
        <v>125896.15</v>
      </c>
      <c r="M399">
        <v>0</v>
      </c>
      <c r="N399">
        <v>159483.28</v>
      </c>
      <c r="O399" t="s">
        <v>123</v>
      </c>
    </row>
    <row r="400" spans="1:15" x14ac:dyDescent="0.25">
      <c r="A400" t="s">
        <v>1284</v>
      </c>
      <c r="B400" t="s">
        <v>1285</v>
      </c>
      <c r="C400" t="s">
        <v>1286</v>
      </c>
      <c r="D400" t="s">
        <v>110</v>
      </c>
      <c r="E400" s="2">
        <v>44791</v>
      </c>
      <c r="F400" t="s">
        <v>56</v>
      </c>
      <c r="G400">
        <v>5000000</v>
      </c>
      <c r="H400" s="2">
        <v>45034</v>
      </c>
      <c r="I400">
        <v>2023</v>
      </c>
      <c r="J400">
        <v>5901.8211465859904</v>
      </c>
      <c r="K400">
        <v>15365.028853414</v>
      </c>
      <c r="L400">
        <v>88673.36</v>
      </c>
      <c r="M400">
        <v>0</v>
      </c>
      <c r="N400">
        <v>109940.21</v>
      </c>
      <c r="O400" t="s">
        <v>119</v>
      </c>
    </row>
    <row r="401" spans="1:15" x14ac:dyDescent="0.25">
      <c r="A401" t="s">
        <v>1287</v>
      </c>
      <c r="B401" t="s">
        <v>1046</v>
      </c>
      <c r="C401" t="s">
        <v>1047</v>
      </c>
      <c r="D401" t="s">
        <v>734</v>
      </c>
      <c r="E401" s="2">
        <v>44669</v>
      </c>
      <c r="F401" t="s">
        <v>41</v>
      </c>
      <c r="G401">
        <v>4000000</v>
      </c>
      <c r="H401" s="2">
        <v>44935</v>
      </c>
      <c r="I401">
        <v>2023</v>
      </c>
      <c r="J401">
        <v>4004.9987440078899</v>
      </c>
      <c r="K401">
        <v>12330.961255992101</v>
      </c>
      <c r="L401">
        <v>61253.21</v>
      </c>
      <c r="M401">
        <v>8360.68</v>
      </c>
      <c r="N401">
        <v>85949.85</v>
      </c>
      <c r="O401" t="s">
        <v>197</v>
      </c>
    </row>
    <row r="402" spans="1:15" x14ac:dyDescent="0.25">
      <c r="A402" t="s">
        <v>1288</v>
      </c>
      <c r="B402" t="s">
        <v>1289</v>
      </c>
      <c r="C402" t="s">
        <v>1290</v>
      </c>
      <c r="D402" t="s">
        <v>734</v>
      </c>
      <c r="E402" s="2">
        <v>44743</v>
      </c>
      <c r="F402" t="s">
        <v>50</v>
      </c>
      <c r="G402">
        <v>5000000</v>
      </c>
      <c r="H402" s="2">
        <v>45028</v>
      </c>
      <c r="I402">
        <v>2023</v>
      </c>
      <c r="J402">
        <v>26954.138487657201</v>
      </c>
      <c r="K402">
        <v>89167.551512342805</v>
      </c>
      <c r="L402">
        <v>546542.04</v>
      </c>
      <c r="M402">
        <v>210871.5</v>
      </c>
      <c r="N402">
        <v>873535.23</v>
      </c>
      <c r="O402" t="s">
        <v>143</v>
      </c>
    </row>
    <row r="403" spans="1:15" x14ac:dyDescent="0.25">
      <c r="A403" t="s">
        <v>1291</v>
      </c>
      <c r="B403" t="s">
        <v>1292</v>
      </c>
      <c r="C403" t="s">
        <v>1293</v>
      </c>
      <c r="D403" t="s">
        <v>734</v>
      </c>
      <c r="E403" s="2">
        <v>44723</v>
      </c>
      <c r="F403" t="s">
        <v>50</v>
      </c>
      <c r="G403">
        <v>10000000</v>
      </c>
      <c r="H403" s="2">
        <v>45035</v>
      </c>
      <c r="I403">
        <v>2023</v>
      </c>
      <c r="J403">
        <v>20112.399709380701</v>
      </c>
      <c r="K403">
        <v>52358.880290619301</v>
      </c>
      <c r="L403">
        <v>245607.64</v>
      </c>
      <c r="M403">
        <v>210721.04</v>
      </c>
      <c r="N403">
        <v>528799.96</v>
      </c>
      <c r="O403" t="s">
        <v>115</v>
      </c>
    </row>
    <row r="404" spans="1:15" x14ac:dyDescent="0.25">
      <c r="A404" t="s">
        <v>1294</v>
      </c>
      <c r="B404" t="s">
        <v>1295</v>
      </c>
      <c r="C404" t="s">
        <v>1296</v>
      </c>
      <c r="D404" t="s">
        <v>110</v>
      </c>
      <c r="E404" s="2">
        <v>45007</v>
      </c>
      <c r="F404" t="s">
        <v>41</v>
      </c>
      <c r="G404">
        <v>3000000</v>
      </c>
      <c r="H404" s="2">
        <v>45058</v>
      </c>
      <c r="I404">
        <v>2023</v>
      </c>
      <c r="J404">
        <v>11086.465294121201</v>
      </c>
      <c r="K404">
        <v>29272.014705878799</v>
      </c>
      <c r="L404">
        <v>356488.86</v>
      </c>
      <c r="M404">
        <v>0</v>
      </c>
      <c r="N404">
        <v>396847.34</v>
      </c>
      <c r="O404" t="s">
        <v>431</v>
      </c>
    </row>
    <row r="405" spans="1:15" x14ac:dyDescent="0.25">
      <c r="A405" t="s">
        <v>1297</v>
      </c>
      <c r="B405" t="s">
        <v>1298</v>
      </c>
      <c r="C405" t="s">
        <v>1299</v>
      </c>
      <c r="D405" t="s">
        <v>110</v>
      </c>
      <c r="E405" s="2">
        <v>44852</v>
      </c>
      <c r="F405" t="s">
        <v>25</v>
      </c>
      <c r="G405">
        <v>5000000</v>
      </c>
      <c r="H405" s="2">
        <v>44919</v>
      </c>
      <c r="I405">
        <v>2022</v>
      </c>
      <c r="J405">
        <v>3789.6801236558399</v>
      </c>
      <c r="K405">
        <v>15053.4198763442</v>
      </c>
      <c r="L405">
        <v>149111.4</v>
      </c>
      <c r="M405">
        <v>0</v>
      </c>
      <c r="N405">
        <v>167954.5</v>
      </c>
      <c r="O405" t="s">
        <v>193</v>
      </c>
    </row>
    <row r="406" spans="1:15" x14ac:dyDescent="0.25">
      <c r="A406" t="s">
        <v>1300</v>
      </c>
      <c r="B406" t="s">
        <v>1301</v>
      </c>
      <c r="C406" t="s">
        <v>1302</v>
      </c>
      <c r="D406" t="s">
        <v>734</v>
      </c>
      <c r="E406" s="2">
        <v>44636</v>
      </c>
      <c r="F406" t="s">
        <v>42</v>
      </c>
      <c r="G406">
        <v>5000000</v>
      </c>
      <c r="H406" s="2">
        <v>44915</v>
      </c>
      <c r="I406">
        <v>2022</v>
      </c>
      <c r="J406">
        <v>1825.44972926683</v>
      </c>
      <c r="K406">
        <v>6447.9602707331696</v>
      </c>
      <c r="L406">
        <v>53846.54</v>
      </c>
      <c r="M406">
        <v>58881.43</v>
      </c>
      <c r="N406">
        <v>121001.38</v>
      </c>
      <c r="O406" t="s">
        <v>211</v>
      </c>
    </row>
    <row r="407" spans="1:15" x14ac:dyDescent="0.25">
      <c r="A407" t="s">
        <v>1303</v>
      </c>
      <c r="B407" t="s">
        <v>1304</v>
      </c>
      <c r="C407" t="s">
        <v>1305</v>
      </c>
      <c r="D407" t="s">
        <v>110</v>
      </c>
      <c r="E407" s="2">
        <v>45000</v>
      </c>
      <c r="F407" t="s">
        <v>50</v>
      </c>
      <c r="G407">
        <v>5000000</v>
      </c>
      <c r="H407" s="2">
        <v>45022</v>
      </c>
      <c r="I407">
        <v>2023</v>
      </c>
      <c r="J407">
        <v>4509.9316346231499</v>
      </c>
      <c r="K407">
        <v>11684.7683653769</v>
      </c>
      <c r="L407">
        <v>124489.43</v>
      </c>
      <c r="M407">
        <v>0</v>
      </c>
      <c r="N407">
        <v>140684.13</v>
      </c>
      <c r="O407" t="s">
        <v>186</v>
      </c>
    </row>
    <row r="408" spans="1:15" x14ac:dyDescent="0.25">
      <c r="A408" t="s">
        <v>1306</v>
      </c>
      <c r="B408" t="s">
        <v>1307</v>
      </c>
      <c r="C408" t="s">
        <v>1308</v>
      </c>
      <c r="D408" t="s">
        <v>734</v>
      </c>
      <c r="E408" s="2">
        <v>44945</v>
      </c>
      <c r="F408" t="s">
        <v>19</v>
      </c>
      <c r="G408">
        <v>4000000</v>
      </c>
      <c r="H408" s="2">
        <v>45051</v>
      </c>
      <c r="I408">
        <v>2023</v>
      </c>
      <c r="J408">
        <v>15007.451944951001</v>
      </c>
      <c r="K408">
        <v>49028.378055048997</v>
      </c>
      <c r="L408">
        <v>453372.26</v>
      </c>
      <c r="M408">
        <v>179369.35</v>
      </c>
      <c r="N408">
        <v>696777.44</v>
      </c>
      <c r="O408" t="s">
        <v>143</v>
      </c>
    </row>
    <row r="409" spans="1:15" x14ac:dyDescent="0.25">
      <c r="A409" t="s">
        <v>1309</v>
      </c>
      <c r="B409" t="s">
        <v>1310</v>
      </c>
      <c r="C409" t="s">
        <v>1311</v>
      </c>
      <c r="D409" t="s">
        <v>110</v>
      </c>
      <c r="E409" s="2">
        <v>44951</v>
      </c>
      <c r="F409" t="s">
        <v>49</v>
      </c>
      <c r="G409">
        <v>2000000</v>
      </c>
      <c r="H409" s="2">
        <v>45051</v>
      </c>
      <c r="I409">
        <v>2023</v>
      </c>
      <c r="J409">
        <v>6172.5761958153898</v>
      </c>
      <c r="K409">
        <v>22182.723804184599</v>
      </c>
      <c r="L409">
        <v>95632.38</v>
      </c>
      <c r="M409">
        <v>0</v>
      </c>
      <c r="N409">
        <v>123987.68</v>
      </c>
      <c r="O409" t="s">
        <v>111</v>
      </c>
    </row>
    <row r="410" spans="1:15" x14ac:dyDescent="0.25">
      <c r="A410" t="s">
        <v>1312</v>
      </c>
      <c r="B410" t="s">
        <v>1313</v>
      </c>
      <c r="C410" t="s">
        <v>1314</v>
      </c>
      <c r="D410" t="s">
        <v>734</v>
      </c>
      <c r="E410" s="2">
        <v>44660</v>
      </c>
      <c r="F410" t="s">
        <v>12</v>
      </c>
      <c r="G410">
        <v>5000000</v>
      </c>
      <c r="H410" s="2">
        <v>44937</v>
      </c>
      <c r="I410">
        <v>2023</v>
      </c>
      <c r="J410">
        <v>1235.8050471080001</v>
      </c>
      <c r="K410">
        <v>3320.6849528920002</v>
      </c>
      <c r="L410">
        <v>37289.4</v>
      </c>
      <c r="M410">
        <v>45397.32</v>
      </c>
      <c r="N410">
        <v>87243.21</v>
      </c>
      <c r="O410" t="s">
        <v>123</v>
      </c>
    </row>
    <row r="411" spans="1:15" x14ac:dyDescent="0.25">
      <c r="A411" t="s">
        <v>1315</v>
      </c>
      <c r="B411" t="s">
        <v>1316</v>
      </c>
      <c r="C411" t="s">
        <v>1317</v>
      </c>
      <c r="D411" t="s">
        <v>110</v>
      </c>
      <c r="E411" s="2">
        <v>44636</v>
      </c>
      <c r="F411" t="s">
        <v>41</v>
      </c>
      <c r="G411">
        <v>4000000</v>
      </c>
      <c r="H411" s="2">
        <v>44964</v>
      </c>
      <c r="I411">
        <v>2023</v>
      </c>
      <c r="J411">
        <v>1849.09885763227</v>
      </c>
      <c r="K411">
        <v>6461.0211423677301</v>
      </c>
      <c r="L411">
        <v>78718.81</v>
      </c>
      <c r="M411">
        <v>0</v>
      </c>
      <c r="N411">
        <v>87028.93</v>
      </c>
      <c r="O411" t="s">
        <v>240</v>
      </c>
    </row>
    <row r="412" spans="1:15" x14ac:dyDescent="0.25">
      <c r="A412" t="s">
        <v>1318</v>
      </c>
      <c r="B412" t="s">
        <v>1319</v>
      </c>
      <c r="C412" t="s">
        <v>1320</v>
      </c>
      <c r="D412" t="s">
        <v>110</v>
      </c>
      <c r="E412" s="2">
        <v>44400</v>
      </c>
      <c r="F412" t="s">
        <v>55</v>
      </c>
      <c r="G412">
        <v>5000000</v>
      </c>
      <c r="H412" s="2">
        <v>44591</v>
      </c>
      <c r="I412">
        <v>2022</v>
      </c>
      <c r="J412">
        <v>18109.1514955643</v>
      </c>
      <c r="K412">
        <v>42501.968504435703</v>
      </c>
      <c r="L412">
        <v>298978.38</v>
      </c>
      <c r="M412">
        <v>0</v>
      </c>
      <c r="N412">
        <v>359589.5</v>
      </c>
      <c r="O412" t="s">
        <v>343</v>
      </c>
    </row>
    <row r="413" spans="1:15" x14ac:dyDescent="0.25">
      <c r="A413" t="s">
        <v>1321</v>
      </c>
      <c r="B413" t="s">
        <v>1322</v>
      </c>
      <c r="C413" t="s">
        <v>1323</v>
      </c>
      <c r="D413" t="s">
        <v>110</v>
      </c>
      <c r="E413" s="2">
        <v>44825</v>
      </c>
      <c r="F413" t="s">
        <v>56</v>
      </c>
      <c r="G413">
        <v>4000000</v>
      </c>
      <c r="H413" s="2">
        <v>44996</v>
      </c>
      <c r="I413">
        <v>2023</v>
      </c>
      <c r="J413">
        <v>24727.329097456499</v>
      </c>
      <c r="K413">
        <v>71635.830902543501</v>
      </c>
      <c r="L413">
        <v>462899.44</v>
      </c>
      <c r="M413">
        <v>0</v>
      </c>
      <c r="N413">
        <v>559262.6</v>
      </c>
      <c r="O413" t="s">
        <v>179</v>
      </c>
    </row>
    <row r="414" spans="1:15" x14ac:dyDescent="0.25">
      <c r="A414" t="s">
        <v>1324</v>
      </c>
      <c r="B414" t="s">
        <v>1325</v>
      </c>
      <c r="C414" t="s">
        <v>1326</v>
      </c>
      <c r="D414" t="s">
        <v>110</v>
      </c>
      <c r="E414" s="2">
        <v>44330</v>
      </c>
      <c r="F414" t="s">
        <v>41</v>
      </c>
      <c r="G414">
        <v>2000000</v>
      </c>
      <c r="H414" s="2">
        <v>44496</v>
      </c>
      <c r="I414">
        <v>2021</v>
      </c>
      <c r="J414">
        <v>4829.3974551404499</v>
      </c>
      <c r="K414">
        <v>13166.9625448596</v>
      </c>
      <c r="L414">
        <v>100129.06</v>
      </c>
      <c r="M414">
        <v>0</v>
      </c>
      <c r="N414">
        <v>118125.42</v>
      </c>
      <c r="O414" t="s">
        <v>164</v>
      </c>
    </row>
    <row r="415" spans="1:15" x14ac:dyDescent="0.25">
      <c r="A415" t="s">
        <v>1327</v>
      </c>
      <c r="B415" t="s">
        <v>1328</v>
      </c>
      <c r="C415" t="s">
        <v>1329</v>
      </c>
      <c r="D415" t="s">
        <v>734</v>
      </c>
      <c r="E415" s="2">
        <v>45041</v>
      </c>
      <c r="F415" t="s">
        <v>47</v>
      </c>
      <c r="G415">
        <v>5000000</v>
      </c>
      <c r="H415" s="2">
        <v>45076</v>
      </c>
      <c r="I415">
        <v>2023</v>
      </c>
      <c r="J415">
        <v>35205.322013284</v>
      </c>
      <c r="K415">
        <v>134203.297986716</v>
      </c>
      <c r="L415">
        <v>543417.55000000005</v>
      </c>
      <c r="M415">
        <v>46394.12</v>
      </c>
      <c r="N415">
        <v>759220.29</v>
      </c>
      <c r="O415" t="s">
        <v>115</v>
      </c>
    </row>
    <row r="416" spans="1:15" x14ac:dyDescent="0.25">
      <c r="A416" t="s">
        <v>1330</v>
      </c>
      <c r="B416" t="s">
        <v>1331</v>
      </c>
      <c r="C416" t="s">
        <v>1332</v>
      </c>
      <c r="D416" t="s">
        <v>734</v>
      </c>
      <c r="E416" s="2">
        <v>44829</v>
      </c>
      <c r="F416" t="s">
        <v>43</v>
      </c>
      <c r="G416">
        <v>10000000</v>
      </c>
      <c r="H416" s="2">
        <v>45075</v>
      </c>
      <c r="I416">
        <v>2023</v>
      </c>
      <c r="J416">
        <v>3838.8889626821701</v>
      </c>
      <c r="K416">
        <v>13867.7010373178</v>
      </c>
      <c r="L416">
        <v>48022.71</v>
      </c>
      <c r="M416">
        <v>18629.28</v>
      </c>
      <c r="N416">
        <v>84358.58</v>
      </c>
      <c r="O416" t="s">
        <v>197</v>
      </c>
    </row>
    <row r="417" spans="1:15" x14ac:dyDescent="0.25">
      <c r="A417" t="s">
        <v>1333</v>
      </c>
      <c r="B417" t="s">
        <v>1334</v>
      </c>
      <c r="C417" t="s">
        <v>1335</v>
      </c>
      <c r="D417" t="s">
        <v>734</v>
      </c>
      <c r="E417" s="2">
        <v>45070</v>
      </c>
      <c r="F417" t="s">
        <v>22</v>
      </c>
      <c r="G417">
        <v>4000000</v>
      </c>
      <c r="H417" s="2">
        <v>45092</v>
      </c>
      <c r="I417">
        <v>2023</v>
      </c>
      <c r="J417">
        <v>4476.0989945522297</v>
      </c>
      <c r="K417">
        <v>14731.3110054478</v>
      </c>
      <c r="L417">
        <v>67778.039999999994</v>
      </c>
      <c r="M417">
        <v>74581.490000000005</v>
      </c>
      <c r="N417">
        <v>161566.94</v>
      </c>
      <c r="O417" t="s">
        <v>172</v>
      </c>
    </row>
    <row r="418" spans="1:15" x14ac:dyDescent="0.25">
      <c r="A418" t="s">
        <v>1336</v>
      </c>
      <c r="B418" t="s">
        <v>1337</v>
      </c>
      <c r="C418" t="s">
        <v>1338</v>
      </c>
      <c r="D418" t="s">
        <v>110</v>
      </c>
      <c r="E418" s="2">
        <v>44779</v>
      </c>
      <c r="F418" t="s">
        <v>12</v>
      </c>
      <c r="G418">
        <v>2000000</v>
      </c>
      <c r="H418" s="2">
        <v>45070</v>
      </c>
      <c r="I418">
        <v>2023</v>
      </c>
      <c r="J418">
        <v>8744.5079659837193</v>
      </c>
      <c r="K418">
        <v>31649.182034016299</v>
      </c>
      <c r="L418">
        <v>215540.38</v>
      </c>
      <c r="M418">
        <v>0</v>
      </c>
      <c r="N418">
        <v>255934.07</v>
      </c>
      <c r="O418" t="s">
        <v>233</v>
      </c>
    </row>
    <row r="419" spans="1:15" x14ac:dyDescent="0.25">
      <c r="A419" t="s">
        <v>1339</v>
      </c>
      <c r="B419" t="s">
        <v>1340</v>
      </c>
      <c r="C419" t="s">
        <v>1341</v>
      </c>
      <c r="D419" t="s">
        <v>734</v>
      </c>
      <c r="E419" s="2">
        <v>44913</v>
      </c>
      <c r="F419" t="s">
        <v>27</v>
      </c>
      <c r="G419">
        <v>2000000</v>
      </c>
      <c r="H419" s="2">
        <v>45019</v>
      </c>
      <c r="I419">
        <v>2023</v>
      </c>
      <c r="J419">
        <v>2603.5896945766999</v>
      </c>
      <c r="K419">
        <v>6831.5503054233004</v>
      </c>
      <c r="L419">
        <v>24303.11</v>
      </c>
      <c r="M419">
        <v>189711.15</v>
      </c>
      <c r="N419">
        <v>223449.4</v>
      </c>
      <c r="O419" t="s">
        <v>343</v>
      </c>
    </row>
    <row r="420" spans="1:15" x14ac:dyDescent="0.25">
      <c r="A420" t="s">
        <v>1342</v>
      </c>
      <c r="B420" t="s">
        <v>1343</v>
      </c>
      <c r="C420" t="s">
        <v>1344</v>
      </c>
      <c r="D420" t="s">
        <v>734</v>
      </c>
      <c r="E420" s="2">
        <v>45040</v>
      </c>
      <c r="F420" t="s">
        <v>52</v>
      </c>
      <c r="G420">
        <v>4000000</v>
      </c>
      <c r="H420" s="2">
        <v>45099</v>
      </c>
      <c r="I420">
        <v>2023</v>
      </c>
      <c r="J420">
        <v>100959.746467595</v>
      </c>
      <c r="K420">
        <v>308038.66353240499</v>
      </c>
      <c r="L420">
        <v>1698054.22</v>
      </c>
      <c r="M420">
        <v>383375.07</v>
      </c>
      <c r="N420">
        <v>2490427.7000000002</v>
      </c>
      <c r="O420" t="s">
        <v>353</v>
      </c>
    </row>
    <row r="421" spans="1:15" x14ac:dyDescent="0.25">
      <c r="A421" t="s">
        <v>1345</v>
      </c>
      <c r="B421" t="s">
        <v>1346</v>
      </c>
      <c r="C421" t="s">
        <v>1347</v>
      </c>
      <c r="D421" t="s">
        <v>734</v>
      </c>
      <c r="E421" s="2">
        <v>44777</v>
      </c>
      <c r="F421" t="s">
        <v>10</v>
      </c>
      <c r="G421">
        <v>1000000</v>
      </c>
      <c r="H421" s="2">
        <v>45041</v>
      </c>
      <c r="I421">
        <v>2023</v>
      </c>
      <c r="J421">
        <v>0</v>
      </c>
      <c r="K421">
        <v>0</v>
      </c>
      <c r="L421">
        <v>0</v>
      </c>
      <c r="M421">
        <v>955283.5</v>
      </c>
      <c r="N421">
        <v>955283.5</v>
      </c>
      <c r="O421" t="s">
        <v>143</v>
      </c>
    </row>
    <row r="422" spans="1:15" x14ac:dyDescent="0.25">
      <c r="A422" t="s">
        <v>1348</v>
      </c>
      <c r="B422" t="s">
        <v>1349</v>
      </c>
      <c r="C422" t="s">
        <v>1350</v>
      </c>
      <c r="D422" t="s">
        <v>110</v>
      </c>
      <c r="E422" s="2">
        <v>44838</v>
      </c>
      <c r="F422" t="s">
        <v>14</v>
      </c>
      <c r="G422">
        <v>1000000</v>
      </c>
      <c r="H422" s="2">
        <v>45013</v>
      </c>
      <c r="I422">
        <v>2023</v>
      </c>
      <c r="J422">
        <v>4698.1613481274098</v>
      </c>
      <c r="K422">
        <v>12498.188651872601</v>
      </c>
      <c r="L422">
        <v>93934.99</v>
      </c>
      <c r="M422">
        <v>0</v>
      </c>
      <c r="N422">
        <v>111131.34</v>
      </c>
      <c r="O422" t="s">
        <v>111</v>
      </c>
    </row>
    <row r="423" spans="1:15" x14ac:dyDescent="0.25">
      <c r="A423" t="s">
        <v>1351</v>
      </c>
      <c r="B423" t="s">
        <v>1352</v>
      </c>
      <c r="C423" t="s">
        <v>1353</v>
      </c>
      <c r="D423" t="s">
        <v>110</v>
      </c>
      <c r="E423" s="2">
        <v>44660</v>
      </c>
      <c r="F423" t="s">
        <v>21</v>
      </c>
      <c r="G423">
        <v>2000000</v>
      </c>
      <c r="H423" s="2">
        <v>44949</v>
      </c>
      <c r="I423">
        <v>2023</v>
      </c>
      <c r="J423">
        <v>9656.7443131308592</v>
      </c>
      <c r="K423">
        <v>27495.165686869099</v>
      </c>
      <c r="L423">
        <v>144106.76</v>
      </c>
      <c r="M423">
        <v>0</v>
      </c>
      <c r="N423">
        <v>181258.67</v>
      </c>
      <c r="O423" t="s">
        <v>193</v>
      </c>
    </row>
    <row r="424" spans="1:15" x14ac:dyDescent="0.25">
      <c r="A424" t="s">
        <v>1354</v>
      </c>
      <c r="B424" t="s">
        <v>1355</v>
      </c>
      <c r="C424" t="s">
        <v>1356</v>
      </c>
      <c r="D424" t="s">
        <v>734</v>
      </c>
      <c r="E424" s="2">
        <v>44944</v>
      </c>
      <c r="F424" t="s">
        <v>46</v>
      </c>
      <c r="G424">
        <v>5000000</v>
      </c>
      <c r="H424" s="2">
        <v>45102</v>
      </c>
      <c r="I424">
        <v>2023</v>
      </c>
      <c r="J424">
        <v>4830.4118779522196</v>
      </c>
      <c r="K424">
        <v>11618.678122047801</v>
      </c>
      <c r="L424">
        <v>181782.96</v>
      </c>
      <c r="M424">
        <v>57957.279999999999</v>
      </c>
      <c r="N424">
        <v>256189.33</v>
      </c>
      <c r="O424" t="s">
        <v>127</v>
      </c>
    </row>
    <row r="425" spans="1:15" x14ac:dyDescent="0.25">
      <c r="A425" t="s">
        <v>1357</v>
      </c>
      <c r="B425" t="s">
        <v>1358</v>
      </c>
      <c r="C425" t="s">
        <v>1359</v>
      </c>
      <c r="D425" t="s">
        <v>110</v>
      </c>
      <c r="E425" s="2">
        <v>44849</v>
      </c>
      <c r="F425" t="s">
        <v>32</v>
      </c>
      <c r="G425">
        <v>5000000</v>
      </c>
      <c r="H425" s="2">
        <v>45106</v>
      </c>
      <c r="I425">
        <v>2023</v>
      </c>
      <c r="J425">
        <v>7598.54710024208</v>
      </c>
      <c r="K425">
        <v>19701.462899757898</v>
      </c>
      <c r="L425">
        <v>183175.96</v>
      </c>
      <c r="M425">
        <v>0</v>
      </c>
      <c r="N425">
        <v>210475.97</v>
      </c>
      <c r="O425" t="s">
        <v>172</v>
      </c>
    </row>
    <row r="426" spans="1:15" x14ac:dyDescent="0.25">
      <c r="A426" t="s">
        <v>1360</v>
      </c>
      <c r="B426" t="s">
        <v>1361</v>
      </c>
      <c r="C426" t="s">
        <v>1362</v>
      </c>
      <c r="D426" t="s">
        <v>110</v>
      </c>
      <c r="E426" s="2">
        <v>45001</v>
      </c>
      <c r="F426" t="s">
        <v>45</v>
      </c>
      <c r="G426">
        <v>3000000</v>
      </c>
      <c r="H426" s="2">
        <v>45068</v>
      </c>
      <c r="I426">
        <v>2023</v>
      </c>
      <c r="J426">
        <v>13851.6625637531</v>
      </c>
      <c r="K426">
        <v>51062.357436246901</v>
      </c>
      <c r="L426">
        <v>219583.93</v>
      </c>
      <c r="M426">
        <v>0</v>
      </c>
      <c r="N426">
        <v>284497.95</v>
      </c>
      <c r="O426" t="s">
        <v>233</v>
      </c>
    </row>
    <row r="427" spans="1:15" x14ac:dyDescent="0.25">
      <c r="A427" t="s">
        <v>1363</v>
      </c>
      <c r="B427" t="s">
        <v>1364</v>
      </c>
      <c r="C427" t="s">
        <v>1365</v>
      </c>
      <c r="D427" t="s">
        <v>110</v>
      </c>
      <c r="E427" s="2">
        <v>45033</v>
      </c>
      <c r="F427" t="s">
        <v>52</v>
      </c>
      <c r="G427">
        <v>1000000</v>
      </c>
      <c r="H427" s="2">
        <v>45075</v>
      </c>
      <c r="I427">
        <v>2023</v>
      </c>
      <c r="J427">
        <v>13167.8358486789</v>
      </c>
      <c r="K427">
        <v>37051.074151321103</v>
      </c>
      <c r="L427">
        <v>384266.48</v>
      </c>
      <c r="M427">
        <v>0</v>
      </c>
      <c r="N427">
        <v>434485.39</v>
      </c>
      <c r="O427" t="s">
        <v>431</v>
      </c>
    </row>
    <row r="428" spans="1:15" x14ac:dyDescent="0.25">
      <c r="A428" t="s">
        <v>1366</v>
      </c>
      <c r="B428" t="s">
        <v>1367</v>
      </c>
      <c r="C428" t="s">
        <v>1368</v>
      </c>
      <c r="D428" t="s">
        <v>734</v>
      </c>
      <c r="E428" s="2">
        <v>44800</v>
      </c>
      <c r="F428" t="s">
        <v>17</v>
      </c>
      <c r="G428">
        <v>5000000</v>
      </c>
      <c r="H428" s="2">
        <v>45107</v>
      </c>
      <c r="I428">
        <v>2023</v>
      </c>
      <c r="J428">
        <v>1803.16772725343</v>
      </c>
      <c r="K428">
        <v>4942.5522727465705</v>
      </c>
      <c r="L428">
        <v>45763.3</v>
      </c>
      <c r="M428">
        <v>3167.7</v>
      </c>
      <c r="N428">
        <v>55676.72</v>
      </c>
      <c r="O428" t="s">
        <v>427</v>
      </c>
    </row>
    <row r="429" spans="1:15" x14ac:dyDescent="0.25">
      <c r="A429" t="s">
        <v>1369</v>
      </c>
      <c r="B429" t="s">
        <v>1370</v>
      </c>
      <c r="C429" t="s">
        <v>1371</v>
      </c>
      <c r="D429" t="s">
        <v>110</v>
      </c>
      <c r="E429" s="2">
        <v>45086</v>
      </c>
      <c r="F429" t="s">
        <v>12</v>
      </c>
      <c r="G429">
        <v>4000000</v>
      </c>
      <c r="H429" s="2">
        <v>45099</v>
      </c>
      <c r="I429">
        <v>2023</v>
      </c>
      <c r="J429">
        <v>19434.341738423202</v>
      </c>
      <c r="K429">
        <v>59645.948261576799</v>
      </c>
      <c r="L429">
        <v>305324.99</v>
      </c>
      <c r="M429">
        <v>0</v>
      </c>
      <c r="N429">
        <v>384405.28</v>
      </c>
      <c r="O429" t="s">
        <v>343</v>
      </c>
    </row>
    <row r="430" spans="1:15" x14ac:dyDescent="0.25">
      <c r="A430" t="s">
        <v>1372</v>
      </c>
      <c r="B430" t="s">
        <v>1373</v>
      </c>
      <c r="C430" t="s">
        <v>1374</v>
      </c>
      <c r="D430" t="s">
        <v>734</v>
      </c>
      <c r="E430" s="2">
        <v>44827</v>
      </c>
      <c r="F430" t="s">
        <v>54</v>
      </c>
      <c r="G430">
        <v>4000000</v>
      </c>
      <c r="H430" s="2">
        <v>45133</v>
      </c>
      <c r="I430">
        <v>2023</v>
      </c>
      <c r="J430">
        <v>730.606357238535</v>
      </c>
      <c r="K430">
        <v>2713.1936427614701</v>
      </c>
      <c r="L430">
        <v>11928.75</v>
      </c>
      <c r="M430">
        <v>37304.720000000001</v>
      </c>
      <c r="N430">
        <v>52677.27</v>
      </c>
      <c r="O430" t="s">
        <v>150</v>
      </c>
    </row>
    <row r="431" spans="1:15" x14ac:dyDescent="0.25">
      <c r="A431" t="s">
        <v>1375</v>
      </c>
      <c r="B431" t="s">
        <v>1376</v>
      </c>
      <c r="C431" t="s">
        <v>1377</v>
      </c>
      <c r="D431" t="s">
        <v>734</v>
      </c>
      <c r="E431" s="2">
        <v>45033</v>
      </c>
      <c r="F431" t="s">
        <v>38</v>
      </c>
      <c r="G431">
        <v>5000000</v>
      </c>
      <c r="H431" s="2">
        <v>45130</v>
      </c>
      <c r="I431">
        <v>2023</v>
      </c>
      <c r="J431">
        <v>23579.608369344602</v>
      </c>
      <c r="K431">
        <v>71395.231630655398</v>
      </c>
      <c r="L431">
        <v>357904.04</v>
      </c>
      <c r="M431">
        <v>744568.5</v>
      </c>
      <c r="N431">
        <v>1197447.3799999999</v>
      </c>
      <c r="O431" t="s">
        <v>131</v>
      </c>
    </row>
    <row r="432" spans="1:15" x14ac:dyDescent="0.25">
      <c r="A432" t="s">
        <v>1378</v>
      </c>
      <c r="B432" t="s">
        <v>1379</v>
      </c>
      <c r="C432" t="s">
        <v>1380</v>
      </c>
      <c r="D432" t="s">
        <v>734</v>
      </c>
      <c r="E432" s="2">
        <v>44372</v>
      </c>
      <c r="F432" t="s">
        <v>41</v>
      </c>
      <c r="G432">
        <v>3000000</v>
      </c>
      <c r="H432" s="2">
        <v>44542</v>
      </c>
      <c r="I432">
        <v>2021</v>
      </c>
      <c r="J432">
        <v>3499.3531969864998</v>
      </c>
      <c r="K432">
        <v>10574.416803013501</v>
      </c>
      <c r="L432">
        <v>41190.449999999997</v>
      </c>
      <c r="M432">
        <v>69099.839999999997</v>
      </c>
      <c r="N432">
        <v>124364.06</v>
      </c>
      <c r="O432" t="s">
        <v>172</v>
      </c>
    </row>
    <row r="433" spans="1:15" x14ac:dyDescent="0.25">
      <c r="A433" t="s">
        <v>1381</v>
      </c>
      <c r="B433" t="s">
        <v>1382</v>
      </c>
      <c r="C433" t="s">
        <v>1383</v>
      </c>
      <c r="D433" t="s">
        <v>734</v>
      </c>
      <c r="E433" s="2">
        <v>45043</v>
      </c>
      <c r="F433" t="s">
        <v>49</v>
      </c>
      <c r="G433">
        <v>4000000</v>
      </c>
      <c r="H433" s="2">
        <v>45126</v>
      </c>
      <c r="I433">
        <v>2023</v>
      </c>
      <c r="J433">
        <v>563.83443899621898</v>
      </c>
      <c r="K433">
        <v>1650.55556100378</v>
      </c>
      <c r="L433">
        <v>25867.65</v>
      </c>
      <c r="M433">
        <v>94490.25</v>
      </c>
      <c r="N433">
        <v>122572.29</v>
      </c>
      <c r="O433" t="s">
        <v>211</v>
      </c>
    </row>
    <row r="434" spans="1:15" x14ac:dyDescent="0.25">
      <c r="A434" t="s">
        <v>1384</v>
      </c>
      <c r="B434" t="s">
        <v>1385</v>
      </c>
      <c r="C434" t="s">
        <v>1386</v>
      </c>
      <c r="D434" t="s">
        <v>734</v>
      </c>
      <c r="E434" s="2">
        <v>44572</v>
      </c>
      <c r="F434" t="s">
        <v>50</v>
      </c>
      <c r="G434">
        <v>1000000</v>
      </c>
      <c r="H434" s="2">
        <v>44915</v>
      </c>
      <c r="I434">
        <v>2022</v>
      </c>
      <c r="J434">
        <v>0</v>
      </c>
      <c r="K434">
        <v>0</v>
      </c>
      <c r="L434">
        <v>0</v>
      </c>
      <c r="M434">
        <v>87684.92</v>
      </c>
      <c r="N434">
        <v>87684.92</v>
      </c>
      <c r="O434" t="s">
        <v>186</v>
      </c>
    </row>
    <row r="435" spans="1:15" x14ac:dyDescent="0.25">
      <c r="A435" t="s">
        <v>1387</v>
      </c>
      <c r="B435" t="s">
        <v>1388</v>
      </c>
      <c r="C435" t="s">
        <v>850</v>
      </c>
      <c r="D435" t="s">
        <v>734</v>
      </c>
      <c r="E435" s="2">
        <v>44878</v>
      </c>
      <c r="F435" t="s">
        <v>54</v>
      </c>
      <c r="G435">
        <v>2000000</v>
      </c>
      <c r="H435" s="2">
        <v>45085</v>
      </c>
      <c r="I435">
        <v>2023</v>
      </c>
      <c r="J435">
        <v>1345.1790993255099</v>
      </c>
      <c r="K435">
        <v>3240.4309006744902</v>
      </c>
      <c r="L435">
        <v>23663.21</v>
      </c>
      <c r="M435">
        <v>121231.92</v>
      </c>
      <c r="N435">
        <v>149480.74</v>
      </c>
      <c r="O435" t="s">
        <v>211</v>
      </c>
    </row>
    <row r="436" spans="1:15" x14ac:dyDescent="0.25">
      <c r="A436" t="s">
        <v>1389</v>
      </c>
      <c r="B436" t="s">
        <v>1390</v>
      </c>
      <c r="C436" t="s">
        <v>1391</v>
      </c>
      <c r="D436" t="s">
        <v>734</v>
      </c>
      <c r="E436" s="2">
        <v>44865</v>
      </c>
      <c r="F436" t="s">
        <v>42</v>
      </c>
      <c r="G436">
        <v>4000000</v>
      </c>
      <c r="H436" s="2">
        <v>45065</v>
      </c>
      <c r="I436">
        <v>2023</v>
      </c>
      <c r="J436">
        <v>40065.031712756499</v>
      </c>
      <c r="K436">
        <v>110369.938287243</v>
      </c>
      <c r="L436">
        <v>573668.98</v>
      </c>
      <c r="M436">
        <v>117083.28</v>
      </c>
      <c r="N436">
        <v>841187.23</v>
      </c>
      <c r="O436" t="s">
        <v>143</v>
      </c>
    </row>
    <row r="437" spans="1:15" x14ac:dyDescent="0.25">
      <c r="A437" t="s">
        <v>1392</v>
      </c>
      <c r="B437" t="s">
        <v>1393</v>
      </c>
      <c r="C437" t="s">
        <v>1394</v>
      </c>
      <c r="D437" t="s">
        <v>734</v>
      </c>
      <c r="E437" s="2">
        <v>45103</v>
      </c>
      <c r="F437" t="s">
        <v>45</v>
      </c>
      <c r="G437">
        <v>1000000</v>
      </c>
      <c r="H437" s="2">
        <v>45149</v>
      </c>
      <c r="I437">
        <v>2023</v>
      </c>
      <c r="J437">
        <v>3838.1273715255202</v>
      </c>
      <c r="K437">
        <v>9721.2426284744797</v>
      </c>
      <c r="L437">
        <v>24016.66</v>
      </c>
      <c r="M437">
        <v>109924.91</v>
      </c>
      <c r="N437">
        <v>147500.94</v>
      </c>
      <c r="O437" t="s">
        <v>135</v>
      </c>
    </row>
    <row r="438" spans="1:15" x14ac:dyDescent="0.25">
      <c r="A438" t="s">
        <v>1395</v>
      </c>
      <c r="B438" t="s">
        <v>1396</v>
      </c>
      <c r="C438" t="s">
        <v>897</v>
      </c>
      <c r="D438" t="s">
        <v>734</v>
      </c>
      <c r="E438" s="2">
        <v>44915</v>
      </c>
      <c r="F438" t="s">
        <v>41</v>
      </c>
      <c r="G438">
        <v>2000000</v>
      </c>
      <c r="H438" s="2">
        <v>45136</v>
      </c>
      <c r="I438">
        <v>2023</v>
      </c>
      <c r="J438">
        <v>5422.2208096453796</v>
      </c>
      <c r="K438">
        <v>15629.6991903546</v>
      </c>
      <c r="L438">
        <v>98161.39</v>
      </c>
      <c r="M438">
        <v>32728.84</v>
      </c>
      <c r="N438">
        <v>151942.15</v>
      </c>
      <c r="O438" t="s">
        <v>193</v>
      </c>
    </row>
    <row r="439" spans="1:15" x14ac:dyDescent="0.25">
      <c r="A439" t="s">
        <v>1397</v>
      </c>
      <c r="B439" t="s">
        <v>1398</v>
      </c>
      <c r="C439" t="s">
        <v>1399</v>
      </c>
      <c r="D439" t="s">
        <v>734</v>
      </c>
      <c r="E439" s="2">
        <v>45000</v>
      </c>
      <c r="F439" t="s">
        <v>41</v>
      </c>
      <c r="G439">
        <v>2000000</v>
      </c>
      <c r="H439" s="2">
        <v>45154</v>
      </c>
      <c r="I439">
        <v>2023</v>
      </c>
      <c r="J439">
        <v>0</v>
      </c>
      <c r="K439">
        <v>0</v>
      </c>
      <c r="L439">
        <v>0</v>
      </c>
      <c r="M439">
        <v>79968.27</v>
      </c>
      <c r="N439">
        <v>79968.27</v>
      </c>
      <c r="O439" t="s">
        <v>164</v>
      </c>
    </row>
    <row r="440" spans="1:15" x14ac:dyDescent="0.25">
      <c r="A440" t="s">
        <v>1400</v>
      </c>
      <c r="B440" t="s">
        <v>1401</v>
      </c>
      <c r="C440" t="s">
        <v>1402</v>
      </c>
      <c r="D440" t="s">
        <v>734</v>
      </c>
      <c r="E440" s="2">
        <v>45031</v>
      </c>
      <c r="F440" t="s">
        <v>41</v>
      </c>
      <c r="G440">
        <v>5000000</v>
      </c>
      <c r="H440" s="2">
        <v>45159</v>
      </c>
      <c r="I440">
        <v>2023</v>
      </c>
      <c r="J440">
        <v>1626.4903643269499</v>
      </c>
      <c r="K440">
        <v>4350.2696356730503</v>
      </c>
      <c r="L440">
        <v>37279.69</v>
      </c>
      <c r="M440">
        <v>27991.84</v>
      </c>
      <c r="N440">
        <v>71248.289999999994</v>
      </c>
      <c r="O440" t="s">
        <v>240</v>
      </c>
    </row>
    <row r="441" spans="1:15" x14ac:dyDescent="0.25">
      <c r="A441" t="s">
        <v>1403</v>
      </c>
      <c r="B441" t="s">
        <v>1404</v>
      </c>
      <c r="C441" t="s">
        <v>1405</v>
      </c>
      <c r="D441" t="s">
        <v>734</v>
      </c>
      <c r="E441" s="2">
        <v>44771</v>
      </c>
      <c r="F441" t="s">
        <v>54</v>
      </c>
      <c r="G441">
        <v>2000000</v>
      </c>
      <c r="H441" s="2">
        <v>45096</v>
      </c>
      <c r="I441">
        <v>2023</v>
      </c>
      <c r="J441">
        <v>2040.8988708889599</v>
      </c>
      <c r="K441">
        <v>6745.6711291110396</v>
      </c>
      <c r="L441">
        <v>47292.800000000003</v>
      </c>
      <c r="M441">
        <v>24443.06</v>
      </c>
      <c r="N441">
        <v>80522.429999999993</v>
      </c>
      <c r="O441" t="s">
        <v>240</v>
      </c>
    </row>
    <row r="442" spans="1:15" x14ac:dyDescent="0.25">
      <c r="A442" t="s">
        <v>1406</v>
      </c>
      <c r="B442" t="s">
        <v>1407</v>
      </c>
      <c r="C442" t="s">
        <v>1247</v>
      </c>
      <c r="D442" t="s">
        <v>734</v>
      </c>
      <c r="E442" s="2">
        <v>44932</v>
      </c>
      <c r="F442" t="s">
        <v>13</v>
      </c>
      <c r="G442">
        <v>1000000</v>
      </c>
      <c r="H442" s="2">
        <v>45093</v>
      </c>
      <c r="I442">
        <v>2023</v>
      </c>
      <c r="J442">
        <v>0</v>
      </c>
      <c r="K442">
        <v>0</v>
      </c>
      <c r="L442">
        <v>0</v>
      </c>
      <c r="M442">
        <v>85448.71</v>
      </c>
      <c r="N442">
        <v>85448.71</v>
      </c>
      <c r="O442" t="s">
        <v>186</v>
      </c>
    </row>
    <row r="443" spans="1:15" x14ac:dyDescent="0.25">
      <c r="A443" t="s">
        <v>1408</v>
      </c>
      <c r="B443" t="s">
        <v>1409</v>
      </c>
      <c r="C443" t="s">
        <v>1410</v>
      </c>
      <c r="D443" t="s">
        <v>734</v>
      </c>
      <c r="E443" s="2">
        <v>45002</v>
      </c>
      <c r="F443" t="s">
        <v>50</v>
      </c>
      <c r="G443">
        <v>5000000</v>
      </c>
      <c r="H443" s="2">
        <v>45171</v>
      </c>
      <c r="I443">
        <v>2023</v>
      </c>
      <c r="J443">
        <v>0</v>
      </c>
      <c r="K443">
        <v>0</v>
      </c>
      <c r="L443">
        <v>0</v>
      </c>
      <c r="M443">
        <v>319486.64</v>
      </c>
      <c r="N443">
        <v>319486.64</v>
      </c>
      <c r="O443" t="s">
        <v>179</v>
      </c>
    </row>
    <row r="444" spans="1:15" x14ac:dyDescent="0.25">
      <c r="A444" t="s">
        <v>1411</v>
      </c>
      <c r="B444" t="s">
        <v>1412</v>
      </c>
      <c r="C444" t="s">
        <v>1413</v>
      </c>
      <c r="D444" t="s">
        <v>734</v>
      </c>
      <c r="E444" s="2">
        <v>44894</v>
      </c>
      <c r="F444" t="s">
        <v>52</v>
      </c>
      <c r="G444">
        <v>5000000</v>
      </c>
      <c r="H444" s="2">
        <v>45149</v>
      </c>
      <c r="I444">
        <v>2023</v>
      </c>
      <c r="J444">
        <v>3747.71161957609</v>
      </c>
      <c r="K444">
        <v>12634.3283804239</v>
      </c>
      <c r="L444">
        <v>96765.96</v>
      </c>
      <c r="M444">
        <v>126551.33</v>
      </c>
      <c r="N444">
        <v>239699.33</v>
      </c>
      <c r="O444" t="s">
        <v>127</v>
      </c>
    </row>
    <row r="445" spans="1:15" x14ac:dyDescent="0.25">
      <c r="A445" t="s">
        <v>1414</v>
      </c>
      <c r="B445" t="s">
        <v>1415</v>
      </c>
      <c r="C445" t="s">
        <v>1416</v>
      </c>
      <c r="D445" t="s">
        <v>734</v>
      </c>
      <c r="E445" s="2">
        <v>45124</v>
      </c>
      <c r="F445" t="s">
        <v>10</v>
      </c>
      <c r="G445">
        <v>5000000</v>
      </c>
      <c r="H445" s="2">
        <v>45185</v>
      </c>
      <c r="I445">
        <v>2023</v>
      </c>
      <c r="J445">
        <v>6269.28740340677</v>
      </c>
      <c r="K445">
        <v>14707.532596593201</v>
      </c>
      <c r="L445">
        <v>58675</v>
      </c>
      <c r="M445">
        <v>27118.080000000002</v>
      </c>
      <c r="N445">
        <v>106769.9</v>
      </c>
      <c r="O445" t="s">
        <v>164</v>
      </c>
    </row>
    <row r="446" spans="1:15" x14ac:dyDescent="0.25">
      <c r="A446" t="s">
        <v>1417</v>
      </c>
      <c r="B446" t="s">
        <v>1418</v>
      </c>
      <c r="C446" t="s">
        <v>1419</v>
      </c>
      <c r="D446" t="s">
        <v>734</v>
      </c>
      <c r="E446" s="2">
        <v>45090</v>
      </c>
      <c r="F446" t="s">
        <v>14</v>
      </c>
      <c r="G446">
        <v>2000000</v>
      </c>
      <c r="H446" s="2">
        <v>45159</v>
      </c>
      <c r="I446">
        <v>2023</v>
      </c>
      <c r="J446">
        <v>2588.56633661051</v>
      </c>
      <c r="K446">
        <v>8443.89366338949</v>
      </c>
      <c r="L446">
        <v>58509.21</v>
      </c>
      <c r="M446">
        <v>73892.800000000003</v>
      </c>
      <c r="N446">
        <v>143434.47</v>
      </c>
      <c r="O446" t="s">
        <v>168</v>
      </c>
    </row>
    <row r="447" spans="1:15" x14ac:dyDescent="0.25">
      <c r="A447" t="s">
        <v>1420</v>
      </c>
      <c r="B447" t="s">
        <v>1421</v>
      </c>
      <c r="C447" t="s">
        <v>1422</v>
      </c>
      <c r="D447" t="s">
        <v>734</v>
      </c>
      <c r="E447" s="2">
        <v>45160</v>
      </c>
      <c r="F447" t="s">
        <v>41</v>
      </c>
      <c r="G447">
        <v>5000000</v>
      </c>
      <c r="H447" s="2">
        <v>45161</v>
      </c>
      <c r="I447">
        <v>2023</v>
      </c>
      <c r="J447">
        <v>16997.587949473102</v>
      </c>
      <c r="K447">
        <v>67773.922050526904</v>
      </c>
      <c r="L447">
        <v>892103.69</v>
      </c>
      <c r="M447">
        <v>1369744.12</v>
      </c>
      <c r="N447">
        <v>2346619.3199999998</v>
      </c>
      <c r="O447" t="s">
        <v>353</v>
      </c>
    </row>
    <row r="448" spans="1:15" x14ac:dyDescent="0.25">
      <c r="A448" t="s">
        <v>1423</v>
      </c>
      <c r="B448" t="s">
        <v>1424</v>
      </c>
      <c r="C448" t="s">
        <v>1425</v>
      </c>
      <c r="D448" t="s">
        <v>734</v>
      </c>
      <c r="E448" s="2">
        <v>45112</v>
      </c>
      <c r="F448" t="s">
        <v>50</v>
      </c>
      <c r="G448">
        <v>5000000</v>
      </c>
      <c r="H448" s="2">
        <v>45164</v>
      </c>
      <c r="I448">
        <v>2023</v>
      </c>
      <c r="J448">
        <v>3219.2274602996299</v>
      </c>
      <c r="K448">
        <v>11098.2125397004</v>
      </c>
      <c r="L448">
        <v>79555.67</v>
      </c>
      <c r="M448">
        <v>60044.67</v>
      </c>
      <c r="N448">
        <v>153917.78</v>
      </c>
      <c r="O448" t="s">
        <v>168</v>
      </c>
    </row>
    <row r="449" spans="1:15" x14ac:dyDescent="0.25">
      <c r="A449" t="s">
        <v>1426</v>
      </c>
      <c r="B449" t="s">
        <v>1427</v>
      </c>
      <c r="C449" t="s">
        <v>1428</v>
      </c>
      <c r="D449" t="s">
        <v>734</v>
      </c>
      <c r="E449" s="2">
        <v>45137</v>
      </c>
      <c r="F449" t="s">
        <v>21</v>
      </c>
      <c r="G449">
        <v>1000000</v>
      </c>
      <c r="H449" s="2">
        <v>45166</v>
      </c>
      <c r="I449">
        <v>2023</v>
      </c>
      <c r="J449">
        <v>126.720839201952</v>
      </c>
      <c r="K449">
        <v>328.60916079804798</v>
      </c>
      <c r="L449">
        <v>2441.71</v>
      </c>
      <c r="M449">
        <v>36282.550000000003</v>
      </c>
      <c r="N449">
        <v>39179.589999999997</v>
      </c>
      <c r="O449" t="s">
        <v>157</v>
      </c>
    </row>
    <row r="450" spans="1:15" x14ac:dyDescent="0.25">
      <c r="A450" t="s">
        <v>1429</v>
      </c>
      <c r="B450" t="s">
        <v>1430</v>
      </c>
      <c r="C450" t="s">
        <v>1118</v>
      </c>
      <c r="D450" t="s">
        <v>734</v>
      </c>
      <c r="E450" s="2">
        <v>45030</v>
      </c>
      <c r="F450" t="s">
        <v>33</v>
      </c>
      <c r="G450">
        <v>2000000</v>
      </c>
      <c r="H450" s="2">
        <v>45185</v>
      </c>
      <c r="I450">
        <v>2023</v>
      </c>
      <c r="J450">
        <v>812.94851156712298</v>
      </c>
      <c r="K450">
        <v>1948.08148843288</v>
      </c>
      <c r="L450">
        <v>22345.49</v>
      </c>
      <c r="M450">
        <v>33689.379999999997</v>
      </c>
      <c r="N450">
        <v>58795.9</v>
      </c>
      <c r="O450" t="s">
        <v>150</v>
      </c>
    </row>
    <row r="451" spans="1:15" x14ac:dyDescent="0.25">
      <c r="A451" t="s">
        <v>1431</v>
      </c>
      <c r="B451" t="s">
        <v>1432</v>
      </c>
      <c r="C451" t="s">
        <v>1433</v>
      </c>
      <c r="D451" t="s">
        <v>734</v>
      </c>
      <c r="E451" s="2">
        <v>45013</v>
      </c>
      <c r="F451" t="s">
        <v>41</v>
      </c>
      <c r="G451">
        <v>1000000</v>
      </c>
      <c r="H451" s="2">
        <v>45190</v>
      </c>
      <c r="I451">
        <v>2023</v>
      </c>
      <c r="J451">
        <v>480.055149435923</v>
      </c>
      <c r="K451">
        <v>1521.31485056408</v>
      </c>
      <c r="L451">
        <v>12046.07</v>
      </c>
      <c r="M451">
        <v>51868.65</v>
      </c>
      <c r="N451">
        <v>65916.09</v>
      </c>
      <c r="O451" t="s">
        <v>197</v>
      </c>
    </row>
    <row r="452" spans="1:15" x14ac:dyDescent="0.25">
      <c r="A452" t="s">
        <v>1434</v>
      </c>
      <c r="B452" t="s">
        <v>1435</v>
      </c>
      <c r="C452" t="s">
        <v>1436</v>
      </c>
      <c r="D452" t="s">
        <v>734</v>
      </c>
      <c r="E452" s="2">
        <v>44890</v>
      </c>
      <c r="F452" t="s">
        <v>52</v>
      </c>
      <c r="G452">
        <v>1000000</v>
      </c>
      <c r="H452" s="2">
        <v>45194</v>
      </c>
      <c r="I452">
        <v>2023</v>
      </c>
      <c r="J452">
        <v>103.642860503319</v>
      </c>
      <c r="K452">
        <v>298.37713949668102</v>
      </c>
      <c r="L452">
        <v>1391.37</v>
      </c>
      <c r="M452">
        <v>48027.17</v>
      </c>
      <c r="N452">
        <v>49820.56</v>
      </c>
      <c r="O452" t="s">
        <v>207</v>
      </c>
    </row>
    <row r="453" spans="1:15" x14ac:dyDescent="0.25">
      <c r="A453" t="s">
        <v>1437</v>
      </c>
      <c r="B453" t="s">
        <v>1438</v>
      </c>
      <c r="C453" t="s">
        <v>1439</v>
      </c>
      <c r="D453" t="s">
        <v>734</v>
      </c>
      <c r="E453" s="2">
        <v>45137</v>
      </c>
      <c r="F453" t="s">
        <v>30</v>
      </c>
      <c r="G453">
        <v>2000000</v>
      </c>
      <c r="H453" s="2">
        <v>45186</v>
      </c>
      <c r="I453">
        <v>2023</v>
      </c>
      <c r="J453">
        <v>0</v>
      </c>
      <c r="K453">
        <v>0</v>
      </c>
      <c r="L453">
        <v>0</v>
      </c>
      <c r="M453">
        <v>206404.41</v>
      </c>
      <c r="N453">
        <v>206404.41</v>
      </c>
      <c r="O453" t="s">
        <v>172</v>
      </c>
    </row>
    <row r="454" spans="1:15" x14ac:dyDescent="0.25">
      <c r="A454" t="s">
        <v>1440</v>
      </c>
      <c r="B454" t="s">
        <v>1441</v>
      </c>
      <c r="C454" t="s">
        <v>1442</v>
      </c>
      <c r="D454" t="s">
        <v>734</v>
      </c>
      <c r="E454" s="2">
        <v>45000</v>
      </c>
      <c r="F454" t="s">
        <v>44</v>
      </c>
      <c r="G454">
        <v>1000000</v>
      </c>
      <c r="H454" s="2">
        <v>45205</v>
      </c>
      <c r="I454">
        <v>2023</v>
      </c>
      <c r="J454">
        <v>0</v>
      </c>
      <c r="K454">
        <v>0</v>
      </c>
      <c r="L454">
        <v>0</v>
      </c>
      <c r="M454">
        <v>133125.54999999999</v>
      </c>
      <c r="N454">
        <v>133125.54999999999</v>
      </c>
      <c r="O454" t="s">
        <v>211</v>
      </c>
    </row>
    <row r="455" spans="1:15" x14ac:dyDescent="0.25">
      <c r="A455" t="s">
        <v>1443</v>
      </c>
      <c r="B455" t="s">
        <v>1444</v>
      </c>
      <c r="C455" t="s">
        <v>1445</v>
      </c>
      <c r="D455" t="s">
        <v>734</v>
      </c>
      <c r="E455" s="2">
        <v>45075</v>
      </c>
      <c r="F455" t="s">
        <v>41</v>
      </c>
      <c r="G455">
        <v>5000000</v>
      </c>
      <c r="H455" s="2">
        <v>45134</v>
      </c>
      <c r="I455">
        <v>2023</v>
      </c>
      <c r="J455">
        <v>0</v>
      </c>
      <c r="K455">
        <v>0</v>
      </c>
      <c r="L455">
        <v>0</v>
      </c>
      <c r="M455">
        <v>55329.22</v>
      </c>
      <c r="N455">
        <v>55329.22</v>
      </c>
      <c r="O455" t="s">
        <v>119</v>
      </c>
    </row>
    <row r="456" spans="1:15" x14ac:dyDescent="0.25">
      <c r="A456" t="s">
        <v>1446</v>
      </c>
      <c r="B456" t="s">
        <v>1447</v>
      </c>
      <c r="C456" t="s">
        <v>1448</v>
      </c>
      <c r="D456" t="s">
        <v>734</v>
      </c>
      <c r="E456" s="2">
        <v>44757</v>
      </c>
      <c r="F456" t="s">
        <v>41</v>
      </c>
      <c r="G456">
        <v>5000000</v>
      </c>
      <c r="H456" s="2">
        <v>45060</v>
      </c>
      <c r="I456">
        <v>2023</v>
      </c>
      <c r="J456">
        <v>681.25885553795194</v>
      </c>
      <c r="K456">
        <v>1860.1111444620501</v>
      </c>
      <c r="L456">
        <v>9805.82</v>
      </c>
      <c r="M456">
        <v>321723.02</v>
      </c>
      <c r="N456">
        <v>334070.21000000002</v>
      </c>
      <c r="O456" t="s">
        <v>179</v>
      </c>
    </row>
    <row r="457" spans="1:15" x14ac:dyDescent="0.25">
      <c r="A457" t="s">
        <v>1449</v>
      </c>
      <c r="B457" t="s">
        <v>1450</v>
      </c>
      <c r="C457" t="s">
        <v>1451</v>
      </c>
      <c r="D457" t="s">
        <v>734</v>
      </c>
      <c r="E457" s="2">
        <v>44959</v>
      </c>
      <c r="F457" t="s">
        <v>41</v>
      </c>
      <c r="G457">
        <v>5000000</v>
      </c>
      <c r="H457" s="2">
        <v>45137</v>
      </c>
      <c r="I457">
        <v>2023</v>
      </c>
      <c r="J457">
        <v>1078.3395538519201</v>
      </c>
      <c r="K457">
        <v>2696.5104461480801</v>
      </c>
      <c r="L457">
        <v>11338.86</v>
      </c>
      <c r="M457">
        <v>44850.3</v>
      </c>
      <c r="N457">
        <v>59964.01</v>
      </c>
      <c r="O457" t="s">
        <v>111</v>
      </c>
    </row>
    <row r="458" spans="1:15" x14ac:dyDescent="0.25">
      <c r="A458" t="s">
        <v>1452</v>
      </c>
      <c r="B458" t="s">
        <v>1453</v>
      </c>
      <c r="C458" t="s">
        <v>1454</v>
      </c>
      <c r="D458" t="s">
        <v>734</v>
      </c>
      <c r="E458" s="2">
        <v>45042</v>
      </c>
      <c r="F458" t="s">
        <v>34</v>
      </c>
      <c r="G458">
        <v>2000000</v>
      </c>
      <c r="H458" s="2">
        <v>45217</v>
      </c>
      <c r="I458">
        <v>2023</v>
      </c>
      <c r="J458">
        <v>0</v>
      </c>
      <c r="K458">
        <v>0</v>
      </c>
      <c r="L458">
        <v>0</v>
      </c>
      <c r="M458">
        <v>42182.29</v>
      </c>
      <c r="N458">
        <v>42182.29</v>
      </c>
      <c r="O458" t="s">
        <v>119</v>
      </c>
    </row>
    <row r="459" spans="1:15" x14ac:dyDescent="0.25">
      <c r="A459" t="s">
        <v>1455</v>
      </c>
      <c r="B459" t="s">
        <v>1456</v>
      </c>
      <c r="C459" t="s">
        <v>1457</v>
      </c>
      <c r="D459" t="s">
        <v>734</v>
      </c>
      <c r="E459" s="2">
        <v>44914</v>
      </c>
      <c r="F459" t="s">
        <v>21</v>
      </c>
      <c r="G459">
        <v>2000000</v>
      </c>
      <c r="H459" s="2">
        <v>45184</v>
      </c>
      <c r="I459">
        <v>2023</v>
      </c>
      <c r="J459">
        <v>0</v>
      </c>
      <c r="K459">
        <v>0</v>
      </c>
      <c r="L459">
        <v>0</v>
      </c>
      <c r="M459">
        <v>201440.67</v>
      </c>
      <c r="N459">
        <v>201440.67</v>
      </c>
      <c r="O459" t="s">
        <v>127</v>
      </c>
    </row>
    <row r="460" spans="1:15" x14ac:dyDescent="0.25">
      <c r="A460" t="s">
        <v>1458</v>
      </c>
      <c r="B460" t="s">
        <v>1459</v>
      </c>
      <c r="C460" t="s">
        <v>1460</v>
      </c>
      <c r="D460" t="s">
        <v>734</v>
      </c>
      <c r="E460" s="2">
        <v>44738</v>
      </c>
      <c r="F460" t="s">
        <v>55</v>
      </c>
      <c r="G460">
        <v>3000000</v>
      </c>
      <c r="H460" s="2">
        <v>45051</v>
      </c>
      <c r="I460">
        <v>2023</v>
      </c>
      <c r="J460">
        <v>0</v>
      </c>
      <c r="K460">
        <v>0</v>
      </c>
      <c r="L460">
        <v>0</v>
      </c>
      <c r="M460">
        <v>85879.63</v>
      </c>
      <c r="N460">
        <v>85879.63</v>
      </c>
      <c r="O460" t="s">
        <v>233</v>
      </c>
    </row>
    <row r="461" spans="1:15" x14ac:dyDescent="0.25">
      <c r="A461" t="s">
        <v>1461</v>
      </c>
      <c r="B461" t="s">
        <v>1462</v>
      </c>
      <c r="C461" t="s">
        <v>1463</v>
      </c>
      <c r="D461" t="s">
        <v>734</v>
      </c>
      <c r="E461" s="2">
        <v>45031</v>
      </c>
      <c r="F461" t="s">
        <v>49</v>
      </c>
      <c r="G461">
        <v>5000000</v>
      </c>
      <c r="H461" s="2">
        <v>45227</v>
      </c>
      <c r="I461">
        <v>2023</v>
      </c>
      <c r="J461">
        <v>0</v>
      </c>
      <c r="K461">
        <v>0</v>
      </c>
      <c r="L461">
        <v>0</v>
      </c>
      <c r="M461">
        <v>409893.72</v>
      </c>
      <c r="N461">
        <v>409893.72</v>
      </c>
      <c r="O461" t="s">
        <v>431</v>
      </c>
    </row>
    <row r="462" spans="1:15" x14ac:dyDescent="0.25">
      <c r="E462" s="2"/>
      <c r="H462" s="2"/>
    </row>
    <row r="463" spans="1:15" x14ac:dyDescent="0.25">
      <c r="E463" s="2"/>
      <c r="H463" s="2"/>
    </row>
    <row r="464" spans="1:15" x14ac:dyDescent="0.25">
      <c r="E464" s="2"/>
      <c r="H464" s="2"/>
    </row>
    <row r="465" spans="5:8" x14ac:dyDescent="0.25">
      <c r="E465" s="2"/>
      <c r="H465" s="2"/>
    </row>
    <row r="466" spans="5:8" x14ac:dyDescent="0.25">
      <c r="E466" s="2"/>
      <c r="H466" s="2"/>
    </row>
    <row r="467" spans="5:8" x14ac:dyDescent="0.25">
      <c r="E467" s="2"/>
      <c r="H467" s="2"/>
    </row>
    <row r="468" spans="5:8" x14ac:dyDescent="0.25">
      <c r="E468" s="2"/>
      <c r="H468" s="2"/>
    </row>
    <row r="469" spans="5:8" x14ac:dyDescent="0.25">
      <c r="E469" s="2"/>
      <c r="H469" s="2"/>
    </row>
    <row r="470" spans="5:8" x14ac:dyDescent="0.25">
      <c r="E470" s="2"/>
      <c r="H470" s="2"/>
    </row>
    <row r="471" spans="5:8" x14ac:dyDescent="0.25">
      <c r="E471" s="2"/>
      <c r="H471" s="2"/>
    </row>
    <row r="472" spans="5:8" x14ac:dyDescent="0.25">
      <c r="E472" s="2"/>
      <c r="H472" s="2"/>
    </row>
    <row r="473" spans="5:8" x14ac:dyDescent="0.25">
      <c r="E473" s="2"/>
      <c r="H473" s="2"/>
    </row>
    <row r="474" spans="5:8" x14ac:dyDescent="0.25">
      <c r="E474" s="2"/>
      <c r="H474" s="2"/>
    </row>
    <row r="475" spans="5:8" x14ac:dyDescent="0.25">
      <c r="E475" s="2"/>
      <c r="H475" s="2"/>
    </row>
    <row r="476" spans="5:8" x14ac:dyDescent="0.25">
      <c r="E476" s="2"/>
      <c r="H476" s="2"/>
    </row>
    <row r="477" spans="5:8" x14ac:dyDescent="0.25">
      <c r="E477" s="2"/>
      <c r="H477" s="2"/>
    </row>
    <row r="478" spans="5:8" x14ac:dyDescent="0.25">
      <c r="E478" s="2"/>
      <c r="H478" s="2"/>
    </row>
    <row r="479" spans="5:8" x14ac:dyDescent="0.25">
      <c r="E479" s="2"/>
      <c r="H479" s="2"/>
    </row>
    <row r="480" spans="5:8" x14ac:dyDescent="0.25">
      <c r="E480" s="2"/>
      <c r="H480" s="2"/>
    </row>
    <row r="481" spans="5:8" x14ac:dyDescent="0.25">
      <c r="E481" s="2"/>
      <c r="H481" s="2"/>
    </row>
    <row r="482" spans="5:8" x14ac:dyDescent="0.25">
      <c r="E482" s="2"/>
      <c r="H482" s="2"/>
    </row>
    <row r="483" spans="5:8" x14ac:dyDescent="0.25">
      <c r="E483" s="2"/>
      <c r="H483" s="2"/>
    </row>
    <row r="484" spans="5:8" x14ac:dyDescent="0.25">
      <c r="E484" s="2"/>
      <c r="H484" s="2"/>
    </row>
    <row r="485" spans="5:8" x14ac:dyDescent="0.25">
      <c r="E485" s="2"/>
      <c r="H485" s="2"/>
    </row>
    <row r="486" spans="5:8" x14ac:dyDescent="0.25">
      <c r="E486" s="2"/>
      <c r="H486" s="2"/>
    </row>
    <row r="487" spans="5:8" x14ac:dyDescent="0.25">
      <c r="E487" s="2"/>
      <c r="H487" s="2"/>
    </row>
    <row r="488" spans="5:8" x14ac:dyDescent="0.25">
      <c r="E488" s="2"/>
      <c r="H488" s="2"/>
    </row>
    <row r="489" spans="5:8" x14ac:dyDescent="0.25">
      <c r="E489" s="2"/>
      <c r="H489" s="2"/>
    </row>
    <row r="490" spans="5:8" x14ac:dyDescent="0.25">
      <c r="E490" s="2"/>
      <c r="H490" s="2"/>
    </row>
    <row r="491" spans="5:8" x14ac:dyDescent="0.25">
      <c r="E491" s="2"/>
      <c r="H491" s="2"/>
    </row>
    <row r="492" spans="5:8" x14ac:dyDescent="0.25">
      <c r="E492" s="2"/>
      <c r="H492" s="2"/>
    </row>
    <row r="493" spans="5:8" x14ac:dyDescent="0.25">
      <c r="E493" s="2"/>
      <c r="H493" s="2"/>
    </row>
    <row r="494" spans="5:8" x14ac:dyDescent="0.25">
      <c r="E494" s="2"/>
      <c r="H494" s="2"/>
    </row>
    <row r="495" spans="5:8" x14ac:dyDescent="0.25">
      <c r="E495" s="2"/>
      <c r="H495" s="2"/>
    </row>
    <row r="496" spans="5:8" x14ac:dyDescent="0.25">
      <c r="E496" s="2"/>
      <c r="H496" s="2"/>
    </row>
    <row r="497" spans="5:8" x14ac:dyDescent="0.25">
      <c r="E497" s="2"/>
      <c r="H497" s="2"/>
    </row>
    <row r="498" spans="5:8" x14ac:dyDescent="0.25">
      <c r="E498" s="2"/>
      <c r="H498" s="2"/>
    </row>
    <row r="499" spans="5:8" x14ac:dyDescent="0.25">
      <c r="E499" s="2"/>
      <c r="H499" s="2"/>
    </row>
    <row r="500" spans="5:8" x14ac:dyDescent="0.25">
      <c r="E500" s="2"/>
      <c r="H500" s="2"/>
    </row>
    <row r="501" spans="5:8" x14ac:dyDescent="0.25">
      <c r="E501" s="2"/>
      <c r="H501" s="2"/>
    </row>
    <row r="502" spans="5:8" x14ac:dyDescent="0.25">
      <c r="E502" s="2"/>
      <c r="H502" s="2"/>
    </row>
    <row r="503" spans="5:8" x14ac:dyDescent="0.25">
      <c r="E503" s="2"/>
      <c r="H503" s="2"/>
    </row>
    <row r="504" spans="5:8" x14ac:dyDescent="0.25">
      <c r="E504" s="2"/>
      <c r="H504" s="2"/>
    </row>
    <row r="505" spans="5:8" x14ac:dyDescent="0.25">
      <c r="E505" s="2"/>
      <c r="H505" s="2"/>
    </row>
    <row r="506" spans="5:8" x14ac:dyDescent="0.25">
      <c r="E506" s="2"/>
      <c r="H506" s="2"/>
    </row>
    <row r="507" spans="5:8" x14ac:dyDescent="0.25">
      <c r="E507" s="2"/>
      <c r="H507" s="2"/>
    </row>
    <row r="508" spans="5:8" x14ac:dyDescent="0.25">
      <c r="E508" s="2"/>
      <c r="H508" s="2"/>
    </row>
    <row r="509" spans="5:8" x14ac:dyDescent="0.25">
      <c r="E509" s="2"/>
      <c r="H509" s="2"/>
    </row>
    <row r="510" spans="5:8" x14ac:dyDescent="0.25">
      <c r="E510" s="2"/>
      <c r="H510" s="2"/>
    </row>
    <row r="511" spans="5:8" x14ac:dyDescent="0.25">
      <c r="E511" s="2"/>
      <c r="H511" s="2"/>
    </row>
    <row r="512" spans="5:8" x14ac:dyDescent="0.25">
      <c r="E512" s="2"/>
      <c r="H512" s="2"/>
    </row>
    <row r="513" spans="5:8" x14ac:dyDescent="0.25">
      <c r="E513" s="2"/>
      <c r="H513" s="2"/>
    </row>
    <row r="514" spans="5:8" x14ac:dyDescent="0.25">
      <c r="E514" s="2"/>
      <c r="H514" s="2"/>
    </row>
    <row r="515" spans="5:8" x14ac:dyDescent="0.25">
      <c r="E515" s="2"/>
      <c r="H515" s="2"/>
    </row>
    <row r="516" spans="5:8" x14ac:dyDescent="0.25">
      <c r="E516" s="2"/>
      <c r="H516" s="2"/>
    </row>
    <row r="517" spans="5:8" x14ac:dyDescent="0.25">
      <c r="E517" s="2"/>
      <c r="H517" s="2"/>
    </row>
    <row r="518" spans="5:8" x14ac:dyDescent="0.25">
      <c r="E518" s="2"/>
      <c r="H518" s="2"/>
    </row>
    <row r="519" spans="5:8" x14ac:dyDescent="0.25">
      <c r="E519" s="2"/>
      <c r="H519" s="2"/>
    </row>
    <row r="520" spans="5:8" x14ac:dyDescent="0.25">
      <c r="E520" s="2"/>
      <c r="H520" s="2"/>
    </row>
    <row r="521" spans="5:8" x14ac:dyDescent="0.25">
      <c r="E521" s="2"/>
      <c r="H521" s="2"/>
    </row>
    <row r="522" spans="5:8" x14ac:dyDescent="0.25">
      <c r="E522" s="2"/>
      <c r="H522" s="2"/>
    </row>
    <row r="523" spans="5:8" x14ac:dyDescent="0.25">
      <c r="E523" s="2"/>
      <c r="H523" s="2"/>
    </row>
    <row r="524" spans="5:8" x14ac:dyDescent="0.25">
      <c r="E524" s="2"/>
      <c r="H524" s="2"/>
    </row>
    <row r="525" spans="5:8" x14ac:dyDescent="0.25">
      <c r="E525" s="2"/>
      <c r="H525" s="2"/>
    </row>
    <row r="526" spans="5:8" x14ac:dyDescent="0.25">
      <c r="E526" s="2"/>
      <c r="H526" s="2"/>
    </row>
    <row r="527" spans="5:8" x14ac:dyDescent="0.25">
      <c r="E527" s="2"/>
      <c r="H527" s="2"/>
    </row>
    <row r="528" spans="5:8" x14ac:dyDescent="0.25">
      <c r="E528" s="2"/>
      <c r="H528" s="2"/>
    </row>
    <row r="529" spans="5:8" x14ac:dyDescent="0.25">
      <c r="E529" s="2"/>
      <c r="H529" s="2"/>
    </row>
    <row r="530" spans="5:8" x14ac:dyDescent="0.25">
      <c r="E530" s="2"/>
      <c r="H530" s="2"/>
    </row>
    <row r="531" spans="5:8" x14ac:dyDescent="0.25">
      <c r="E531" s="2"/>
      <c r="H531" s="2"/>
    </row>
    <row r="532" spans="5:8" x14ac:dyDescent="0.25">
      <c r="E532" s="2"/>
      <c r="H532" s="2"/>
    </row>
    <row r="533" spans="5:8" x14ac:dyDescent="0.25">
      <c r="E533" s="2"/>
      <c r="H533" s="2"/>
    </row>
    <row r="534" spans="5:8" x14ac:dyDescent="0.25">
      <c r="E534" s="2"/>
      <c r="H534" s="2"/>
    </row>
    <row r="535" spans="5:8" x14ac:dyDescent="0.25">
      <c r="E535" s="2"/>
      <c r="H535" s="2"/>
    </row>
    <row r="536" spans="5:8" x14ac:dyDescent="0.25">
      <c r="E536" s="2"/>
      <c r="H536" s="2"/>
    </row>
    <row r="537" spans="5:8" x14ac:dyDescent="0.25">
      <c r="E537" s="2"/>
      <c r="H537" s="2"/>
    </row>
    <row r="538" spans="5:8" x14ac:dyDescent="0.25">
      <c r="E538" s="2"/>
      <c r="H538" s="2"/>
    </row>
    <row r="539" spans="5:8" x14ac:dyDescent="0.25">
      <c r="E539" s="2"/>
      <c r="H539" s="2"/>
    </row>
    <row r="540" spans="5:8" x14ac:dyDescent="0.25">
      <c r="E540" s="2"/>
      <c r="H540" s="2"/>
    </row>
    <row r="541" spans="5:8" x14ac:dyDescent="0.25">
      <c r="E541" s="2"/>
      <c r="H541" s="2"/>
    </row>
    <row r="542" spans="5:8" x14ac:dyDescent="0.25">
      <c r="E542" s="2"/>
      <c r="H542" s="2"/>
    </row>
    <row r="543" spans="5:8" x14ac:dyDescent="0.25">
      <c r="E543" s="2"/>
      <c r="H543" s="2"/>
    </row>
    <row r="544" spans="5:8" x14ac:dyDescent="0.25">
      <c r="E544" s="2"/>
      <c r="H544" s="2"/>
    </row>
    <row r="545" spans="5:8" x14ac:dyDescent="0.25">
      <c r="E545" s="2"/>
      <c r="H545" s="2"/>
    </row>
    <row r="546" spans="5:8" x14ac:dyDescent="0.25">
      <c r="E546" s="2"/>
      <c r="H546" s="2"/>
    </row>
    <row r="547" spans="5:8" x14ac:dyDescent="0.25">
      <c r="E547" s="2"/>
      <c r="H547" s="2"/>
    </row>
    <row r="548" spans="5:8" x14ac:dyDescent="0.25">
      <c r="E548" s="2"/>
      <c r="H548" s="2"/>
    </row>
    <row r="549" spans="5:8" x14ac:dyDescent="0.25">
      <c r="E549" s="2"/>
      <c r="H549" s="2"/>
    </row>
    <row r="550" spans="5:8" x14ac:dyDescent="0.25">
      <c r="E550" s="2"/>
      <c r="H550" s="2"/>
    </row>
    <row r="551" spans="5:8" x14ac:dyDescent="0.25">
      <c r="E551" s="2"/>
      <c r="H551" s="2"/>
    </row>
    <row r="552" spans="5:8" x14ac:dyDescent="0.25">
      <c r="E552" s="2"/>
      <c r="H552" s="2"/>
    </row>
    <row r="553" spans="5:8" x14ac:dyDescent="0.25">
      <c r="E553" s="2"/>
      <c r="H553" s="2"/>
    </row>
    <row r="554" spans="5:8" x14ac:dyDescent="0.25">
      <c r="E554" s="2"/>
      <c r="H554" s="2"/>
    </row>
    <row r="555" spans="5:8" x14ac:dyDescent="0.25">
      <c r="E555" s="2"/>
      <c r="H555" s="2"/>
    </row>
    <row r="556" spans="5:8" x14ac:dyDescent="0.25">
      <c r="E556" s="2"/>
      <c r="H556" s="2"/>
    </row>
    <row r="557" spans="5:8" x14ac:dyDescent="0.25">
      <c r="E557" s="2"/>
      <c r="H557" s="2"/>
    </row>
    <row r="558" spans="5:8" x14ac:dyDescent="0.25">
      <c r="E558" s="2"/>
      <c r="H558" s="2"/>
    </row>
    <row r="559" spans="5:8" x14ac:dyDescent="0.25">
      <c r="E559" s="2"/>
      <c r="H559" s="2"/>
    </row>
    <row r="560" spans="5:8" x14ac:dyDescent="0.25">
      <c r="E560" s="2"/>
      <c r="H560" s="2"/>
    </row>
    <row r="561" spans="5:8" x14ac:dyDescent="0.25">
      <c r="E561" s="2"/>
      <c r="H561" s="2"/>
    </row>
    <row r="562" spans="5:8" x14ac:dyDescent="0.25">
      <c r="E562" s="2"/>
      <c r="H562" s="2"/>
    </row>
    <row r="563" spans="5:8" x14ac:dyDescent="0.25">
      <c r="E563" s="2"/>
      <c r="H563" s="2"/>
    </row>
    <row r="564" spans="5:8" x14ac:dyDescent="0.25">
      <c r="E564" s="2"/>
      <c r="H564" s="2"/>
    </row>
    <row r="565" spans="5:8" x14ac:dyDescent="0.25">
      <c r="E565" s="2"/>
      <c r="H565" s="2"/>
    </row>
    <row r="566" spans="5:8" x14ac:dyDescent="0.25">
      <c r="E566" s="2"/>
      <c r="H566" s="2"/>
    </row>
    <row r="567" spans="5:8" x14ac:dyDescent="0.25">
      <c r="E567" s="2"/>
      <c r="H567" s="2"/>
    </row>
    <row r="568" spans="5:8" x14ac:dyDescent="0.25">
      <c r="E568" s="2"/>
      <c r="H568" s="2"/>
    </row>
    <row r="569" spans="5:8" x14ac:dyDescent="0.25">
      <c r="E569" s="2"/>
      <c r="H569" s="2"/>
    </row>
    <row r="570" spans="5:8" x14ac:dyDescent="0.25">
      <c r="E570" s="2"/>
      <c r="H570" s="2"/>
    </row>
    <row r="571" spans="5:8" x14ac:dyDescent="0.25">
      <c r="E571" s="2"/>
      <c r="H571" s="2"/>
    </row>
    <row r="572" spans="5:8" x14ac:dyDescent="0.25">
      <c r="E572" s="2"/>
      <c r="H572" s="2"/>
    </row>
    <row r="573" spans="5:8" x14ac:dyDescent="0.25">
      <c r="E573" s="2"/>
      <c r="H573" s="2"/>
    </row>
    <row r="574" spans="5:8" x14ac:dyDescent="0.25">
      <c r="E574" s="2"/>
      <c r="H574" s="2"/>
    </row>
    <row r="575" spans="5:8" x14ac:dyDescent="0.25">
      <c r="E575" s="2"/>
      <c r="H575" s="2"/>
    </row>
    <row r="576" spans="5:8" x14ac:dyDescent="0.25">
      <c r="E576" s="2"/>
      <c r="H576" s="2"/>
    </row>
    <row r="577" spans="5:8" x14ac:dyDescent="0.25">
      <c r="E577" s="2"/>
      <c r="H577" s="2"/>
    </row>
    <row r="578" spans="5:8" x14ac:dyDescent="0.25">
      <c r="E578" s="2"/>
      <c r="H578" s="2"/>
    </row>
    <row r="579" spans="5:8" x14ac:dyDescent="0.25">
      <c r="E579" s="2"/>
      <c r="H579" s="2"/>
    </row>
    <row r="580" spans="5:8" x14ac:dyDescent="0.25">
      <c r="E580" s="2"/>
      <c r="H580" s="2"/>
    </row>
    <row r="581" spans="5:8" x14ac:dyDescent="0.25">
      <c r="E581" s="2"/>
      <c r="H581" s="2"/>
    </row>
    <row r="582" spans="5:8" x14ac:dyDescent="0.25">
      <c r="E582" s="2"/>
      <c r="H582" s="2"/>
    </row>
    <row r="583" spans="5:8" x14ac:dyDescent="0.25">
      <c r="E583" s="2"/>
      <c r="H583" s="2"/>
    </row>
    <row r="584" spans="5:8" x14ac:dyDescent="0.25">
      <c r="E584" s="2"/>
      <c r="H584" s="2"/>
    </row>
    <row r="585" spans="5:8" x14ac:dyDescent="0.25">
      <c r="E585" s="2"/>
      <c r="H585" s="2"/>
    </row>
    <row r="586" spans="5:8" x14ac:dyDescent="0.25">
      <c r="E586" s="2"/>
      <c r="H586" s="2"/>
    </row>
    <row r="587" spans="5:8" x14ac:dyDescent="0.25">
      <c r="E587" s="2"/>
      <c r="H587" s="2"/>
    </row>
    <row r="588" spans="5:8" x14ac:dyDescent="0.25">
      <c r="E588" s="2"/>
      <c r="H588" s="2"/>
    </row>
    <row r="589" spans="5:8" x14ac:dyDescent="0.25">
      <c r="E589" s="2"/>
      <c r="H589" s="2"/>
    </row>
    <row r="590" spans="5:8" x14ac:dyDescent="0.25">
      <c r="E590" s="2"/>
      <c r="H590" s="2"/>
    </row>
    <row r="591" spans="5:8" x14ac:dyDescent="0.25">
      <c r="E591" s="2"/>
      <c r="H591" s="2"/>
    </row>
    <row r="592" spans="5:8" x14ac:dyDescent="0.25">
      <c r="E592" s="2"/>
      <c r="H592" s="2"/>
    </row>
    <row r="593" spans="5:8" x14ac:dyDescent="0.25">
      <c r="E593" s="2"/>
      <c r="H593" s="2"/>
    </row>
    <row r="594" spans="5:8" x14ac:dyDescent="0.25">
      <c r="E594" s="2"/>
      <c r="H594" s="2"/>
    </row>
    <row r="595" spans="5:8" x14ac:dyDescent="0.25">
      <c r="E595" s="2"/>
      <c r="H595" s="2"/>
    </row>
    <row r="596" spans="5:8" x14ac:dyDescent="0.25">
      <c r="E596" s="2"/>
      <c r="H596" s="2"/>
    </row>
    <row r="597" spans="5:8" x14ac:dyDescent="0.25">
      <c r="E597" s="2"/>
      <c r="H597" s="2"/>
    </row>
    <row r="598" spans="5:8" x14ac:dyDescent="0.25">
      <c r="E598" s="2"/>
      <c r="H598" s="2"/>
    </row>
    <row r="599" spans="5:8" x14ac:dyDescent="0.25">
      <c r="E599" s="2"/>
      <c r="H599" s="2"/>
    </row>
    <row r="600" spans="5:8" x14ac:dyDescent="0.25">
      <c r="E600" s="2"/>
      <c r="H600" s="2"/>
    </row>
    <row r="601" spans="5:8" x14ac:dyDescent="0.25">
      <c r="E601" s="2"/>
      <c r="H601" s="2"/>
    </row>
    <row r="602" spans="5:8" x14ac:dyDescent="0.25">
      <c r="E602" s="2"/>
      <c r="H602" s="2"/>
    </row>
    <row r="603" spans="5:8" x14ac:dyDescent="0.25">
      <c r="E603" s="2"/>
      <c r="H603" s="2"/>
    </row>
    <row r="604" spans="5:8" x14ac:dyDescent="0.25">
      <c r="E604" s="2"/>
      <c r="H604" s="2"/>
    </row>
    <row r="605" spans="5:8" x14ac:dyDescent="0.25">
      <c r="E605" s="2"/>
      <c r="H605" s="2"/>
    </row>
    <row r="606" spans="5:8" x14ac:dyDescent="0.25">
      <c r="E606" s="2"/>
      <c r="H606" s="2"/>
    </row>
    <row r="607" spans="5:8" x14ac:dyDescent="0.25">
      <c r="E607" s="2"/>
      <c r="H607" s="2"/>
    </row>
    <row r="608" spans="5:8" x14ac:dyDescent="0.25">
      <c r="E608" s="2"/>
      <c r="H608" s="2"/>
    </row>
    <row r="609" spans="5:8" x14ac:dyDescent="0.25">
      <c r="E609" s="2"/>
      <c r="H609" s="2"/>
    </row>
    <row r="610" spans="5:8" x14ac:dyDescent="0.25">
      <c r="E610" s="2"/>
      <c r="H610" s="2"/>
    </row>
    <row r="611" spans="5:8" x14ac:dyDescent="0.25">
      <c r="E611" s="2"/>
      <c r="H611" s="2"/>
    </row>
    <row r="612" spans="5:8" x14ac:dyDescent="0.25">
      <c r="E612" s="2"/>
      <c r="H612" s="2"/>
    </row>
    <row r="613" spans="5:8" x14ac:dyDescent="0.25">
      <c r="E613" s="2"/>
      <c r="H613" s="2"/>
    </row>
    <row r="614" spans="5:8" x14ac:dyDescent="0.25">
      <c r="E614" s="2"/>
      <c r="H614" s="2"/>
    </row>
    <row r="615" spans="5:8" x14ac:dyDescent="0.25">
      <c r="E615" s="2"/>
      <c r="H615" s="2"/>
    </row>
    <row r="616" spans="5:8" x14ac:dyDescent="0.25">
      <c r="E616" s="2"/>
      <c r="H616" s="2"/>
    </row>
    <row r="617" spans="5:8" x14ac:dyDescent="0.25">
      <c r="E617" s="2"/>
      <c r="H617" s="2"/>
    </row>
    <row r="618" spans="5:8" x14ac:dyDescent="0.25">
      <c r="E618" s="2"/>
      <c r="H618" s="2"/>
    </row>
    <row r="619" spans="5:8" x14ac:dyDescent="0.25">
      <c r="E619" s="2"/>
      <c r="H619" s="2"/>
    </row>
    <row r="620" spans="5:8" x14ac:dyDescent="0.25">
      <c r="E620" s="2"/>
      <c r="H620" s="2"/>
    </row>
    <row r="621" spans="5:8" x14ac:dyDescent="0.25">
      <c r="E621" s="2"/>
      <c r="H621" s="2"/>
    </row>
    <row r="622" spans="5:8" x14ac:dyDescent="0.25">
      <c r="E622" s="2"/>
      <c r="H622" s="2"/>
    </row>
    <row r="623" spans="5:8" x14ac:dyDescent="0.25">
      <c r="E623" s="2"/>
      <c r="H623" s="2"/>
    </row>
    <row r="624" spans="5:8" x14ac:dyDescent="0.25">
      <c r="E624" s="2"/>
      <c r="H624" s="2"/>
    </row>
    <row r="625" spans="5:8" x14ac:dyDescent="0.25">
      <c r="E625" s="2"/>
      <c r="H625" s="2"/>
    </row>
    <row r="626" spans="5:8" x14ac:dyDescent="0.25">
      <c r="E626" s="2"/>
      <c r="H626" s="2"/>
    </row>
    <row r="627" spans="5:8" x14ac:dyDescent="0.25">
      <c r="E627" s="2"/>
      <c r="H627" s="2"/>
    </row>
    <row r="628" spans="5:8" x14ac:dyDescent="0.25">
      <c r="E628" s="2"/>
      <c r="H628" s="2"/>
    </row>
    <row r="629" spans="5:8" x14ac:dyDescent="0.25">
      <c r="E629" s="2"/>
      <c r="H629" s="2"/>
    </row>
    <row r="630" spans="5:8" x14ac:dyDescent="0.25">
      <c r="E630" s="2"/>
      <c r="H630" s="2"/>
    </row>
    <row r="631" spans="5:8" x14ac:dyDescent="0.25">
      <c r="E631" s="2"/>
      <c r="H631" s="2"/>
    </row>
    <row r="632" spans="5:8" x14ac:dyDescent="0.25">
      <c r="E632" s="2"/>
      <c r="H632" s="2"/>
    </row>
    <row r="633" spans="5:8" x14ac:dyDescent="0.25">
      <c r="E633" s="2"/>
      <c r="H633" s="2"/>
    </row>
    <row r="634" spans="5:8" x14ac:dyDescent="0.25">
      <c r="E634" s="2"/>
      <c r="H634" s="2"/>
    </row>
    <row r="635" spans="5:8" x14ac:dyDescent="0.25">
      <c r="E635" s="2"/>
      <c r="H635" s="2"/>
    </row>
    <row r="636" spans="5:8" x14ac:dyDescent="0.25">
      <c r="E636" s="2"/>
      <c r="H636" s="2"/>
    </row>
    <row r="637" spans="5:8" x14ac:dyDescent="0.25">
      <c r="E637" s="2"/>
      <c r="H637" s="2"/>
    </row>
    <row r="638" spans="5:8" x14ac:dyDescent="0.25">
      <c r="E638" s="2"/>
      <c r="H638" s="2"/>
    </row>
    <row r="639" spans="5:8" x14ac:dyDescent="0.25">
      <c r="E639" s="2"/>
      <c r="H639" s="2"/>
    </row>
    <row r="640" spans="5:8" x14ac:dyDescent="0.25">
      <c r="E640" s="2"/>
      <c r="H640" s="2"/>
    </row>
    <row r="641" spans="5:8" x14ac:dyDescent="0.25">
      <c r="E641" s="2"/>
      <c r="H641" s="2"/>
    </row>
    <row r="642" spans="5:8" x14ac:dyDescent="0.25">
      <c r="E642" s="2"/>
      <c r="H642" s="2"/>
    </row>
    <row r="643" spans="5:8" x14ac:dyDescent="0.25">
      <c r="E643" s="2"/>
      <c r="H643" s="2"/>
    </row>
    <row r="644" spans="5:8" x14ac:dyDescent="0.25">
      <c r="E644" s="2"/>
      <c r="H644" s="2"/>
    </row>
    <row r="645" spans="5:8" x14ac:dyDescent="0.25">
      <c r="E645" s="2"/>
      <c r="H645" s="2"/>
    </row>
    <row r="646" spans="5:8" x14ac:dyDescent="0.25">
      <c r="E646" s="2"/>
      <c r="H646" s="2"/>
    </row>
    <row r="647" spans="5:8" x14ac:dyDescent="0.25">
      <c r="E647" s="2"/>
      <c r="H647" s="2"/>
    </row>
    <row r="648" spans="5:8" x14ac:dyDescent="0.25">
      <c r="E648" s="2"/>
      <c r="H648" s="2"/>
    </row>
    <row r="649" spans="5:8" x14ac:dyDescent="0.25">
      <c r="E649" s="2"/>
      <c r="H649" s="2"/>
    </row>
    <row r="650" spans="5:8" x14ac:dyDescent="0.25">
      <c r="E650" s="2"/>
      <c r="H650" s="2"/>
    </row>
    <row r="651" spans="5:8" x14ac:dyDescent="0.25">
      <c r="E651" s="2"/>
      <c r="H651" s="2"/>
    </row>
    <row r="652" spans="5:8" x14ac:dyDescent="0.25">
      <c r="E652" s="2"/>
      <c r="H652" s="2"/>
    </row>
    <row r="653" spans="5:8" x14ac:dyDescent="0.25">
      <c r="E653" s="2"/>
      <c r="H653" s="2"/>
    </row>
    <row r="654" spans="5:8" x14ac:dyDescent="0.25">
      <c r="E654" s="2"/>
      <c r="H654" s="2"/>
    </row>
    <row r="655" spans="5:8" x14ac:dyDescent="0.25">
      <c r="E655" s="2"/>
      <c r="H655" s="2"/>
    </row>
    <row r="656" spans="5:8" x14ac:dyDescent="0.25">
      <c r="E656" s="2"/>
      <c r="H656" s="2"/>
    </row>
    <row r="657" spans="5:8" x14ac:dyDescent="0.25">
      <c r="E657" s="2"/>
      <c r="H657" s="2"/>
    </row>
    <row r="658" spans="5:8" x14ac:dyDescent="0.25">
      <c r="E658" s="2"/>
      <c r="H658" s="2"/>
    </row>
    <row r="659" spans="5:8" x14ac:dyDescent="0.25">
      <c r="E659" s="2"/>
      <c r="H659" s="2"/>
    </row>
    <row r="660" spans="5:8" x14ac:dyDescent="0.25">
      <c r="E660" s="2"/>
      <c r="H660" s="2"/>
    </row>
    <row r="661" spans="5:8" x14ac:dyDescent="0.25">
      <c r="E661" s="2"/>
      <c r="H661" s="2"/>
    </row>
    <row r="662" spans="5:8" x14ac:dyDescent="0.25">
      <c r="E662" s="2"/>
      <c r="H662" s="2"/>
    </row>
    <row r="663" spans="5:8" x14ac:dyDescent="0.25">
      <c r="E663" s="2"/>
      <c r="H663" s="2"/>
    </row>
    <row r="664" spans="5:8" x14ac:dyDescent="0.25">
      <c r="E664" s="2"/>
      <c r="H664" s="2"/>
    </row>
    <row r="665" spans="5:8" x14ac:dyDescent="0.25">
      <c r="E665" s="2"/>
      <c r="H665" s="2"/>
    </row>
    <row r="666" spans="5:8" x14ac:dyDescent="0.25">
      <c r="E666" s="2"/>
      <c r="H666" s="2"/>
    </row>
    <row r="667" spans="5:8" x14ac:dyDescent="0.25">
      <c r="E667" s="2"/>
      <c r="H667" s="2"/>
    </row>
    <row r="668" spans="5:8" x14ac:dyDescent="0.25">
      <c r="E668" s="2"/>
      <c r="H668" s="2"/>
    </row>
    <row r="669" spans="5:8" x14ac:dyDescent="0.25">
      <c r="E669" s="2"/>
      <c r="H669" s="2"/>
    </row>
    <row r="670" spans="5:8" x14ac:dyDescent="0.25">
      <c r="E670" s="2"/>
      <c r="H670" s="2"/>
    </row>
    <row r="671" spans="5:8" x14ac:dyDescent="0.25">
      <c r="E671" s="2"/>
      <c r="H671" s="2"/>
    </row>
    <row r="672" spans="5:8" x14ac:dyDescent="0.25">
      <c r="E672" s="2"/>
      <c r="H672" s="2"/>
    </row>
    <row r="673" spans="5:8" x14ac:dyDescent="0.25">
      <c r="E673" s="2"/>
      <c r="H673" s="2"/>
    </row>
    <row r="674" spans="5:8" x14ac:dyDescent="0.25">
      <c r="E674" s="2"/>
      <c r="H674" s="2"/>
    </row>
    <row r="675" spans="5:8" x14ac:dyDescent="0.25">
      <c r="E675" s="2"/>
      <c r="H675" s="2"/>
    </row>
    <row r="676" spans="5:8" x14ac:dyDescent="0.25">
      <c r="E676" s="2"/>
      <c r="H676" s="2"/>
    </row>
    <row r="677" spans="5:8" x14ac:dyDescent="0.25">
      <c r="E677" s="2"/>
      <c r="H677" s="2"/>
    </row>
    <row r="678" spans="5:8" x14ac:dyDescent="0.25">
      <c r="E678" s="2"/>
      <c r="H678" s="2"/>
    </row>
    <row r="679" spans="5:8" x14ac:dyDescent="0.25">
      <c r="E679" s="2"/>
      <c r="H679" s="2"/>
    </row>
    <row r="680" spans="5:8" x14ac:dyDescent="0.25">
      <c r="E680" s="2"/>
      <c r="H680" s="2"/>
    </row>
    <row r="681" spans="5:8" x14ac:dyDescent="0.25">
      <c r="E681" s="2"/>
      <c r="H681" s="2"/>
    </row>
    <row r="682" spans="5:8" x14ac:dyDescent="0.25">
      <c r="E682" s="2"/>
      <c r="H682" s="2"/>
    </row>
    <row r="683" spans="5:8" x14ac:dyDescent="0.25">
      <c r="E683" s="2"/>
      <c r="H683" s="2"/>
    </row>
    <row r="684" spans="5:8" x14ac:dyDescent="0.25">
      <c r="E684" s="2"/>
      <c r="H684" s="2"/>
    </row>
    <row r="685" spans="5:8" x14ac:dyDescent="0.25">
      <c r="E685" s="2"/>
      <c r="H685" s="2"/>
    </row>
    <row r="686" spans="5:8" x14ac:dyDescent="0.25">
      <c r="E686" s="2"/>
      <c r="H686" s="2"/>
    </row>
    <row r="687" spans="5:8" x14ac:dyDescent="0.25">
      <c r="E687" s="2"/>
      <c r="H687" s="2"/>
    </row>
    <row r="688" spans="5:8" x14ac:dyDescent="0.25">
      <c r="E688" s="2"/>
      <c r="H688" s="2"/>
    </row>
    <row r="689" spans="5:8" x14ac:dyDescent="0.25">
      <c r="E689" s="2"/>
      <c r="H689" s="2"/>
    </row>
    <row r="690" spans="5:8" x14ac:dyDescent="0.25">
      <c r="E690" s="2"/>
      <c r="H690" s="2"/>
    </row>
    <row r="691" spans="5:8" x14ac:dyDescent="0.25">
      <c r="E691" s="2"/>
      <c r="H691" s="2"/>
    </row>
    <row r="692" spans="5:8" x14ac:dyDescent="0.25">
      <c r="E692" s="2"/>
      <c r="H692" s="2"/>
    </row>
    <row r="693" spans="5:8" x14ac:dyDescent="0.25">
      <c r="E693" s="2"/>
      <c r="H693" s="2"/>
    </row>
    <row r="694" spans="5:8" x14ac:dyDescent="0.25">
      <c r="E694" s="2"/>
      <c r="H694" s="2"/>
    </row>
    <row r="695" spans="5:8" x14ac:dyDescent="0.25">
      <c r="E695" s="2"/>
      <c r="H695" s="2"/>
    </row>
    <row r="696" spans="5:8" x14ac:dyDescent="0.25">
      <c r="E696" s="2"/>
      <c r="H696" s="2"/>
    </row>
    <row r="697" spans="5:8" x14ac:dyDescent="0.25">
      <c r="E697" s="2"/>
      <c r="H697" s="2"/>
    </row>
    <row r="698" spans="5:8" x14ac:dyDescent="0.25">
      <c r="E698" s="2"/>
      <c r="H698" s="2"/>
    </row>
    <row r="699" spans="5:8" x14ac:dyDescent="0.25">
      <c r="E699" s="2"/>
      <c r="H699" s="2"/>
    </row>
    <row r="700" spans="5:8" x14ac:dyDescent="0.25">
      <c r="E700" s="2"/>
      <c r="H700" s="2"/>
    </row>
    <row r="701" spans="5:8" x14ac:dyDescent="0.25">
      <c r="E701" s="2"/>
      <c r="H701" s="2"/>
    </row>
    <row r="702" spans="5:8" x14ac:dyDescent="0.25">
      <c r="E702" s="2"/>
      <c r="H702" s="2"/>
    </row>
    <row r="703" spans="5:8" x14ac:dyDescent="0.25">
      <c r="E703" s="2"/>
      <c r="H703" s="2"/>
    </row>
    <row r="704" spans="5:8" x14ac:dyDescent="0.25">
      <c r="E704" s="2"/>
      <c r="H704" s="2"/>
    </row>
    <row r="705" spans="5:8" x14ac:dyDescent="0.25">
      <c r="E705" s="2"/>
      <c r="H705" s="2"/>
    </row>
    <row r="706" spans="5:8" x14ac:dyDescent="0.25">
      <c r="E706" s="2"/>
      <c r="H706" s="2"/>
    </row>
    <row r="707" spans="5:8" x14ac:dyDescent="0.25">
      <c r="E707" s="2"/>
      <c r="H707" s="2"/>
    </row>
    <row r="708" spans="5:8" x14ac:dyDescent="0.25">
      <c r="E708" s="2"/>
      <c r="H708" s="2"/>
    </row>
    <row r="709" spans="5:8" x14ac:dyDescent="0.25">
      <c r="E709" s="2"/>
      <c r="H709" s="2"/>
    </row>
    <row r="710" spans="5:8" x14ac:dyDescent="0.25">
      <c r="E710" s="2"/>
      <c r="H710" s="2"/>
    </row>
    <row r="711" spans="5:8" x14ac:dyDescent="0.25">
      <c r="E711" s="2"/>
      <c r="H711" s="2"/>
    </row>
    <row r="712" spans="5:8" x14ac:dyDescent="0.25">
      <c r="E712" s="2"/>
      <c r="H712" s="2"/>
    </row>
    <row r="713" spans="5:8" x14ac:dyDescent="0.25">
      <c r="E713" s="2"/>
      <c r="H713" s="2"/>
    </row>
    <row r="714" spans="5:8" x14ac:dyDescent="0.25">
      <c r="E714" s="2"/>
      <c r="H714" s="2"/>
    </row>
    <row r="715" spans="5:8" x14ac:dyDescent="0.25">
      <c r="E715" s="2"/>
      <c r="H715" s="2"/>
    </row>
    <row r="716" spans="5:8" x14ac:dyDescent="0.25">
      <c r="E716" s="2"/>
      <c r="H716" s="2"/>
    </row>
    <row r="717" spans="5:8" x14ac:dyDescent="0.25">
      <c r="E717" s="2"/>
      <c r="H717" s="2"/>
    </row>
    <row r="718" spans="5:8" x14ac:dyDescent="0.25">
      <c r="E718" s="2"/>
      <c r="H718" s="2"/>
    </row>
    <row r="719" spans="5:8" x14ac:dyDescent="0.25">
      <c r="E719" s="2"/>
      <c r="H719" s="2"/>
    </row>
    <row r="720" spans="5:8" x14ac:dyDescent="0.25">
      <c r="E720" s="2"/>
      <c r="H720" s="2"/>
    </row>
    <row r="721" spans="5:8" x14ac:dyDescent="0.25">
      <c r="E721" s="2"/>
      <c r="H721" s="2"/>
    </row>
    <row r="722" spans="5:8" x14ac:dyDescent="0.25">
      <c r="E722" s="2"/>
      <c r="H722" s="2"/>
    </row>
    <row r="723" spans="5:8" x14ac:dyDescent="0.25">
      <c r="E723" s="2"/>
      <c r="H723" s="2"/>
    </row>
    <row r="724" spans="5:8" x14ac:dyDescent="0.25">
      <c r="E724" s="2"/>
      <c r="H724" s="2"/>
    </row>
    <row r="725" spans="5:8" x14ac:dyDescent="0.25">
      <c r="E725" s="2"/>
      <c r="H725" s="2"/>
    </row>
    <row r="726" spans="5:8" x14ac:dyDescent="0.25">
      <c r="E726" s="2"/>
      <c r="H726" s="2"/>
    </row>
    <row r="727" spans="5:8" x14ac:dyDescent="0.25">
      <c r="E727" s="2"/>
      <c r="H727" s="2"/>
    </row>
    <row r="728" spans="5:8" x14ac:dyDescent="0.25">
      <c r="E728" s="2"/>
      <c r="H728" s="2"/>
    </row>
    <row r="729" spans="5:8" x14ac:dyDescent="0.25">
      <c r="E729" s="2"/>
      <c r="H729" s="2"/>
    </row>
    <row r="730" spans="5:8" x14ac:dyDescent="0.25">
      <c r="E730" s="2"/>
      <c r="H730" s="2"/>
    </row>
    <row r="731" spans="5:8" x14ac:dyDescent="0.25">
      <c r="E731" s="2"/>
      <c r="H731" s="2"/>
    </row>
    <row r="732" spans="5:8" x14ac:dyDescent="0.25">
      <c r="E732" s="2"/>
      <c r="H732" s="2"/>
    </row>
    <row r="733" spans="5:8" x14ac:dyDescent="0.25">
      <c r="E733" s="2"/>
      <c r="H733" s="2"/>
    </row>
    <row r="734" spans="5:8" x14ac:dyDescent="0.25">
      <c r="E734" s="2"/>
      <c r="H734" s="2"/>
    </row>
    <row r="735" spans="5:8" x14ac:dyDescent="0.25">
      <c r="E735" s="2"/>
      <c r="H735" s="2"/>
    </row>
    <row r="736" spans="5:8" x14ac:dyDescent="0.25">
      <c r="E736" s="2"/>
      <c r="H736" s="2"/>
    </row>
    <row r="737" spans="5:8" x14ac:dyDescent="0.25">
      <c r="E737" s="2"/>
      <c r="H737" s="2"/>
    </row>
    <row r="738" spans="5:8" x14ac:dyDescent="0.25">
      <c r="E738" s="2"/>
      <c r="H738" s="2"/>
    </row>
    <row r="739" spans="5:8" x14ac:dyDescent="0.25">
      <c r="E739" s="2"/>
      <c r="H739" s="2"/>
    </row>
    <row r="740" spans="5:8" x14ac:dyDescent="0.25">
      <c r="E740" s="2"/>
      <c r="H740" s="2"/>
    </row>
    <row r="741" spans="5:8" x14ac:dyDescent="0.25">
      <c r="E741" s="2"/>
      <c r="H741" s="2"/>
    </row>
    <row r="742" spans="5:8" x14ac:dyDescent="0.25">
      <c r="E742" s="2"/>
      <c r="H742" s="2"/>
    </row>
    <row r="743" spans="5:8" x14ac:dyDescent="0.25">
      <c r="E743" s="2"/>
      <c r="H743" s="2"/>
    </row>
    <row r="744" spans="5:8" x14ac:dyDescent="0.25">
      <c r="E744" s="2"/>
      <c r="H744" s="2"/>
    </row>
    <row r="745" spans="5:8" x14ac:dyDescent="0.25">
      <c r="E745" s="2"/>
      <c r="H745" s="2"/>
    </row>
    <row r="746" spans="5:8" x14ac:dyDescent="0.25">
      <c r="E746" s="2"/>
      <c r="H746" s="2"/>
    </row>
    <row r="747" spans="5:8" x14ac:dyDescent="0.25">
      <c r="E747" s="2"/>
      <c r="H747" s="2"/>
    </row>
    <row r="748" spans="5:8" x14ac:dyDescent="0.25">
      <c r="E748" s="2"/>
      <c r="H748" s="2"/>
    </row>
    <row r="749" spans="5:8" x14ac:dyDescent="0.25">
      <c r="E749" s="2"/>
      <c r="H749" s="2"/>
    </row>
    <row r="750" spans="5:8" x14ac:dyDescent="0.25">
      <c r="E750" s="2"/>
      <c r="H750" s="2"/>
    </row>
    <row r="751" spans="5:8" x14ac:dyDescent="0.25">
      <c r="E751" s="2"/>
      <c r="H751" s="2"/>
    </row>
    <row r="752" spans="5:8" x14ac:dyDescent="0.25">
      <c r="E752" s="2"/>
      <c r="H752" s="2"/>
    </row>
    <row r="753" spans="5:8" x14ac:dyDescent="0.25">
      <c r="E753" s="2"/>
      <c r="H753" s="2"/>
    </row>
    <row r="754" spans="5:8" x14ac:dyDescent="0.25">
      <c r="E754" s="2"/>
      <c r="H754" s="2"/>
    </row>
    <row r="755" spans="5:8" x14ac:dyDescent="0.25">
      <c r="E755" s="2"/>
      <c r="H755" s="2"/>
    </row>
    <row r="756" spans="5:8" x14ac:dyDescent="0.25">
      <c r="E756" s="2"/>
      <c r="H756" s="2"/>
    </row>
    <row r="757" spans="5:8" x14ac:dyDescent="0.25">
      <c r="E757" s="2"/>
      <c r="H757" s="2"/>
    </row>
    <row r="758" spans="5:8" x14ac:dyDescent="0.25">
      <c r="E758" s="2"/>
      <c r="H758" s="2"/>
    </row>
    <row r="759" spans="5:8" x14ac:dyDescent="0.25">
      <c r="E759" s="2"/>
      <c r="H759" s="2"/>
    </row>
    <row r="760" spans="5:8" x14ac:dyDescent="0.25">
      <c r="E760" s="2"/>
      <c r="H760" s="2"/>
    </row>
    <row r="761" spans="5:8" x14ac:dyDescent="0.25">
      <c r="E761" s="2"/>
      <c r="H761" s="2"/>
    </row>
    <row r="762" spans="5:8" x14ac:dyDescent="0.25">
      <c r="E762" s="2"/>
      <c r="H762" s="2"/>
    </row>
    <row r="763" spans="5:8" x14ac:dyDescent="0.25">
      <c r="E763" s="2"/>
      <c r="H763" s="2"/>
    </row>
    <row r="764" spans="5:8" x14ac:dyDescent="0.25">
      <c r="E764" s="2"/>
      <c r="H764" s="2"/>
    </row>
    <row r="765" spans="5:8" x14ac:dyDescent="0.25">
      <c r="E765" s="2"/>
      <c r="H765" s="2"/>
    </row>
    <row r="766" spans="5:8" x14ac:dyDescent="0.25">
      <c r="E766" s="2"/>
      <c r="H766" s="2"/>
    </row>
    <row r="767" spans="5:8" x14ac:dyDescent="0.25">
      <c r="E767" s="2"/>
      <c r="H767" s="2"/>
    </row>
    <row r="768" spans="5:8" x14ac:dyDescent="0.25">
      <c r="E768" s="2"/>
      <c r="H768" s="2"/>
    </row>
    <row r="769" spans="5:8" x14ac:dyDescent="0.25">
      <c r="E769" s="2"/>
      <c r="H769" s="2"/>
    </row>
    <row r="770" spans="5:8" x14ac:dyDescent="0.25">
      <c r="E770" s="2"/>
      <c r="H770" s="2"/>
    </row>
    <row r="771" spans="5:8" x14ac:dyDescent="0.25">
      <c r="E771" s="2"/>
      <c r="H771" s="2"/>
    </row>
    <row r="772" spans="5:8" x14ac:dyDescent="0.25">
      <c r="E772" s="2"/>
      <c r="H772" s="2"/>
    </row>
    <row r="773" spans="5:8" x14ac:dyDescent="0.25">
      <c r="E773" s="2"/>
      <c r="H773" s="2"/>
    </row>
    <row r="774" spans="5:8" x14ac:dyDescent="0.25">
      <c r="E774" s="2"/>
      <c r="H774" s="2"/>
    </row>
    <row r="775" spans="5:8" x14ac:dyDescent="0.25">
      <c r="E775" s="2"/>
      <c r="H775" s="2"/>
    </row>
    <row r="776" spans="5:8" x14ac:dyDescent="0.25">
      <c r="E776" s="2"/>
      <c r="H776" s="2"/>
    </row>
    <row r="777" spans="5:8" x14ac:dyDescent="0.25">
      <c r="E777" s="2"/>
      <c r="H777" s="2"/>
    </row>
    <row r="778" spans="5:8" x14ac:dyDescent="0.25">
      <c r="E778" s="2"/>
      <c r="H778" s="2"/>
    </row>
    <row r="779" spans="5:8" x14ac:dyDescent="0.25">
      <c r="E779" s="2"/>
      <c r="H779" s="2"/>
    </row>
    <row r="780" spans="5:8" x14ac:dyDescent="0.25">
      <c r="E780" s="2"/>
      <c r="H780" s="2"/>
    </row>
    <row r="781" spans="5:8" x14ac:dyDescent="0.25">
      <c r="E781" s="2"/>
      <c r="H781" s="2"/>
    </row>
    <row r="782" spans="5:8" x14ac:dyDescent="0.25">
      <c r="E782" s="2"/>
      <c r="H782" s="2"/>
    </row>
    <row r="783" spans="5:8" x14ac:dyDescent="0.25">
      <c r="E783" s="2"/>
      <c r="H783" s="2"/>
    </row>
    <row r="784" spans="5:8" x14ac:dyDescent="0.25">
      <c r="E784" s="2"/>
      <c r="H784" s="2"/>
    </row>
    <row r="785" spans="5:8" x14ac:dyDescent="0.25">
      <c r="E785" s="2"/>
      <c r="H785" s="2"/>
    </row>
    <row r="786" spans="5:8" x14ac:dyDescent="0.25">
      <c r="E786" s="2"/>
      <c r="H786" s="2"/>
    </row>
    <row r="787" spans="5:8" x14ac:dyDescent="0.25">
      <c r="E787" s="2"/>
      <c r="H787" s="2"/>
    </row>
    <row r="788" spans="5:8" x14ac:dyDescent="0.25">
      <c r="E788" s="2"/>
      <c r="H788" s="2"/>
    </row>
    <row r="789" spans="5:8" x14ac:dyDescent="0.25">
      <c r="E789" s="2"/>
      <c r="H789" s="2"/>
    </row>
    <row r="790" spans="5:8" x14ac:dyDescent="0.25">
      <c r="E790" s="2"/>
      <c r="H790" s="2"/>
    </row>
    <row r="791" spans="5:8" x14ac:dyDescent="0.25">
      <c r="E791" s="2"/>
      <c r="H791" s="2"/>
    </row>
    <row r="792" spans="5:8" x14ac:dyDescent="0.25">
      <c r="E792" s="2"/>
      <c r="H792" s="2"/>
    </row>
    <row r="793" spans="5:8" x14ac:dyDescent="0.25">
      <c r="E793" s="2"/>
      <c r="H793" s="2"/>
    </row>
    <row r="794" spans="5:8" x14ac:dyDescent="0.25">
      <c r="E794" s="2"/>
      <c r="H794" s="2"/>
    </row>
    <row r="795" spans="5:8" x14ac:dyDescent="0.25">
      <c r="E795" s="2"/>
      <c r="H795" s="2"/>
    </row>
    <row r="796" spans="5:8" x14ac:dyDescent="0.25">
      <c r="E796" s="2"/>
      <c r="H796" s="2"/>
    </row>
    <row r="797" spans="5:8" x14ac:dyDescent="0.25">
      <c r="E797" s="2"/>
      <c r="H797" s="2"/>
    </row>
    <row r="798" spans="5:8" x14ac:dyDescent="0.25">
      <c r="E798" s="2"/>
      <c r="H798" s="2"/>
    </row>
    <row r="799" spans="5:8" x14ac:dyDescent="0.25">
      <c r="E799" s="2"/>
      <c r="H799" s="2"/>
    </row>
    <row r="800" spans="5:8" x14ac:dyDescent="0.25">
      <c r="E800" s="2"/>
      <c r="H800" s="2"/>
    </row>
    <row r="801" spans="5:8" x14ac:dyDescent="0.25">
      <c r="E801" s="2"/>
      <c r="H801" s="2"/>
    </row>
    <row r="802" spans="5:8" x14ac:dyDescent="0.25">
      <c r="E802" s="2"/>
      <c r="H802" s="2"/>
    </row>
    <row r="803" spans="5:8" x14ac:dyDescent="0.25">
      <c r="E803" s="2"/>
      <c r="H803" s="2"/>
    </row>
    <row r="804" spans="5:8" x14ac:dyDescent="0.25">
      <c r="E804" s="2"/>
      <c r="H804" s="2"/>
    </row>
    <row r="805" spans="5:8" x14ac:dyDescent="0.25">
      <c r="E805" s="2"/>
      <c r="H805" s="2"/>
    </row>
    <row r="806" spans="5:8" x14ac:dyDescent="0.25">
      <c r="E806" s="2"/>
      <c r="H806" s="2"/>
    </row>
    <row r="807" spans="5:8" x14ac:dyDescent="0.25">
      <c r="E807" s="2"/>
      <c r="H807" s="2"/>
    </row>
    <row r="808" spans="5:8" x14ac:dyDescent="0.25">
      <c r="E808" s="2"/>
      <c r="H808" s="2"/>
    </row>
    <row r="809" spans="5:8" x14ac:dyDescent="0.25">
      <c r="E809" s="2"/>
      <c r="H809" s="2"/>
    </row>
    <row r="810" spans="5:8" x14ac:dyDescent="0.25">
      <c r="E810" s="2"/>
      <c r="H810" s="2"/>
    </row>
    <row r="811" spans="5:8" x14ac:dyDescent="0.25">
      <c r="E811" s="2"/>
      <c r="H811" s="2"/>
    </row>
    <row r="812" spans="5:8" x14ac:dyDescent="0.25">
      <c r="E812" s="2"/>
      <c r="H812" s="2"/>
    </row>
    <row r="813" spans="5:8" x14ac:dyDescent="0.25">
      <c r="E813" s="2"/>
      <c r="H813" s="2"/>
    </row>
    <row r="814" spans="5:8" x14ac:dyDescent="0.25">
      <c r="E814" s="2"/>
      <c r="H814" s="2"/>
    </row>
    <row r="815" spans="5:8" x14ac:dyDescent="0.25">
      <c r="E815" s="2"/>
      <c r="H815" s="2"/>
    </row>
    <row r="816" spans="5:8" x14ac:dyDescent="0.25">
      <c r="E816" s="2"/>
      <c r="H816" s="2"/>
    </row>
    <row r="817" spans="5:8" x14ac:dyDescent="0.25">
      <c r="E817" s="2"/>
      <c r="H817" s="2"/>
    </row>
    <row r="818" spans="5:8" x14ac:dyDescent="0.25">
      <c r="E818" s="2"/>
      <c r="H818" s="2"/>
    </row>
    <row r="819" spans="5:8" x14ac:dyDescent="0.25">
      <c r="E819" s="2"/>
      <c r="H819" s="2"/>
    </row>
    <row r="820" spans="5:8" x14ac:dyDescent="0.25">
      <c r="E820" s="2"/>
      <c r="H820" s="2"/>
    </row>
    <row r="821" spans="5:8" x14ac:dyDescent="0.25">
      <c r="E821" s="2"/>
      <c r="H821" s="2"/>
    </row>
    <row r="822" spans="5:8" x14ac:dyDescent="0.25">
      <c r="E822" s="2"/>
      <c r="H822" s="2"/>
    </row>
    <row r="823" spans="5:8" x14ac:dyDescent="0.25">
      <c r="E823" s="2"/>
      <c r="H823" s="2"/>
    </row>
    <row r="824" spans="5:8" x14ac:dyDescent="0.25">
      <c r="E824" s="2"/>
      <c r="H824" s="2"/>
    </row>
    <row r="825" spans="5:8" x14ac:dyDescent="0.25">
      <c r="E825" s="2"/>
      <c r="H825" s="2"/>
    </row>
    <row r="826" spans="5:8" x14ac:dyDescent="0.25">
      <c r="E826" s="2"/>
      <c r="H826" s="2"/>
    </row>
    <row r="827" spans="5:8" x14ac:dyDescent="0.25">
      <c r="E827" s="2"/>
      <c r="H827" s="2"/>
    </row>
    <row r="828" spans="5:8" x14ac:dyDescent="0.25">
      <c r="E828" s="2"/>
      <c r="H828" s="2"/>
    </row>
    <row r="829" spans="5:8" x14ac:dyDescent="0.25">
      <c r="E829" s="2"/>
      <c r="H829" s="2"/>
    </row>
    <row r="830" spans="5:8" x14ac:dyDescent="0.25">
      <c r="E830" s="2"/>
      <c r="H830" s="2"/>
    </row>
    <row r="831" spans="5:8" x14ac:dyDescent="0.25">
      <c r="E831" s="2"/>
      <c r="H831" s="2"/>
    </row>
    <row r="832" spans="5:8" x14ac:dyDescent="0.25">
      <c r="E832" s="2"/>
      <c r="H832" s="2"/>
    </row>
    <row r="833" spans="5:8" x14ac:dyDescent="0.25">
      <c r="E833" s="2"/>
      <c r="H833" s="2"/>
    </row>
    <row r="834" spans="5:8" x14ac:dyDescent="0.25">
      <c r="E834" s="2"/>
      <c r="H834" s="2"/>
    </row>
    <row r="835" spans="5:8" x14ac:dyDescent="0.25">
      <c r="E835" s="2"/>
      <c r="H835" s="2"/>
    </row>
    <row r="836" spans="5:8" x14ac:dyDescent="0.25">
      <c r="E836" s="2"/>
      <c r="H836" s="2"/>
    </row>
    <row r="837" spans="5:8" x14ac:dyDescent="0.25">
      <c r="E837" s="2"/>
      <c r="H837" s="2"/>
    </row>
    <row r="838" spans="5:8" x14ac:dyDescent="0.25">
      <c r="E838" s="2"/>
      <c r="H838" s="2"/>
    </row>
    <row r="839" spans="5:8" x14ac:dyDescent="0.25">
      <c r="E839" s="2"/>
      <c r="H839" s="2"/>
    </row>
    <row r="840" spans="5:8" x14ac:dyDescent="0.25">
      <c r="E840" s="2"/>
      <c r="H840" s="2"/>
    </row>
    <row r="841" spans="5:8" x14ac:dyDescent="0.25">
      <c r="E841" s="2"/>
      <c r="H841" s="2"/>
    </row>
    <row r="842" spans="5:8" x14ac:dyDescent="0.25">
      <c r="E842" s="2"/>
      <c r="H842" s="2"/>
    </row>
    <row r="843" spans="5:8" x14ac:dyDescent="0.25">
      <c r="E843" s="2"/>
      <c r="H843" s="2"/>
    </row>
    <row r="844" spans="5:8" x14ac:dyDescent="0.25">
      <c r="E844" s="2"/>
      <c r="H844" s="2"/>
    </row>
    <row r="845" spans="5:8" x14ac:dyDescent="0.25">
      <c r="E845" s="2"/>
      <c r="H845" s="2"/>
    </row>
    <row r="846" spans="5:8" x14ac:dyDescent="0.25">
      <c r="E846" s="2"/>
      <c r="H846" s="2"/>
    </row>
    <row r="847" spans="5:8" x14ac:dyDescent="0.25">
      <c r="E847" s="2"/>
      <c r="H847" s="2"/>
    </row>
    <row r="848" spans="5:8" x14ac:dyDescent="0.25">
      <c r="E848" s="2"/>
      <c r="H848" s="2"/>
    </row>
    <row r="849" spans="5:8" x14ac:dyDescent="0.25">
      <c r="E849" s="2"/>
      <c r="H849" s="2"/>
    </row>
    <row r="850" spans="5:8" x14ac:dyDescent="0.25">
      <c r="E850" s="2"/>
      <c r="H850" s="2"/>
    </row>
    <row r="851" spans="5:8" x14ac:dyDescent="0.25">
      <c r="E851" s="2"/>
      <c r="H851" s="2"/>
    </row>
    <row r="852" spans="5:8" x14ac:dyDescent="0.25">
      <c r="E852" s="2"/>
      <c r="H852" s="2"/>
    </row>
    <row r="853" spans="5:8" x14ac:dyDescent="0.25">
      <c r="E853" s="2"/>
      <c r="H853" s="2"/>
    </row>
    <row r="854" spans="5:8" x14ac:dyDescent="0.25">
      <c r="E854" s="2"/>
      <c r="H854" s="2"/>
    </row>
    <row r="855" spans="5:8" x14ac:dyDescent="0.25">
      <c r="E855" s="2"/>
      <c r="H855" s="2"/>
    </row>
    <row r="856" spans="5:8" x14ac:dyDescent="0.25">
      <c r="E856" s="2"/>
      <c r="H856" s="2"/>
    </row>
    <row r="857" spans="5:8" x14ac:dyDescent="0.25">
      <c r="E857" s="2"/>
      <c r="H857" s="2"/>
    </row>
    <row r="858" spans="5:8" x14ac:dyDescent="0.25">
      <c r="E858" s="2"/>
      <c r="H858" s="2"/>
    </row>
    <row r="859" spans="5:8" x14ac:dyDescent="0.25">
      <c r="E859" s="2"/>
      <c r="H859" s="2"/>
    </row>
    <row r="860" spans="5:8" x14ac:dyDescent="0.25">
      <c r="E860" s="2"/>
      <c r="H860" s="2"/>
    </row>
    <row r="861" spans="5:8" x14ac:dyDescent="0.25">
      <c r="E861" s="2"/>
      <c r="H861" s="2"/>
    </row>
    <row r="862" spans="5:8" x14ac:dyDescent="0.25">
      <c r="E862" s="2"/>
      <c r="H862" s="2"/>
    </row>
    <row r="863" spans="5:8" x14ac:dyDescent="0.25">
      <c r="E863" s="2"/>
      <c r="H863" s="2"/>
    </row>
    <row r="864" spans="5:8" x14ac:dyDescent="0.25">
      <c r="E864" s="2"/>
      <c r="H864" s="2"/>
    </row>
    <row r="865" spans="5:8" x14ac:dyDescent="0.25">
      <c r="E865" s="2"/>
      <c r="H865" s="2"/>
    </row>
    <row r="866" spans="5:8" x14ac:dyDescent="0.25">
      <c r="E866" s="2"/>
      <c r="H866" s="2"/>
    </row>
    <row r="867" spans="5:8" x14ac:dyDescent="0.25">
      <c r="E867" s="2"/>
      <c r="H867" s="2"/>
    </row>
    <row r="868" spans="5:8" x14ac:dyDescent="0.25">
      <c r="E868" s="2"/>
      <c r="H868" s="2"/>
    </row>
    <row r="869" spans="5:8" x14ac:dyDescent="0.25">
      <c r="E869" s="2"/>
      <c r="H869" s="2"/>
    </row>
    <row r="870" spans="5:8" x14ac:dyDescent="0.25">
      <c r="E870" s="2"/>
      <c r="H870" s="2"/>
    </row>
    <row r="871" spans="5:8" x14ac:dyDescent="0.25">
      <c r="E871" s="2"/>
      <c r="H871" s="2"/>
    </row>
    <row r="872" spans="5:8" x14ac:dyDescent="0.25">
      <c r="E872" s="2"/>
      <c r="H872" s="2"/>
    </row>
    <row r="873" spans="5:8" x14ac:dyDescent="0.25">
      <c r="E873" s="2"/>
      <c r="H873" s="2"/>
    </row>
    <row r="874" spans="5:8" x14ac:dyDescent="0.25">
      <c r="E874" s="2"/>
      <c r="H874" s="2"/>
    </row>
    <row r="875" spans="5:8" x14ac:dyDescent="0.25">
      <c r="E875" s="2"/>
      <c r="H875" s="2"/>
    </row>
    <row r="876" spans="5:8" x14ac:dyDescent="0.25">
      <c r="E876" s="2"/>
      <c r="H876" s="2"/>
    </row>
    <row r="877" spans="5:8" x14ac:dyDescent="0.25">
      <c r="E877" s="2"/>
      <c r="H877" s="2"/>
    </row>
    <row r="878" spans="5:8" x14ac:dyDescent="0.25">
      <c r="E878" s="2"/>
      <c r="H878" s="2"/>
    </row>
    <row r="879" spans="5:8" x14ac:dyDescent="0.25">
      <c r="E879" s="2"/>
      <c r="H879" s="2"/>
    </row>
    <row r="880" spans="5:8" x14ac:dyDescent="0.25">
      <c r="E880" s="2"/>
      <c r="H880" s="2"/>
    </row>
    <row r="881" spans="5:8" x14ac:dyDescent="0.25">
      <c r="E881" s="2"/>
      <c r="H881" s="2"/>
    </row>
    <row r="882" spans="5:8" x14ac:dyDescent="0.25">
      <c r="E882" s="2"/>
      <c r="H882" s="2"/>
    </row>
    <row r="883" spans="5:8" x14ac:dyDescent="0.25">
      <c r="E883" s="2"/>
      <c r="H883" s="2"/>
    </row>
    <row r="884" spans="5:8" x14ac:dyDescent="0.25">
      <c r="E884" s="2"/>
      <c r="H884" s="2"/>
    </row>
    <row r="885" spans="5:8" x14ac:dyDescent="0.25">
      <c r="E885" s="2"/>
      <c r="H885" s="2"/>
    </row>
    <row r="886" spans="5:8" x14ac:dyDescent="0.25">
      <c r="E886" s="2"/>
      <c r="H886" s="2"/>
    </row>
    <row r="887" spans="5:8" x14ac:dyDescent="0.25">
      <c r="E887" s="2"/>
      <c r="H887" s="2"/>
    </row>
    <row r="888" spans="5:8" x14ac:dyDescent="0.25">
      <c r="E888" s="2"/>
      <c r="H888" s="2"/>
    </row>
    <row r="889" spans="5:8" x14ac:dyDescent="0.25">
      <c r="E889" s="2"/>
      <c r="H889" s="2"/>
    </row>
    <row r="890" spans="5:8" x14ac:dyDescent="0.25">
      <c r="E890" s="2"/>
      <c r="H890" s="2"/>
    </row>
    <row r="891" spans="5:8" x14ac:dyDescent="0.25">
      <c r="E891" s="2"/>
      <c r="H891" s="2"/>
    </row>
    <row r="892" spans="5:8" x14ac:dyDescent="0.25">
      <c r="E892" s="2"/>
      <c r="H892" s="2"/>
    </row>
    <row r="893" spans="5:8" x14ac:dyDescent="0.25">
      <c r="E893" s="2"/>
      <c r="H893" s="2"/>
    </row>
    <row r="894" spans="5:8" x14ac:dyDescent="0.25">
      <c r="E894" s="2"/>
      <c r="H894" s="2"/>
    </row>
    <row r="895" spans="5:8" x14ac:dyDescent="0.25">
      <c r="E895" s="2"/>
      <c r="H895" s="2"/>
    </row>
    <row r="896" spans="5:8" x14ac:dyDescent="0.25">
      <c r="E896" s="2"/>
      <c r="H896" s="2"/>
    </row>
    <row r="897" spans="5:8" x14ac:dyDescent="0.25">
      <c r="E897" s="2"/>
      <c r="H897" s="2"/>
    </row>
    <row r="898" spans="5:8" x14ac:dyDescent="0.25">
      <c r="E898" s="2"/>
      <c r="H898" s="2"/>
    </row>
    <row r="899" spans="5:8" x14ac:dyDescent="0.25">
      <c r="E899" s="2"/>
      <c r="H899" s="2"/>
    </row>
    <row r="900" spans="5:8" x14ac:dyDescent="0.25">
      <c r="E900" s="2"/>
      <c r="H900" s="2"/>
    </row>
    <row r="901" spans="5:8" x14ac:dyDescent="0.25">
      <c r="E901" s="2"/>
      <c r="H901" s="2"/>
    </row>
    <row r="902" spans="5:8" x14ac:dyDescent="0.25">
      <c r="E902" s="2"/>
      <c r="H902" s="2"/>
    </row>
    <row r="903" spans="5:8" x14ac:dyDescent="0.25">
      <c r="E903" s="2"/>
      <c r="H903" s="2"/>
    </row>
    <row r="904" spans="5:8" x14ac:dyDescent="0.25">
      <c r="E904" s="2"/>
      <c r="H904" s="2"/>
    </row>
    <row r="905" spans="5:8" x14ac:dyDescent="0.25">
      <c r="E905" s="2"/>
      <c r="H905" s="2"/>
    </row>
    <row r="906" spans="5:8" x14ac:dyDescent="0.25">
      <c r="E906" s="2"/>
      <c r="H906" s="2"/>
    </row>
    <row r="907" spans="5:8" x14ac:dyDescent="0.25">
      <c r="E907" s="2"/>
      <c r="H907" s="2"/>
    </row>
    <row r="908" spans="5:8" x14ac:dyDescent="0.25">
      <c r="E908" s="2"/>
      <c r="H908" s="2"/>
    </row>
    <row r="909" spans="5:8" x14ac:dyDescent="0.25">
      <c r="E909" s="2"/>
      <c r="H909" s="2"/>
    </row>
    <row r="910" spans="5:8" x14ac:dyDescent="0.25">
      <c r="E910" s="2"/>
      <c r="H910" s="2"/>
    </row>
    <row r="911" spans="5:8" x14ac:dyDescent="0.25">
      <c r="E911" s="2"/>
      <c r="H911" s="2"/>
    </row>
    <row r="912" spans="5:8" x14ac:dyDescent="0.25">
      <c r="E912" s="2"/>
      <c r="H912" s="2"/>
    </row>
    <row r="913" spans="5:8" x14ac:dyDescent="0.25">
      <c r="E913" s="2"/>
      <c r="H913" s="2"/>
    </row>
    <row r="914" spans="5:8" x14ac:dyDescent="0.25">
      <c r="E914" s="2"/>
      <c r="H914" s="2"/>
    </row>
    <row r="915" spans="5:8" x14ac:dyDescent="0.25">
      <c r="E915" s="2"/>
      <c r="H915" s="2"/>
    </row>
    <row r="916" spans="5:8" x14ac:dyDescent="0.25">
      <c r="E916" s="2"/>
      <c r="H916" s="2"/>
    </row>
    <row r="917" spans="5:8" x14ac:dyDescent="0.25">
      <c r="E917" s="2"/>
      <c r="H917" s="2"/>
    </row>
    <row r="918" spans="5:8" x14ac:dyDescent="0.25">
      <c r="E918" s="2"/>
      <c r="H918" s="2"/>
    </row>
    <row r="919" spans="5:8" x14ac:dyDescent="0.25">
      <c r="E919" s="2"/>
      <c r="H919" s="2"/>
    </row>
    <row r="920" spans="5:8" x14ac:dyDescent="0.25">
      <c r="E920" s="2"/>
      <c r="H920" s="2"/>
    </row>
    <row r="921" spans="5:8" x14ac:dyDescent="0.25">
      <c r="E921" s="2"/>
      <c r="H921" s="2"/>
    </row>
    <row r="922" spans="5:8" x14ac:dyDescent="0.25">
      <c r="E922" s="2"/>
      <c r="H922" s="2"/>
    </row>
    <row r="923" spans="5:8" x14ac:dyDescent="0.25">
      <c r="E923" s="2"/>
      <c r="H923" s="2"/>
    </row>
    <row r="924" spans="5:8" x14ac:dyDescent="0.25">
      <c r="E924" s="2"/>
      <c r="H924" s="2"/>
    </row>
    <row r="925" spans="5:8" x14ac:dyDescent="0.25">
      <c r="E925" s="2"/>
      <c r="H925" s="2"/>
    </row>
    <row r="926" spans="5:8" x14ac:dyDescent="0.25">
      <c r="E926" s="2"/>
      <c r="H926" s="2"/>
    </row>
    <row r="927" spans="5:8" x14ac:dyDescent="0.25">
      <c r="E927" s="2"/>
      <c r="H927" s="2"/>
    </row>
    <row r="928" spans="5:8" x14ac:dyDescent="0.25">
      <c r="E928" s="2"/>
      <c r="H928" s="2"/>
    </row>
    <row r="929" spans="5:8" x14ac:dyDescent="0.25">
      <c r="E929" s="2"/>
      <c r="H929" s="2"/>
    </row>
    <row r="930" spans="5:8" x14ac:dyDescent="0.25">
      <c r="E930" s="2"/>
      <c r="H930" s="2"/>
    </row>
    <row r="931" spans="5:8" x14ac:dyDescent="0.25">
      <c r="E931" s="2"/>
      <c r="H931" s="2"/>
    </row>
    <row r="932" spans="5:8" x14ac:dyDescent="0.25">
      <c r="E932" s="2"/>
      <c r="H932" s="2"/>
    </row>
    <row r="933" spans="5:8" x14ac:dyDescent="0.25">
      <c r="E933" s="2"/>
      <c r="H933" s="2"/>
    </row>
    <row r="934" spans="5:8" x14ac:dyDescent="0.25">
      <c r="E934" s="2"/>
      <c r="H934" s="2"/>
    </row>
    <row r="935" spans="5:8" x14ac:dyDescent="0.25">
      <c r="E935" s="2"/>
      <c r="H935" s="2"/>
    </row>
    <row r="936" spans="5:8" x14ac:dyDescent="0.25">
      <c r="E936" s="2"/>
      <c r="H936" s="2"/>
    </row>
    <row r="937" spans="5:8" x14ac:dyDescent="0.25">
      <c r="E937" s="2"/>
      <c r="H937" s="2"/>
    </row>
    <row r="938" spans="5:8" x14ac:dyDescent="0.25">
      <c r="E938" s="2"/>
      <c r="H938" s="2"/>
    </row>
    <row r="939" spans="5:8" x14ac:dyDescent="0.25">
      <c r="E939" s="2"/>
      <c r="H939" s="2"/>
    </row>
    <row r="940" spans="5:8" x14ac:dyDescent="0.25">
      <c r="E940" s="2"/>
      <c r="H940" s="2"/>
    </row>
    <row r="941" spans="5:8" x14ac:dyDescent="0.25">
      <c r="E941" s="2"/>
      <c r="H941" s="2"/>
    </row>
    <row r="942" spans="5:8" x14ac:dyDescent="0.25">
      <c r="E942" s="2"/>
      <c r="H942" s="2"/>
    </row>
    <row r="943" spans="5:8" x14ac:dyDescent="0.25">
      <c r="E943" s="2"/>
      <c r="H943" s="2"/>
    </row>
    <row r="944" spans="5:8" x14ac:dyDescent="0.25">
      <c r="E944" s="2"/>
      <c r="H944" s="2"/>
    </row>
    <row r="945" spans="5:8" x14ac:dyDescent="0.25">
      <c r="E945" s="2"/>
      <c r="H945" s="2"/>
    </row>
    <row r="946" spans="5:8" x14ac:dyDescent="0.25">
      <c r="E946" s="2"/>
      <c r="H946" s="2"/>
    </row>
    <row r="947" spans="5:8" x14ac:dyDescent="0.25">
      <c r="E947" s="2"/>
      <c r="H947" s="2"/>
    </row>
    <row r="948" spans="5:8" x14ac:dyDescent="0.25">
      <c r="E948" s="2"/>
      <c r="H948" s="2"/>
    </row>
    <row r="949" spans="5:8" x14ac:dyDescent="0.25">
      <c r="E949" s="2"/>
      <c r="H949" s="2"/>
    </row>
    <row r="950" spans="5:8" x14ac:dyDescent="0.25">
      <c r="E950" s="2"/>
      <c r="H950" s="2"/>
    </row>
    <row r="951" spans="5:8" x14ac:dyDescent="0.25">
      <c r="E951" s="2"/>
      <c r="H951" s="2"/>
    </row>
    <row r="952" spans="5:8" x14ac:dyDescent="0.25">
      <c r="E952" s="2"/>
      <c r="H952" s="2"/>
    </row>
    <row r="953" spans="5:8" x14ac:dyDescent="0.25">
      <c r="E953" s="2"/>
      <c r="H953" s="2"/>
    </row>
    <row r="954" spans="5:8" x14ac:dyDescent="0.25">
      <c r="E954" s="2"/>
      <c r="H954" s="2"/>
    </row>
    <row r="955" spans="5:8" x14ac:dyDescent="0.25">
      <c r="E955" s="2"/>
      <c r="H955" s="2"/>
    </row>
    <row r="956" spans="5:8" x14ac:dyDescent="0.25">
      <c r="E956" s="2"/>
      <c r="H956" s="2"/>
    </row>
    <row r="957" spans="5:8" x14ac:dyDescent="0.25">
      <c r="E957" s="2"/>
      <c r="H957" s="2"/>
    </row>
    <row r="958" spans="5:8" x14ac:dyDescent="0.25">
      <c r="E958" s="2"/>
      <c r="H958" s="2"/>
    </row>
    <row r="959" spans="5:8" x14ac:dyDescent="0.25">
      <c r="E959" s="2"/>
      <c r="H959" s="2"/>
    </row>
    <row r="960" spans="5:8" x14ac:dyDescent="0.25">
      <c r="E960" s="2"/>
      <c r="H960" s="2"/>
    </row>
    <row r="961" spans="5:8" x14ac:dyDescent="0.25">
      <c r="E961" s="2"/>
      <c r="H961" s="2"/>
    </row>
    <row r="962" spans="5:8" x14ac:dyDescent="0.25">
      <c r="E962" s="2"/>
      <c r="H962" s="2"/>
    </row>
    <row r="963" spans="5:8" x14ac:dyDescent="0.25">
      <c r="E963" s="2"/>
      <c r="H963" s="2"/>
    </row>
    <row r="964" spans="5:8" x14ac:dyDescent="0.25">
      <c r="E964" s="2"/>
      <c r="H964" s="2"/>
    </row>
    <row r="965" spans="5:8" x14ac:dyDescent="0.25">
      <c r="E965" s="2"/>
      <c r="H965" s="2"/>
    </row>
    <row r="966" spans="5:8" x14ac:dyDescent="0.25">
      <c r="E966" s="2"/>
      <c r="H966" s="2"/>
    </row>
    <row r="967" spans="5:8" x14ac:dyDescent="0.25">
      <c r="E967" s="2"/>
      <c r="H967" s="2"/>
    </row>
    <row r="968" spans="5:8" x14ac:dyDescent="0.25">
      <c r="E968" s="2"/>
      <c r="H968" s="2"/>
    </row>
    <row r="969" spans="5:8" x14ac:dyDescent="0.25">
      <c r="E969" s="2"/>
      <c r="H969" s="2"/>
    </row>
    <row r="970" spans="5:8" x14ac:dyDescent="0.25">
      <c r="E970" s="2"/>
      <c r="H970" s="2"/>
    </row>
    <row r="971" spans="5:8" x14ac:dyDescent="0.25">
      <c r="E971" s="2"/>
      <c r="H971" s="2"/>
    </row>
    <row r="972" spans="5:8" x14ac:dyDescent="0.25">
      <c r="E972" s="2"/>
      <c r="H972" s="2"/>
    </row>
    <row r="973" spans="5:8" x14ac:dyDescent="0.25">
      <c r="E973" s="2"/>
      <c r="H973" s="2"/>
    </row>
    <row r="974" spans="5:8" x14ac:dyDescent="0.25">
      <c r="E974" s="2"/>
      <c r="H974" s="2"/>
    </row>
    <row r="975" spans="5:8" x14ac:dyDescent="0.25">
      <c r="E975" s="2"/>
      <c r="H975" s="2"/>
    </row>
    <row r="976" spans="5:8" x14ac:dyDescent="0.25">
      <c r="E976" s="2"/>
      <c r="H976" s="2"/>
    </row>
    <row r="977" spans="5:8" x14ac:dyDescent="0.25">
      <c r="E977" s="2"/>
      <c r="H977" s="2"/>
    </row>
    <row r="978" spans="5:8" x14ac:dyDescent="0.25">
      <c r="E978" s="2"/>
      <c r="H978" s="2"/>
    </row>
    <row r="979" spans="5:8" x14ac:dyDescent="0.25">
      <c r="E979" s="2"/>
      <c r="H979" s="2"/>
    </row>
    <row r="980" spans="5:8" x14ac:dyDescent="0.25">
      <c r="E980" s="2"/>
      <c r="H980" s="2"/>
    </row>
    <row r="981" spans="5:8" x14ac:dyDescent="0.25">
      <c r="E981" s="2"/>
      <c r="H981" s="2"/>
    </row>
    <row r="982" spans="5:8" x14ac:dyDescent="0.25">
      <c r="E982" s="2"/>
      <c r="H982" s="2"/>
    </row>
    <row r="983" spans="5:8" x14ac:dyDescent="0.25">
      <c r="E983" s="2"/>
      <c r="H983" s="2"/>
    </row>
    <row r="984" spans="5:8" x14ac:dyDescent="0.25">
      <c r="E984" s="2"/>
      <c r="H984" s="2"/>
    </row>
    <row r="985" spans="5:8" x14ac:dyDescent="0.25">
      <c r="E985" s="2"/>
      <c r="H985" s="2"/>
    </row>
    <row r="986" spans="5:8" x14ac:dyDescent="0.25">
      <c r="E986" s="2"/>
      <c r="H986" s="2"/>
    </row>
    <row r="987" spans="5:8" x14ac:dyDescent="0.25">
      <c r="E987" s="2"/>
      <c r="H987" s="2"/>
    </row>
    <row r="988" spans="5:8" x14ac:dyDescent="0.25">
      <c r="E988" s="2"/>
      <c r="H988" s="2"/>
    </row>
    <row r="989" spans="5:8" x14ac:dyDescent="0.25">
      <c r="E989" s="2"/>
      <c r="H989" s="2"/>
    </row>
    <row r="990" spans="5:8" x14ac:dyDescent="0.25">
      <c r="E990" s="2"/>
      <c r="H990" s="2"/>
    </row>
    <row r="991" spans="5:8" x14ac:dyDescent="0.25">
      <c r="E991" s="2"/>
      <c r="H991" s="2"/>
    </row>
    <row r="992" spans="5:8" x14ac:dyDescent="0.25">
      <c r="E992" s="2"/>
      <c r="H992" s="2"/>
    </row>
    <row r="993" spans="5:8" x14ac:dyDescent="0.25">
      <c r="E993" s="2"/>
      <c r="H993" s="2"/>
    </row>
    <row r="994" spans="5:8" x14ac:dyDescent="0.25">
      <c r="E994" s="2"/>
      <c r="H994" s="2"/>
    </row>
    <row r="995" spans="5:8" x14ac:dyDescent="0.25">
      <c r="E995" s="2"/>
      <c r="H995" s="2"/>
    </row>
    <row r="996" spans="5:8" x14ac:dyDescent="0.25">
      <c r="E996" s="2"/>
      <c r="H996" s="2"/>
    </row>
    <row r="997" spans="5:8" x14ac:dyDescent="0.25">
      <c r="E997" s="2"/>
      <c r="H997" s="2"/>
    </row>
    <row r="998" spans="5:8" x14ac:dyDescent="0.25">
      <c r="E998" s="2"/>
      <c r="H998" s="2"/>
    </row>
    <row r="999" spans="5:8" x14ac:dyDescent="0.25">
      <c r="E999" s="2"/>
      <c r="H999" s="2"/>
    </row>
    <row r="1000" spans="5:8" x14ac:dyDescent="0.25">
      <c r="E1000" s="2"/>
      <c r="H1000" s="2"/>
    </row>
    <row r="1001" spans="5:8" x14ac:dyDescent="0.25">
      <c r="E1001" s="2"/>
      <c r="H1001" s="2"/>
    </row>
    <row r="1002" spans="5:8" x14ac:dyDescent="0.25">
      <c r="E1002" s="2"/>
      <c r="H1002" s="2"/>
    </row>
    <row r="1003" spans="5:8" x14ac:dyDescent="0.25">
      <c r="E1003" s="2"/>
      <c r="H1003" s="2"/>
    </row>
    <row r="1004" spans="5:8" x14ac:dyDescent="0.25">
      <c r="E1004" s="2"/>
      <c r="H1004" s="2"/>
    </row>
    <row r="1005" spans="5:8" x14ac:dyDescent="0.25">
      <c r="E1005" s="2"/>
      <c r="H1005" s="2"/>
    </row>
    <row r="1006" spans="5:8" x14ac:dyDescent="0.25">
      <c r="E1006" s="2"/>
      <c r="H1006" s="2"/>
    </row>
    <row r="1007" spans="5:8" x14ac:dyDescent="0.25">
      <c r="E1007" s="2"/>
      <c r="H1007" s="2"/>
    </row>
    <row r="1008" spans="5:8" x14ac:dyDescent="0.25">
      <c r="E1008" s="2"/>
      <c r="H1008" s="2"/>
    </row>
    <row r="1009" spans="5:8" x14ac:dyDescent="0.25">
      <c r="E1009" s="2"/>
      <c r="H1009" s="2"/>
    </row>
    <row r="1010" spans="5:8" x14ac:dyDescent="0.25">
      <c r="E1010" s="2"/>
      <c r="H1010" s="2"/>
    </row>
    <row r="1011" spans="5:8" x14ac:dyDescent="0.25">
      <c r="E1011" s="2"/>
      <c r="H1011" s="2"/>
    </row>
    <row r="1012" spans="5:8" x14ac:dyDescent="0.25">
      <c r="E1012" s="2"/>
      <c r="H1012" s="2"/>
    </row>
    <row r="1013" spans="5:8" x14ac:dyDescent="0.25">
      <c r="E1013" s="2"/>
      <c r="H1013" s="2"/>
    </row>
    <row r="1014" spans="5:8" x14ac:dyDescent="0.25">
      <c r="E1014" s="2"/>
      <c r="H1014" s="2"/>
    </row>
    <row r="1015" spans="5:8" x14ac:dyDescent="0.25">
      <c r="E1015" s="2"/>
      <c r="H1015" s="2"/>
    </row>
    <row r="1016" spans="5:8" x14ac:dyDescent="0.25">
      <c r="E1016" s="2"/>
      <c r="H1016" s="2"/>
    </row>
    <row r="1017" spans="5:8" x14ac:dyDescent="0.25">
      <c r="E1017" s="2"/>
      <c r="H1017" s="2"/>
    </row>
    <row r="1018" spans="5:8" x14ac:dyDescent="0.25">
      <c r="E1018" s="2"/>
      <c r="H1018" s="2"/>
    </row>
    <row r="1019" spans="5:8" x14ac:dyDescent="0.25">
      <c r="E1019" s="2"/>
      <c r="H1019" s="2"/>
    </row>
    <row r="1020" spans="5:8" x14ac:dyDescent="0.25">
      <c r="E1020" s="2"/>
      <c r="H1020" s="2"/>
    </row>
    <row r="1021" spans="5:8" x14ac:dyDescent="0.25">
      <c r="E1021" s="2"/>
      <c r="H1021" s="2"/>
    </row>
    <row r="1022" spans="5:8" x14ac:dyDescent="0.25">
      <c r="E1022" s="2"/>
      <c r="H1022" s="2"/>
    </row>
    <row r="1023" spans="5:8" x14ac:dyDescent="0.25">
      <c r="E1023" s="2"/>
      <c r="H1023" s="2"/>
    </row>
    <row r="1024" spans="5:8" x14ac:dyDescent="0.25">
      <c r="E1024" s="2"/>
      <c r="H1024" s="2"/>
    </row>
    <row r="1025" spans="5:8" x14ac:dyDescent="0.25">
      <c r="E1025" s="2"/>
      <c r="H1025" s="2"/>
    </row>
    <row r="1026" spans="5:8" x14ac:dyDescent="0.25">
      <c r="E1026" s="2"/>
      <c r="H1026" s="2"/>
    </row>
    <row r="1027" spans="5:8" x14ac:dyDescent="0.25">
      <c r="E1027" s="2"/>
      <c r="H1027" s="2"/>
    </row>
    <row r="1028" spans="5:8" x14ac:dyDescent="0.25">
      <c r="E1028" s="2"/>
      <c r="H1028" s="2"/>
    </row>
    <row r="1029" spans="5:8" x14ac:dyDescent="0.25">
      <c r="E1029" s="2"/>
      <c r="H1029" s="2"/>
    </row>
    <row r="1030" spans="5:8" x14ac:dyDescent="0.25">
      <c r="E1030" s="2"/>
      <c r="H1030" s="2"/>
    </row>
    <row r="1031" spans="5:8" x14ac:dyDescent="0.25">
      <c r="E1031" s="2"/>
      <c r="H1031" s="2"/>
    </row>
    <row r="1032" spans="5:8" x14ac:dyDescent="0.25">
      <c r="E1032" s="2"/>
      <c r="H1032" s="2"/>
    </row>
    <row r="1033" spans="5:8" x14ac:dyDescent="0.25">
      <c r="E1033" s="2"/>
      <c r="H1033" s="2"/>
    </row>
    <row r="1034" spans="5:8" x14ac:dyDescent="0.25">
      <c r="E1034" s="2"/>
      <c r="H1034" s="2"/>
    </row>
    <row r="1035" spans="5:8" x14ac:dyDescent="0.25">
      <c r="E1035" s="2"/>
      <c r="H1035" s="2"/>
    </row>
    <row r="1036" spans="5:8" x14ac:dyDescent="0.25">
      <c r="E1036" s="2"/>
      <c r="H1036" s="2"/>
    </row>
    <row r="1037" spans="5:8" x14ac:dyDescent="0.25">
      <c r="E1037" s="2"/>
      <c r="H1037" s="2"/>
    </row>
    <row r="1038" spans="5:8" x14ac:dyDescent="0.25">
      <c r="E1038" s="2"/>
      <c r="H1038" s="2"/>
    </row>
    <row r="1039" spans="5:8" x14ac:dyDescent="0.25">
      <c r="E1039" s="2"/>
      <c r="H1039" s="2"/>
    </row>
    <row r="1040" spans="5:8" x14ac:dyDescent="0.25">
      <c r="E1040" s="2"/>
      <c r="H1040" s="2"/>
    </row>
    <row r="1041" spans="5:8" x14ac:dyDescent="0.25">
      <c r="E1041" s="2"/>
      <c r="H1041" s="2"/>
    </row>
    <row r="1042" spans="5:8" x14ac:dyDescent="0.25">
      <c r="E1042" s="2"/>
      <c r="H1042" s="2"/>
    </row>
    <row r="1043" spans="5:8" x14ac:dyDescent="0.25">
      <c r="E1043" s="2"/>
      <c r="H1043" s="2"/>
    </row>
    <row r="1044" spans="5:8" x14ac:dyDescent="0.25">
      <c r="E1044" s="2"/>
      <c r="H1044" s="2"/>
    </row>
    <row r="1045" spans="5:8" x14ac:dyDescent="0.25">
      <c r="E1045" s="2"/>
      <c r="H1045" s="2"/>
    </row>
    <row r="1046" spans="5:8" x14ac:dyDescent="0.25">
      <c r="E1046" s="2"/>
      <c r="H1046" s="2"/>
    </row>
    <row r="1047" spans="5:8" x14ac:dyDescent="0.25">
      <c r="E1047" s="2"/>
      <c r="H1047" s="2"/>
    </row>
    <row r="1048" spans="5:8" x14ac:dyDescent="0.25">
      <c r="E1048" s="2"/>
      <c r="H1048" s="2"/>
    </row>
    <row r="1049" spans="5:8" x14ac:dyDescent="0.25">
      <c r="E1049" s="2"/>
      <c r="H1049" s="2"/>
    </row>
    <row r="1050" spans="5:8" x14ac:dyDescent="0.25">
      <c r="E1050" s="2"/>
      <c r="H1050" s="2"/>
    </row>
    <row r="1051" spans="5:8" x14ac:dyDescent="0.25">
      <c r="E1051" s="2"/>
      <c r="H1051" s="2"/>
    </row>
    <row r="1052" spans="5:8" x14ac:dyDescent="0.25">
      <c r="E1052" s="2"/>
      <c r="H1052" s="2"/>
    </row>
    <row r="1053" spans="5:8" x14ac:dyDescent="0.25">
      <c r="E1053" s="2"/>
      <c r="H1053" s="2"/>
    </row>
    <row r="1054" spans="5:8" x14ac:dyDescent="0.25">
      <c r="E1054" s="2"/>
      <c r="H1054" s="2"/>
    </row>
    <row r="1055" spans="5:8" x14ac:dyDescent="0.25">
      <c r="E1055" s="2"/>
      <c r="H1055" s="2"/>
    </row>
    <row r="1056" spans="5:8" x14ac:dyDescent="0.25">
      <c r="E1056" s="2"/>
      <c r="H1056" s="2"/>
    </row>
    <row r="1057" spans="5:8" x14ac:dyDescent="0.25">
      <c r="E1057" s="2"/>
      <c r="H1057" s="2"/>
    </row>
    <row r="1058" spans="5:8" x14ac:dyDescent="0.25">
      <c r="E1058" s="2"/>
      <c r="H1058" s="2"/>
    </row>
    <row r="1059" spans="5:8" x14ac:dyDescent="0.25">
      <c r="E1059" s="2"/>
      <c r="H1059" s="2"/>
    </row>
    <row r="1060" spans="5:8" x14ac:dyDescent="0.25">
      <c r="E1060" s="2"/>
      <c r="H1060" s="2"/>
    </row>
    <row r="1061" spans="5:8" x14ac:dyDescent="0.25">
      <c r="E1061" s="2"/>
      <c r="H1061" s="2"/>
    </row>
    <row r="1062" spans="5:8" x14ac:dyDescent="0.25">
      <c r="E1062" s="2"/>
      <c r="H1062" s="2"/>
    </row>
    <row r="1063" spans="5:8" x14ac:dyDescent="0.25">
      <c r="E1063" s="2"/>
      <c r="H1063" s="2"/>
    </row>
    <row r="1064" spans="5:8" x14ac:dyDescent="0.25">
      <c r="E1064" s="2"/>
      <c r="H1064" s="2"/>
    </row>
    <row r="1065" spans="5:8" x14ac:dyDescent="0.25">
      <c r="E1065" s="2"/>
      <c r="H1065" s="2"/>
    </row>
    <row r="1066" spans="5:8" x14ac:dyDescent="0.25">
      <c r="E1066" s="2"/>
      <c r="H1066" s="2"/>
    </row>
    <row r="1067" spans="5:8" x14ac:dyDescent="0.25">
      <c r="E1067" s="2"/>
      <c r="H1067" s="2"/>
    </row>
    <row r="1068" spans="5:8" x14ac:dyDescent="0.25">
      <c r="E1068" s="2"/>
      <c r="H1068" s="2"/>
    </row>
    <row r="1069" spans="5:8" x14ac:dyDescent="0.25">
      <c r="E1069" s="2"/>
      <c r="H1069" s="2"/>
    </row>
    <row r="1070" spans="5:8" x14ac:dyDescent="0.25">
      <c r="E1070" s="2"/>
      <c r="H1070" s="2"/>
    </row>
    <row r="1071" spans="5:8" x14ac:dyDescent="0.25">
      <c r="E1071" s="2"/>
      <c r="H1071" s="2"/>
    </row>
    <row r="1072" spans="5:8" x14ac:dyDescent="0.25">
      <c r="E1072" s="2"/>
      <c r="H1072" s="2"/>
    </row>
    <row r="1073" spans="5:8" x14ac:dyDescent="0.25">
      <c r="E1073" s="2"/>
      <c r="H1073" s="2"/>
    </row>
    <row r="1074" spans="5:8" x14ac:dyDescent="0.25">
      <c r="E1074" s="2"/>
      <c r="H1074" s="2"/>
    </row>
    <row r="1075" spans="5:8" x14ac:dyDescent="0.25">
      <c r="E1075" s="2"/>
      <c r="H1075" s="2"/>
    </row>
    <row r="1076" spans="5:8" x14ac:dyDescent="0.25">
      <c r="E1076" s="2"/>
      <c r="H1076" s="2"/>
    </row>
    <row r="1077" spans="5:8" x14ac:dyDescent="0.25">
      <c r="E1077" s="2"/>
      <c r="H1077" s="2"/>
    </row>
    <row r="1078" spans="5:8" x14ac:dyDescent="0.25">
      <c r="E1078" s="2"/>
      <c r="H1078" s="2"/>
    </row>
    <row r="1079" spans="5:8" x14ac:dyDescent="0.25">
      <c r="E1079" s="2"/>
      <c r="H1079" s="2"/>
    </row>
    <row r="1080" spans="5:8" x14ac:dyDescent="0.25">
      <c r="E1080" s="2"/>
      <c r="H1080" s="2"/>
    </row>
    <row r="1081" spans="5:8" x14ac:dyDescent="0.25">
      <c r="E1081" s="2"/>
      <c r="H1081" s="2"/>
    </row>
    <row r="1082" spans="5:8" x14ac:dyDescent="0.25">
      <c r="E1082" s="2"/>
      <c r="H1082" s="2"/>
    </row>
    <row r="1083" spans="5:8" x14ac:dyDescent="0.25">
      <c r="E1083" s="2"/>
      <c r="H1083" s="2"/>
    </row>
    <row r="1084" spans="5:8" x14ac:dyDescent="0.25">
      <c r="E1084" s="2"/>
      <c r="H1084" s="2"/>
    </row>
    <row r="1085" spans="5:8" x14ac:dyDescent="0.25">
      <c r="E1085" s="2"/>
      <c r="H1085" s="2"/>
    </row>
    <row r="1086" spans="5:8" x14ac:dyDescent="0.25">
      <c r="E1086" s="2"/>
      <c r="H1086" s="2"/>
    </row>
    <row r="1087" spans="5:8" x14ac:dyDescent="0.25">
      <c r="E1087" s="2"/>
      <c r="H1087" s="2"/>
    </row>
    <row r="1088" spans="5:8" x14ac:dyDescent="0.25">
      <c r="E1088" s="2"/>
      <c r="H1088" s="2"/>
    </row>
    <row r="1089" spans="5:8" x14ac:dyDescent="0.25">
      <c r="E1089" s="2"/>
      <c r="H1089" s="2"/>
    </row>
    <row r="1090" spans="5:8" x14ac:dyDescent="0.25">
      <c r="E1090" s="2"/>
      <c r="H1090" s="2"/>
    </row>
    <row r="1091" spans="5:8" x14ac:dyDescent="0.25">
      <c r="E1091" s="2"/>
      <c r="H1091" s="2"/>
    </row>
    <row r="1092" spans="5:8" x14ac:dyDescent="0.25">
      <c r="E1092" s="2"/>
      <c r="H1092" s="2"/>
    </row>
    <row r="1093" spans="5:8" x14ac:dyDescent="0.25">
      <c r="E1093" s="2"/>
      <c r="H1093" s="2"/>
    </row>
    <row r="1094" spans="5:8" x14ac:dyDescent="0.25">
      <c r="E1094" s="2"/>
      <c r="H1094" s="2"/>
    </row>
    <row r="1095" spans="5:8" x14ac:dyDescent="0.25">
      <c r="E1095" s="2"/>
      <c r="H1095" s="2"/>
    </row>
    <row r="1096" spans="5:8" x14ac:dyDescent="0.25">
      <c r="E1096" s="2"/>
      <c r="H1096" s="2"/>
    </row>
    <row r="1097" spans="5:8" x14ac:dyDescent="0.25">
      <c r="E1097" s="2"/>
      <c r="H1097" s="2"/>
    </row>
    <row r="1098" spans="5:8" x14ac:dyDescent="0.25">
      <c r="E1098" s="2"/>
      <c r="H1098" s="2"/>
    </row>
    <row r="1099" spans="5:8" x14ac:dyDescent="0.25">
      <c r="E1099" s="2"/>
      <c r="H1099" s="2"/>
    </row>
    <row r="1100" spans="5:8" x14ac:dyDescent="0.25">
      <c r="E1100" s="2"/>
      <c r="H1100" s="2"/>
    </row>
    <row r="1101" spans="5:8" x14ac:dyDescent="0.25">
      <c r="E1101" s="2"/>
      <c r="H1101" s="2"/>
    </row>
    <row r="1102" spans="5:8" x14ac:dyDescent="0.25">
      <c r="E1102" s="2"/>
      <c r="H1102" s="2"/>
    </row>
    <row r="1103" spans="5:8" x14ac:dyDescent="0.25">
      <c r="E1103" s="2"/>
      <c r="H1103" s="2"/>
    </row>
    <row r="1104" spans="5:8" x14ac:dyDescent="0.25">
      <c r="E1104" s="2"/>
      <c r="H1104" s="2"/>
    </row>
    <row r="1105" spans="5:8" x14ac:dyDescent="0.25">
      <c r="E1105" s="2"/>
      <c r="H1105" s="2"/>
    </row>
    <row r="1106" spans="5:8" x14ac:dyDescent="0.25">
      <c r="E1106" s="2"/>
      <c r="H1106" s="2"/>
    </row>
    <row r="1107" spans="5:8" x14ac:dyDescent="0.25">
      <c r="E1107" s="2"/>
      <c r="H1107" s="2"/>
    </row>
    <row r="1108" spans="5:8" x14ac:dyDescent="0.25">
      <c r="E1108" s="2"/>
      <c r="H1108" s="2"/>
    </row>
    <row r="1109" spans="5:8" x14ac:dyDescent="0.25">
      <c r="E1109" s="2"/>
      <c r="H1109" s="2"/>
    </row>
    <row r="1110" spans="5:8" x14ac:dyDescent="0.25">
      <c r="E1110" s="2"/>
      <c r="H1110" s="2"/>
    </row>
    <row r="1111" spans="5:8" x14ac:dyDescent="0.25">
      <c r="E1111" s="2"/>
      <c r="H1111" s="2"/>
    </row>
    <row r="1112" spans="5:8" x14ac:dyDescent="0.25">
      <c r="E1112" s="2"/>
      <c r="H1112" s="2"/>
    </row>
    <row r="1113" spans="5:8" x14ac:dyDescent="0.25">
      <c r="E1113" s="2"/>
      <c r="H1113" s="2"/>
    </row>
    <row r="1114" spans="5:8" x14ac:dyDescent="0.25">
      <c r="E1114" s="2"/>
      <c r="H1114" s="2"/>
    </row>
    <row r="1115" spans="5:8" x14ac:dyDescent="0.25">
      <c r="E1115" s="2"/>
      <c r="H1115" s="2"/>
    </row>
    <row r="1116" spans="5:8" x14ac:dyDescent="0.25">
      <c r="E1116" s="2"/>
      <c r="H1116" s="2"/>
    </row>
    <row r="1117" spans="5:8" x14ac:dyDescent="0.25">
      <c r="E1117" s="2"/>
      <c r="H1117" s="2"/>
    </row>
    <row r="1118" spans="5:8" x14ac:dyDescent="0.25">
      <c r="E1118" s="2"/>
      <c r="H1118" s="2"/>
    </row>
    <row r="1119" spans="5:8" x14ac:dyDescent="0.25">
      <c r="E1119" s="2"/>
      <c r="H1119" s="2"/>
    </row>
    <row r="1120" spans="5:8" x14ac:dyDescent="0.25">
      <c r="E1120" s="2"/>
      <c r="H1120" s="2"/>
    </row>
    <row r="1121" spans="5:8" x14ac:dyDescent="0.25">
      <c r="E1121" s="2"/>
      <c r="H1121" s="2"/>
    </row>
    <row r="1122" spans="5:8" x14ac:dyDescent="0.25">
      <c r="E1122" s="2"/>
      <c r="H1122" s="2"/>
    </row>
    <row r="1123" spans="5:8" x14ac:dyDescent="0.25">
      <c r="E1123" s="2"/>
      <c r="H1123" s="2"/>
    </row>
    <row r="1124" spans="5:8" x14ac:dyDescent="0.25">
      <c r="E1124" s="2"/>
      <c r="H1124" s="2"/>
    </row>
    <row r="1125" spans="5:8" x14ac:dyDescent="0.25">
      <c r="E1125" s="2"/>
      <c r="H1125" s="2"/>
    </row>
    <row r="1126" spans="5:8" x14ac:dyDescent="0.25">
      <c r="E1126" s="2"/>
      <c r="H1126" s="2"/>
    </row>
    <row r="1127" spans="5:8" x14ac:dyDescent="0.25">
      <c r="E1127" s="2"/>
      <c r="H1127" s="2"/>
    </row>
    <row r="1128" spans="5:8" x14ac:dyDescent="0.25">
      <c r="E1128" s="2"/>
      <c r="H1128" s="2"/>
    </row>
    <row r="1129" spans="5:8" x14ac:dyDescent="0.25">
      <c r="E1129" s="2"/>
      <c r="H1129" s="2"/>
    </row>
    <row r="1130" spans="5:8" x14ac:dyDescent="0.25">
      <c r="E1130" s="2"/>
      <c r="H1130" s="2"/>
    </row>
    <row r="1131" spans="5:8" x14ac:dyDescent="0.25">
      <c r="E1131" s="2"/>
      <c r="H1131" s="2"/>
    </row>
    <row r="1132" spans="5:8" x14ac:dyDescent="0.25">
      <c r="E1132" s="2"/>
      <c r="H1132" s="2"/>
    </row>
    <row r="1133" spans="5:8" x14ac:dyDescent="0.25">
      <c r="E1133" s="2"/>
      <c r="H1133" s="2"/>
    </row>
    <row r="1134" spans="5:8" x14ac:dyDescent="0.25">
      <c r="E1134" s="2"/>
      <c r="H1134" s="2"/>
    </row>
    <row r="1135" spans="5:8" x14ac:dyDescent="0.25">
      <c r="E1135" s="2"/>
      <c r="H1135" s="2"/>
    </row>
    <row r="1136" spans="5:8" x14ac:dyDescent="0.25">
      <c r="E1136" s="2"/>
      <c r="H1136" s="2"/>
    </row>
    <row r="1137" spans="5:8" x14ac:dyDescent="0.25">
      <c r="E1137" s="2"/>
      <c r="H1137" s="2"/>
    </row>
    <row r="1138" spans="5:8" x14ac:dyDescent="0.25">
      <c r="E1138" s="2"/>
      <c r="H1138" s="2"/>
    </row>
    <row r="1139" spans="5:8" x14ac:dyDescent="0.25">
      <c r="E1139" s="2"/>
      <c r="H1139" s="2"/>
    </row>
    <row r="1140" spans="5:8" x14ac:dyDescent="0.25">
      <c r="E1140" s="2"/>
      <c r="H1140" s="2"/>
    </row>
    <row r="1141" spans="5:8" x14ac:dyDescent="0.25">
      <c r="E1141" s="2"/>
      <c r="H1141" s="2"/>
    </row>
    <row r="1142" spans="5:8" x14ac:dyDescent="0.25">
      <c r="E1142" s="2"/>
      <c r="H1142" s="2"/>
    </row>
    <row r="1143" spans="5:8" x14ac:dyDescent="0.25">
      <c r="E1143" s="2"/>
      <c r="H1143" s="2"/>
    </row>
    <row r="1144" spans="5:8" x14ac:dyDescent="0.25">
      <c r="E1144" s="2"/>
      <c r="H1144" s="2"/>
    </row>
    <row r="1145" spans="5:8" x14ac:dyDescent="0.25">
      <c r="E1145" s="2"/>
      <c r="H1145" s="2"/>
    </row>
    <row r="1146" spans="5:8" x14ac:dyDescent="0.25">
      <c r="E1146" s="2"/>
      <c r="H1146" s="2"/>
    </row>
    <row r="1147" spans="5:8" x14ac:dyDescent="0.25">
      <c r="E1147" s="2"/>
      <c r="H1147" s="2"/>
    </row>
    <row r="1148" spans="5:8" x14ac:dyDescent="0.25">
      <c r="E1148" s="2"/>
      <c r="H1148" s="2"/>
    </row>
    <row r="1149" spans="5:8" x14ac:dyDescent="0.25">
      <c r="E1149" s="2"/>
      <c r="H1149" s="2"/>
    </row>
    <row r="1150" spans="5:8" x14ac:dyDescent="0.25">
      <c r="E1150" s="2"/>
      <c r="H1150" s="2"/>
    </row>
    <row r="1151" spans="5:8" x14ac:dyDescent="0.25">
      <c r="E1151" s="2"/>
      <c r="H1151" s="2"/>
    </row>
    <row r="1152" spans="5:8" x14ac:dyDescent="0.25">
      <c r="E1152" s="2"/>
      <c r="H1152" s="2"/>
    </row>
    <row r="1153" spans="5:8" x14ac:dyDescent="0.25">
      <c r="E1153" s="2"/>
      <c r="H1153" s="2"/>
    </row>
    <row r="1154" spans="5:8" x14ac:dyDescent="0.25">
      <c r="E1154" s="2"/>
      <c r="H1154" s="2"/>
    </row>
    <row r="1155" spans="5:8" x14ac:dyDescent="0.25">
      <c r="E1155" s="2"/>
      <c r="H1155" s="2"/>
    </row>
    <row r="1156" spans="5:8" x14ac:dyDescent="0.25">
      <c r="E1156" s="2"/>
      <c r="H1156" s="2"/>
    </row>
    <row r="1157" spans="5:8" x14ac:dyDescent="0.25">
      <c r="E1157" s="2"/>
      <c r="H1157" s="2"/>
    </row>
    <row r="1158" spans="5:8" x14ac:dyDescent="0.25">
      <c r="E1158" s="2"/>
      <c r="H1158" s="2"/>
    </row>
    <row r="1159" spans="5:8" x14ac:dyDescent="0.25">
      <c r="E1159" s="2"/>
      <c r="H1159" s="2"/>
    </row>
    <row r="1160" spans="5:8" x14ac:dyDescent="0.25">
      <c r="E1160" s="2"/>
      <c r="H1160" s="2"/>
    </row>
    <row r="1161" spans="5:8" x14ac:dyDescent="0.25">
      <c r="E1161" s="2"/>
      <c r="H1161" s="2"/>
    </row>
    <row r="1162" spans="5:8" x14ac:dyDescent="0.25">
      <c r="E1162" s="2"/>
      <c r="H1162" s="2"/>
    </row>
    <row r="1163" spans="5:8" x14ac:dyDescent="0.25">
      <c r="E1163" s="2"/>
      <c r="H1163" s="2"/>
    </row>
    <row r="1164" spans="5:8" x14ac:dyDescent="0.25">
      <c r="E1164" s="2"/>
      <c r="H1164" s="2"/>
    </row>
    <row r="1165" spans="5:8" x14ac:dyDescent="0.25">
      <c r="E1165" s="2"/>
      <c r="H1165" s="2"/>
    </row>
    <row r="1166" spans="5:8" x14ac:dyDescent="0.25">
      <c r="E1166" s="2"/>
      <c r="H1166" s="2"/>
    </row>
    <row r="1167" spans="5:8" x14ac:dyDescent="0.25">
      <c r="E1167" s="2"/>
      <c r="H1167" s="2"/>
    </row>
    <row r="1168" spans="5:8" x14ac:dyDescent="0.25">
      <c r="E1168" s="2"/>
      <c r="H1168" s="2"/>
    </row>
    <row r="1169" spans="5:8" x14ac:dyDescent="0.25">
      <c r="E1169" s="2"/>
      <c r="H1169" s="2"/>
    </row>
    <row r="1170" spans="5:8" x14ac:dyDescent="0.25">
      <c r="E1170" s="2"/>
      <c r="H1170" s="2"/>
    </row>
    <row r="1171" spans="5:8" x14ac:dyDescent="0.25">
      <c r="E1171" s="2"/>
      <c r="H1171" s="2"/>
    </row>
    <row r="1172" spans="5:8" x14ac:dyDescent="0.25">
      <c r="E1172" s="2"/>
      <c r="H1172" s="2"/>
    </row>
    <row r="1173" spans="5:8" x14ac:dyDescent="0.25">
      <c r="E1173" s="2"/>
      <c r="H1173" s="2"/>
    </row>
    <row r="1174" spans="5:8" x14ac:dyDescent="0.25">
      <c r="E1174" s="2"/>
      <c r="H1174" s="2"/>
    </row>
    <row r="1175" spans="5:8" x14ac:dyDescent="0.25">
      <c r="E1175" s="2"/>
      <c r="H1175" s="2"/>
    </row>
    <row r="1176" spans="5:8" x14ac:dyDescent="0.25">
      <c r="E1176" s="2"/>
      <c r="H1176" s="2"/>
    </row>
    <row r="1177" spans="5:8" x14ac:dyDescent="0.25">
      <c r="E1177" s="2"/>
      <c r="H1177" s="2"/>
    </row>
    <row r="1178" spans="5:8" x14ac:dyDescent="0.25">
      <c r="E1178" s="2"/>
      <c r="H1178" s="2"/>
    </row>
    <row r="1179" spans="5:8" x14ac:dyDescent="0.25">
      <c r="E1179" s="2"/>
      <c r="H1179" s="2"/>
    </row>
    <row r="1180" spans="5:8" x14ac:dyDescent="0.25">
      <c r="E1180" s="2"/>
      <c r="H1180" s="2"/>
    </row>
    <row r="1181" spans="5:8" x14ac:dyDescent="0.25">
      <c r="E1181" s="2"/>
      <c r="H1181" s="2"/>
    </row>
    <row r="1182" spans="5:8" x14ac:dyDescent="0.25">
      <c r="E1182" s="2"/>
      <c r="H1182" s="2"/>
    </row>
    <row r="1183" spans="5:8" x14ac:dyDescent="0.25">
      <c r="E1183" s="2"/>
      <c r="H1183" s="2"/>
    </row>
    <row r="1184" spans="5:8" x14ac:dyDescent="0.25">
      <c r="E1184" s="2"/>
      <c r="H1184" s="2"/>
    </row>
    <row r="1185" spans="5:8" x14ac:dyDescent="0.25">
      <c r="E1185" s="2"/>
      <c r="H1185" s="2"/>
    </row>
    <row r="1186" spans="5:8" x14ac:dyDescent="0.25">
      <c r="E1186" s="2"/>
      <c r="H1186" s="2"/>
    </row>
    <row r="1187" spans="5:8" x14ac:dyDescent="0.25">
      <c r="E1187" s="2"/>
      <c r="H1187" s="2"/>
    </row>
    <row r="1188" spans="5:8" x14ac:dyDescent="0.25">
      <c r="E1188" s="2"/>
      <c r="H1188" s="2"/>
    </row>
    <row r="1189" spans="5:8" x14ac:dyDescent="0.25">
      <c r="E1189" s="2"/>
      <c r="H1189" s="2"/>
    </row>
    <row r="1190" spans="5:8" x14ac:dyDescent="0.25">
      <c r="E1190" s="2"/>
      <c r="H1190" s="2"/>
    </row>
    <row r="1191" spans="5:8" x14ac:dyDescent="0.25">
      <c r="E1191" s="2"/>
      <c r="H1191" s="2"/>
    </row>
    <row r="1192" spans="5:8" x14ac:dyDescent="0.25">
      <c r="E1192" s="2"/>
      <c r="H1192" s="2"/>
    </row>
    <row r="1193" spans="5:8" x14ac:dyDescent="0.25">
      <c r="E1193" s="2"/>
      <c r="H1193" s="2"/>
    </row>
    <row r="1194" spans="5:8" x14ac:dyDescent="0.25">
      <c r="E1194" s="2"/>
      <c r="H1194" s="2"/>
    </row>
    <row r="1195" spans="5:8" x14ac:dyDescent="0.25">
      <c r="E1195" s="2"/>
      <c r="H1195" s="2"/>
    </row>
    <row r="1196" spans="5:8" x14ac:dyDescent="0.25">
      <c r="E1196" s="2"/>
      <c r="H1196" s="2"/>
    </row>
    <row r="1197" spans="5:8" x14ac:dyDescent="0.25">
      <c r="E1197" s="2"/>
      <c r="H1197" s="2"/>
    </row>
    <row r="1198" spans="5:8" x14ac:dyDescent="0.25">
      <c r="E1198" s="2"/>
      <c r="H1198" s="2"/>
    </row>
    <row r="1199" spans="5:8" x14ac:dyDescent="0.25">
      <c r="E1199" s="2"/>
      <c r="H1199" s="2"/>
    </row>
    <row r="1200" spans="5:8" x14ac:dyDescent="0.25">
      <c r="E1200" s="2"/>
      <c r="H12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EC47-CAB3-4C76-9894-3007F102F657}">
  <dimension ref="A1:O1200"/>
  <sheetViews>
    <sheetView tabSelected="1" workbookViewId="0">
      <selection activeCell="N7" sqref="N7"/>
    </sheetView>
  </sheetViews>
  <sheetFormatPr defaultRowHeight="15" x14ac:dyDescent="0.25"/>
  <cols>
    <col min="1" max="1" width="41.42578125" bestFit="1" customWidth="1"/>
    <col min="2" max="2" width="14.140625" bestFit="1" customWidth="1"/>
    <col min="3" max="3" width="15.140625" bestFit="1" customWidth="1"/>
    <col min="4" max="4" width="11.85546875" bestFit="1" customWidth="1"/>
    <col min="5" max="5" width="13.85546875" bestFit="1" customWidth="1"/>
    <col min="6" max="6" width="9.7109375" bestFit="1" customWidth="1"/>
    <col min="7" max="7" width="14.140625" bestFit="1" customWidth="1"/>
    <col min="8" max="8" width="13.42578125" bestFit="1" customWidth="1"/>
    <col min="9" max="9" width="13.140625" bestFit="1" customWidth="1"/>
    <col min="10" max="11" width="12" bestFit="1" customWidth="1"/>
    <col min="12" max="12" width="11" bestFit="1" customWidth="1"/>
    <col min="13" max="13" width="15.28515625" bestFit="1" customWidth="1"/>
    <col min="14" max="14" width="13.42578125" bestFit="1" customWidth="1"/>
    <col min="15" max="15" width="56.28515625" bestFit="1" customWidth="1"/>
  </cols>
  <sheetData>
    <row r="1" spans="1:15" x14ac:dyDescent="0.25">
      <c r="A1" t="str">
        <f>'WP by State &amp; Segment'!A1</f>
        <v>Insurer NJ Umbrella</v>
      </c>
    </row>
    <row r="2" spans="1:15" x14ac:dyDescent="0.25">
      <c r="A2" t="str">
        <f>'WP by State &amp; Segment'!A2</f>
        <v>Umbrella Excess of Loss reinsurance program</v>
      </c>
    </row>
    <row r="3" spans="1:15" x14ac:dyDescent="0.25">
      <c r="A3" t="str">
        <f>'WP by State &amp; Segment'!A3</f>
        <v>Effective: 04/01/2024</v>
      </c>
    </row>
    <row r="4" spans="1:15" x14ac:dyDescent="0.25">
      <c r="A4" t="str">
        <f>'WP by State &amp; Segment'!A4</f>
        <v>Data as of: 11/30/2023</v>
      </c>
    </row>
    <row r="6" spans="1:15" x14ac:dyDescent="0.25">
      <c r="A6" t="s">
        <v>92</v>
      </c>
    </row>
    <row r="7" spans="1:15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77</v>
      </c>
    </row>
    <row r="8" spans="1:15" x14ac:dyDescent="0.25">
      <c r="A8" t="s">
        <v>1464</v>
      </c>
      <c r="B8" t="s">
        <v>1465</v>
      </c>
      <c r="C8" t="s">
        <v>1466</v>
      </c>
      <c r="D8" t="s">
        <v>110</v>
      </c>
      <c r="E8" s="2">
        <v>43841</v>
      </c>
      <c r="F8" t="s">
        <v>21</v>
      </c>
      <c r="G8">
        <v>1000000</v>
      </c>
      <c r="H8" s="2">
        <v>43999</v>
      </c>
      <c r="I8">
        <v>2020</v>
      </c>
      <c r="J8">
        <v>2714.1465634797</v>
      </c>
      <c r="K8">
        <v>8046.8434365203002</v>
      </c>
      <c r="L8">
        <v>71539.53</v>
      </c>
      <c r="M8">
        <v>0</v>
      </c>
      <c r="N8">
        <v>82300.52</v>
      </c>
      <c r="O8" t="s">
        <v>1467</v>
      </c>
    </row>
    <row r="9" spans="1:15" x14ac:dyDescent="0.25">
      <c r="A9" t="s">
        <v>1468</v>
      </c>
      <c r="B9" t="s">
        <v>1469</v>
      </c>
      <c r="C9" t="s">
        <v>1470</v>
      </c>
      <c r="D9" t="s">
        <v>110</v>
      </c>
      <c r="E9" s="2">
        <v>43868</v>
      </c>
      <c r="F9" t="s">
        <v>51</v>
      </c>
      <c r="G9">
        <v>1000000</v>
      </c>
      <c r="H9" s="2">
        <v>44018</v>
      </c>
      <c r="I9">
        <v>2020</v>
      </c>
      <c r="J9">
        <v>3735.6033000284901</v>
      </c>
      <c r="K9">
        <v>13809.5766999715</v>
      </c>
      <c r="L9">
        <v>84563.23</v>
      </c>
      <c r="M9">
        <v>0</v>
      </c>
      <c r="N9">
        <v>102108.41</v>
      </c>
      <c r="O9" t="s">
        <v>1471</v>
      </c>
    </row>
    <row r="10" spans="1:15" x14ac:dyDescent="0.25">
      <c r="A10" t="s">
        <v>1472</v>
      </c>
      <c r="B10" t="s">
        <v>1473</v>
      </c>
      <c r="C10" t="s">
        <v>1474</v>
      </c>
      <c r="D10" t="s">
        <v>110</v>
      </c>
      <c r="E10" s="2">
        <v>43883</v>
      </c>
      <c r="F10" t="s">
        <v>29</v>
      </c>
      <c r="G10">
        <v>5000000</v>
      </c>
      <c r="H10" s="2">
        <v>44034</v>
      </c>
      <c r="I10">
        <v>2020</v>
      </c>
      <c r="J10">
        <v>2156.79212244991</v>
      </c>
      <c r="K10">
        <v>7579.1378775500898</v>
      </c>
      <c r="L10">
        <v>80104.960000000006</v>
      </c>
      <c r="M10">
        <v>0</v>
      </c>
      <c r="N10">
        <v>89840.89</v>
      </c>
      <c r="O10" t="s">
        <v>1475</v>
      </c>
    </row>
    <row r="11" spans="1:15" x14ac:dyDescent="0.25">
      <c r="A11" t="s">
        <v>1476</v>
      </c>
      <c r="B11" t="s">
        <v>1477</v>
      </c>
      <c r="C11" t="s">
        <v>1478</v>
      </c>
      <c r="D11" t="s">
        <v>110</v>
      </c>
      <c r="E11" s="2">
        <v>44007</v>
      </c>
      <c r="F11" t="s">
        <v>17</v>
      </c>
      <c r="G11">
        <v>1000000</v>
      </c>
      <c r="H11" s="2">
        <v>44031</v>
      </c>
      <c r="I11">
        <v>2020</v>
      </c>
      <c r="J11">
        <v>4039.2197748519002</v>
      </c>
      <c r="K11">
        <v>9673.9002251480997</v>
      </c>
      <c r="L11">
        <v>120166.86</v>
      </c>
      <c r="M11">
        <v>0</v>
      </c>
      <c r="N11">
        <v>133879.98000000001</v>
      </c>
      <c r="O11" t="s">
        <v>1479</v>
      </c>
    </row>
    <row r="12" spans="1:15" x14ac:dyDescent="0.25">
      <c r="A12" t="s">
        <v>1480</v>
      </c>
      <c r="B12" t="s">
        <v>1481</v>
      </c>
      <c r="C12" t="s">
        <v>1482</v>
      </c>
      <c r="D12" t="s">
        <v>110</v>
      </c>
      <c r="E12" s="2">
        <v>43932</v>
      </c>
      <c r="F12" t="s">
        <v>22</v>
      </c>
      <c r="G12">
        <v>1000000</v>
      </c>
      <c r="H12" s="2">
        <v>43960</v>
      </c>
      <c r="I12">
        <v>2020</v>
      </c>
      <c r="J12">
        <v>3224.8394398058599</v>
      </c>
      <c r="K12">
        <v>7555.9505601941401</v>
      </c>
      <c r="L12">
        <v>58734.46</v>
      </c>
      <c r="M12">
        <v>0</v>
      </c>
      <c r="N12">
        <v>69515.25</v>
      </c>
      <c r="O12" t="s">
        <v>240</v>
      </c>
    </row>
    <row r="13" spans="1:15" x14ac:dyDescent="0.25">
      <c r="A13" t="s">
        <v>1483</v>
      </c>
      <c r="B13" t="s">
        <v>1484</v>
      </c>
      <c r="C13" t="s">
        <v>1485</v>
      </c>
      <c r="D13" t="s">
        <v>110</v>
      </c>
      <c r="E13" s="2">
        <v>43962</v>
      </c>
      <c r="F13" t="s">
        <v>17</v>
      </c>
      <c r="G13">
        <v>1000000</v>
      </c>
      <c r="H13" s="2">
        <v>43977</v>
      </c>
      <c r="I13">
        <v>2020</v>
      </c>
      <c r="J13">
        <v>7922.3268217904397</v>
      </c>
      <c r="K13">
        <v>20821.563178209599</v>
      </c>
      <c r="L13">
        <v>102224.33</v>
      </c>
      <c r="M13">
        <v>0</v>
      </c>
      <c r="N13">
        <v>130968.22</v>
      </c>
      <c r="O13" t="s">
        <v>233</v>
      </c>
    </row>
    <row r="14" spans="1:15" x14ac:dyDescent="0.25">
      <c r="A14" t="s">
        <v>1486</v>
      </c>
      <c r="B14" t="s">
        <v>1487</v>
      </c>
      <c r="C14" t="s">
        <v>1488</v>
      </c>
      <c r="D14" t="s">
        <v>110</v>
      </c>
      <c r="E14" s="2">
        <v>43887</v>
      </c>
      <c r="F14" t="s">
        <v>34</v>
      </c>
      <c r="G14">
        <v>1000000</v>
      </c>
      <c r="H14" s="2">
        <v>44061</v>
      </c>
      <c r="I14">
        <v>2020</v>
      </c>
      <c r="J14">
        <v>4413.1164302126799</v>
      </c>
      <c r="K14">
        <v>12768.073569787301</v>
      </c>
      <c r="L14">
        <v>130137.98</v>
      </c>
      <c r="M14">
        <v>0</v>
      </c>
      <c r="N14">
        <v>147319.17000000001</v>
      </c>
      <c r="O14" t="s">
        <v>1479</v>
      </c>
    </row>
    <row r="15" spans="1:15" x14ac:dyDescent="0.25">
      <c r="A15" t="s">
        <v>1489</v>
      </c>
      <c r="B15" t="s">
        <v>1490</v>
      </c>
      <c r="C15" t="s">
        <v>1491</v>
      </c>
      <c r="D15" t="s">
        <v>110</v>
      </c>
      <c r="E15" s="2">
        <v>43876</v>
      </c>
      <c r="F15" t="s">
        <v>15</v>
      </c>
      <c r="G15">
        <v>1000000</v>
      </c>
      <c r="H15" s="2">
        <v>44086</v>
      </c>
      <c r="I15">
        <v>2020</v>
      </c>
      <c r="J15">
        <v>8855.2641011618798</v>
      </c>
      <c r="K15">
        <v>29379.9058988381</v>
      </c>
      <c r="L15">
        <v>136157.35</v>
      </c>
      <c r="M15">
        <v>0</v>
      </c>
      <c r="N15">
        <v>174392.52</v>
      </c>
      <c r="O15" t="s">
        <v>1492</v>
      </c>
    </row>
    <row r="16" spans="1:15" x14ac:dyDescent="0.25">
      <c r="A16" t="s">
        <v>1493</v>
      </c>
      <c r="B16" t="s">
        <v>1494</v>
      </c>
      <c r="C16" t="s">
        <v>1495</v>
      </c>
      <c r="D16" t="s">
        <v>734</v>
      </c>
      <c r="E16" s="2">
        <v>43864</v>
      </c>
      <c r="F16" t="s">
        <v>45</v>
      </c>
      <c r="G16">
        <v>1000000</v>
      </c>
      <c r="H16" s="2">
        <v>44121</v>
      </c>
      <c r="I16">
        <v>2020</v>
      </c>
      <c r="J16">
        <v>4898.4861543654697</v>
      </c>
      <c r="K16">
        <v>12192.7938456345</v>
      </c>
      <c r="L16">
        <v>86448.08</v>
      </c>
      <c r="M16">
        <v>9225.25</v>
      </c>
      <c r="N16">
        <v>112764.61</v>
      </c>
      <c r="O16" t="s">
        <v>1496</v>
      </c>
    </row>
    <row r="17" spans="1:15" x14ac:dyDescent="0.25">
      <c r="A17" t="s">
        <v>1497</v>
      </c>
      <c r="B17" t="s">
        <v>1498</v>
      </c>
      <c r="C17" t="s">
        <v>1499</v>
      </c>
      <c r="D17" t="s">
        <v>110</v>
      </c>
      <c r="E17" s="2">
        <v>43839</v>
      </c>
      <c r="F17" t="s">
        <v>41</v>
      </c>
      <c r="G17">
        <v>5000000</v>
      </c>
      <c r="H17" s="2">
        <v>44119</v>
      </c>
      <c r="I17">
        <v>2020</v>
      </c>
      <c r="J17">
        <v>23021.692708616501</v>
      </c>
      <c r="K17">
        <v>60695.667291383499</v>
      </c>
      <c r="L17">
        <v>325236.15999999997</v>
      </c>
      <c r="M17">
        <v>0</v>
      </c>
      <c r="N17">
        <v>408953.52</v>
      </c>
      <c r="O17" t="s">
        <v>1500</v>
      </c>
    </row>
    <row r="18" spans="1:15" x14ac:dyDescent="0.25">
      <c r="A18" t="s">
        <v>1501</v>
      </c>
      <c r="B18" t="s">
        <v>1502</v>
      </c>
      <c r="C18" t="s">
        <v>1503</v>
      </c>
      <c r="D18" t="s">
        <v>110</v>
      </c>
      <c r="E18" s="2">
        <v>43859</v>
      </c>
      <c r="F18" t="s">
        <v>9</v>
      </c>
      <c r="G18">
        <v>5000000</v>
      </c>
      <c r="H18" s="2">
        <v>44141</v>
      </c>
      <c r="I18">
        <v>2020</v>
      </c>
      <c r="J18">
        <v>7862.1024691596003</v>
      </c>
      <c r="K18">
        <v>19487.7875308404</v>
      </c>
      <c r="L18">
        <v>99973.07</v>
      </c>
      <c r="M18">
        <v>0</v>
      </c>
      <c r="N18">
        <v>127322.96</v>
      </c>
      <c r="O18" t="s">
        <v>233</v>
      </c>
    </row>
    <row r="19" spans="1:15" x14ac:dyDescent="0.25">
      <c r="A19" t="s">
        <v>1504</v>
      </c>
      <c r="B19" t="s">
        <v>1505</v>
      </c>
      <c r="C19" t="s">
        <v>1506</v>
      </c>
      <c r="D19" t="s">
        <v>110</v>
      </c>
      <c r="E19" s="2">
        <v>43968</v>
      </c>
      <c r="F19" t="s">
        <v>21</v>
      </c>
      <c r="G19">
        <v>1000000</v>
      </c>
      <c r="H19" s="2">
        <v>44171</v>
      </c>
      <c r="I19">
        <v>2020</v>
      </c>
      <c r="J19">
        <v>32263.938021333801</v>
      </c>
      <c r="K19">
        <v>78408.211978666193</v>
      </c>
      <c r="L19">
        <v>483876.28</v>
      </c>
      <c r="M19">
        <v>0</v>
      </c>
      <c r="N19">
        <v>594548.43000000005</v>
      </c>
      <c r="O19" t="s">
        <v>1507</v>
      </c>
    </row>
    <row r="20" spans="1:15" x14ac:dyDescent="0.25">
      <c r="A20" t="s">
        <v>1508</v>
      </c>
      <c r="B20" t="s">
        <v>1509</v>
      </c>
      <c r="C20" t="s">
        <v>1510</v>
      </c>
      <c r="D20" t="s">
        <v>110</v>
      </c>
      <c r="E20" s="2">
        <v>43895</v>
      </c>
      <c r="F20" t="s">
        <v>45</v>
      </c>
      <c r="G20">
        <v>3000000</v>
      </c>
      <c r="H20" s="2">
        <v>44146</v>
      </c>
      <c r="I20">
        <v>2020</v>
      </c>
      <c r="J20">
        <v>4207.8269089932101</v>
      </c>
      <c r="K20">
        <v>16643.963091006801</v>
      </c>
      <c r="L20">
        <v>197922.84</v>
      </c>
      <c r="M20">
        <v>0</v>
      </c>
      <c r="N20">
        <v>218774.63</v>
      </c>
      <c r="O20" t="s">
        <v>115</v>
      </c>
    </row>
    <row r="21" spans="1:15" x14ac:dyDescent="0.25">
      <c r="A21" t="s">
        <v>1511</v>
      </c>
      <c r="B21" t="s">
        <v>1512</v>
      </c>
      <c r="C21" t="s">
        <v>1513</v>
      </c>
      <c r="D21" t="s">
        <v>110</v>
      </c>
      <c r="E21" s="2">
        <v>43867</v>
      </c>
      <c r="F21" t="s">
        <v>30</v>
      </c>
      <c r="G21">
        <v>5000000</v>
      </c>
      <c r="H21" s="2">
        <v>44179</v>
      </c>
      <c r="I21">
        <v>2020</v>
      </c>
      <c r="J21">
        <v>10555.097759833199</v>
      </c>
      <c r="K21">
        <v>30111.302240166799</v>
      </c>
      <c r="L21">
        <v>284580.90999999997</v>
      </c>
      <c r="M21">
        <v>0</v>
      </c>
      <c r="N21">
        <v>325247.31</v>
      </c>
      <c r="O21" t="s">
        <v>1514</v>
      </c>
    </row>
    <row r="22" spans="1:15" x14ac:dyDescent="0.25">
      <c r="A22" t="s">
        <v>1515</v>
      </c>
      <c r="B22" t="s">
        <v>1516</v>
      </c>
      <c r="C22" t="s">
        <v>1517</v>
      </c>
      <c r="D22" t="s">
        <v>110</v>
      </c>
      <c r="E22" s="2">
        <v>44092</v>
      </c>
      <c r="F22" t="s">
        <v>52</v>
      </c>
      <c r="G22">
        <v>5000000</v>
      </c>
      <c r="H22" s="2">
        <v>44147</v>
      </c>
      <c r="I22">
        <v>2020</v>
      </c>
      <c r="J22">
        <v>2579.41568215083</v>
      </c>
      <c r="K22">
        <v>7300.0043178491696</v>
      </c>
      <c r="L22">
        <v>57430.55</v>
      </c>
      <c r="M22">
        <v>0</v>
      </c>
      <c r="N22">
        <v>67309.97</v>
      </c>
      <c r="O22" t="s">
        <v>240</v>
      </c>
    </row>
    <row r="23" spans="1:15" x14ac:dyDescent="0.25">
      <c r="A23" t="s">
        <v>1518</v>
      </c>
      <c r="B23" t="s">
        <v>1519</v>
      </c>
      <c r="C23" t="s">
        <v>1520</v>
      </c>
      <c r="D23" t="s">
        <v>110</v>
      </c>
      <c r="E23" s="2">
        <v>43928</v>
      </c>
      <c r="F23" t="s">
        <v>17</v>
      </c>
      <c r="G23">
        <v>2000000</v>
      </c>
      <c r="H23" s="2">
        <v>44218</v>
      </c>
      <c r="I23">
        <v>2021</v>
      </c>
      <c r="J23">
        <v>4025.4375255599398</v>
      </c>
      <c r="K23">
        <v>10041.472474440099</v>
      </c>
      <c r="L23">
        <v>111982.28</v>
      </c>
      <c r="M23">
        <v>0</v>
      </c>
      <c r="N23">
        <v>126049.19</v>
      </c>
      <c r="O23" t="s">
        <v>1521</v>
      </c>
    </row>
    <row r="24" spans="1:15" x14ac:dyDescent="0.25">
      <c r="A24" t="s">
        <v>1522</v>
      </c>
      <c r="B24" t="s">
        <v>1523</v>
      </c>
      <c r="C24" t="s">
        <v>1524</v>
      </c>
      <c r="D24" t="s">
        <v>110</v>
      </c>
      <c r="E24" s="2">
        <v>43995</v>
      </c>
      <c r="F24" t="s">
        <v>12</v>
      </c>
      <c r="G24">
        <v>2000000</v>
      </c>
      <c r="H24" s="2">
        <v>44126</v>
      </c>
      <c r="I24">
        <v>2020</v>
      </c>
      <c r="J24">
        <v>4837.5380777617702</v>
      </c>
      <c r="K24">
        <v>17564.211922238199</v>
      </c>
      <c r="L24">
        <v>77300.960000000006</v>
      </c>
      <c r="M24">
        <v>0</v>
      </c>
      <c r="N24">
        <v>99702.71</v>
      </c>
      <c r="O24" t="s">
        <v>1475</v>
      </c>
    </row>
    <row r="25" spans="1:15" x14ac:dyDescent="0.25">
      <c r="A25" t="s">
        <v>1525</v>
      </c>
      <c r="B25" t="s">
        <v>1526</v>
      </c>
      <c r="C25" t="s">
        <v>1527</v>
      </c>
      <c r="D25" t="s">
        <v>110</v>
      </c>
      <c r="E25" s="2">
        <v>44037</v>
      </c>
      <c r="F25" t="s">
        <v>31</v>
      </c>
      <c r="G25">
        <v>1000000</v>
      </c>
      <c r="H25" s="2">
        <v>44199</v>
      </c>
      <c r="I25">
        <v>2021</v>
      </c>
      <c r="J25">
        <v>4911.7119409656698</v>
      </c>
      <c r="K25">
        <v>12926.0780590343</v>
      </c>
      <c r="L25">
        <v>67689.98</v>
      </c>
      <c r="M25">
        <v>0</v>
      </c>
      <c r="N25">
        <v>85527.77</v>
      </c>
      <c r="O25" t="s">
        <v>1528</v>
      </c>
    </row>
    <row r="26" spans="1:15" x14ac:dyDescent="0.25">
      <c r="A26" t="s">
        <v>1529</v>
      </c>
      <c r="B26" t="s">
        <v>1530</v>
      </c>
      <c r="C26" t="s">
        <v>1531</v>
      </c>
      <c r="D26" t="s">
        <v>110</v>
      </c>
      <c r="E26" s="2">
        <v>43973</v>
      </c>
      <c r="F26" t="s">
        <v>50</v>
      </c>
      <c r="G26">
        <v>1000000</v>
      </c>
      <c r="H26" s="2">
        <v>44074</v>
      </c>
      <c r="I26">
        <v>2020</v>
      </c>
      <c r="J26">
        <v>5982.5157832307996</v>
      </c>
      <c r="K26">
        <v>14830.824216769201</v>
      </c>
      <c r="L26">
        <v>70365.710000000006</v>
      </c>
      <c r="M26">
        <v>0</v>
      </c>
      <c r="N26">
        <v>91179.05</v>
      </c>
      <c r="O26" t="s">
        <v>1467</v>
      </c>
    </row>
    <row r="27" spans="1:15" x14ac:dyDescent="0.25">
      <c r="A27" t="s">
        <v>1532</v>
      </c>
      <c r="B27" t="s">
        <v>1533</v>
      </c>
      <c r="C27" t="s">
        <v>1534</v>
      </c>
      <c r="D27" t="s">
        <v>110</v>
      </c>
      <c r="E27" s="2">
        <v>43894</v>
      </c>
      <c r="F27" t="s">
        <v>45</v>
      </c>
      <c r="G27">
        <v>1000000</v>
      </c>
      <c r="H27" s="2">
        <v>44119</v>
      </c>
      <c r="I27">
        <v>2020</v>
      </c>
      <c r="J27">
        <v>20325.400929724801</v>
      </c>
      <c r="K27">
        <v>80411.429070275204</v>
      </c>
      <c r="L27">
        <v>583553.53</v>
      </c>
      <c r="M27">
        <v>0</v>
      </c>
      <c r="N27">
        <v>684290.36</v>
      </c>
      <c r="O27" t="s">
        <v>131</v>
      </c>
    </row>
    <row r="28" spans="1:15" x14ac:dyDescent="0.25">
      <c r="A28" t="s">
        <v>1535</v>
      </c>
      <c r="B28" t="s">
        <v>1536</v>
      </c>
      <c r="C28" t="s">
        <v>1537</v>
      </c>
      <c r="D28" t="s">
        <v>110</v>
      </c>
      <c r="E28" s="2">
        <v>43995</v>
      </c>
      <c r="F28" t="s">
        <v>55</v>
      </c>
      <c r="G28">
        <v>1000000</v>
      </c>
      <c r="H28" s="2">
        <v>44277</v>
      </c>
      <c r="I28">
        <v>2021</v>
      </c>
      <c r="J28">
        <v>5566.0646373315503</v>
      </c>
      <c r="K28">
        <v>17733.795362668399</v>
      </c>
      <c r="L28">
        <v>132056.92000000001</v>
      </c>
      <c r="M28">
        <v>0</v>
      </c>
      <c r="N28">
        <v>155356.78</v>
      </c>
      <c r="O28" t="s">
        <v>1492</v>
      </c>
    </row>
    <row r="29" spans="1:15" x14ac:dyDescent="0.25">
      <c r="A29" t="s">
        <v>1538</v>
      </c>
      <c r="B29" t="s">
        <v>1539</v>
      </c>
      <c r="C29" t="s">
        <v>1540</v>
      </c>
      <c r="D29" t="s">
        <v>110</v>
      </c>
      <c r="E29" s="2">
        <v>44100</v>
      </c>
      <c r="F29" t="s">
        <v>55</v>
      </c>
      <c r="G29">
        <v>1000000</v>
      </c>
      <c r="H29" s="2">
        <v>44250</v>
      </c>
      <c r="I29">
        <v>2021</v>
      </c>
      <c r="J29">
        <v>1773.5083240972399</v>
      </c>
      <c r="K29">
        <v>6181.5016759027603</v>
      </c>
      <c r="L29">
        <v>75486.92</v>
      </c>
      <c r="M29">
        <v>0</v>
      </c>
      <c r="N29">
        <v>83441.929999999993</v>
      </c>
      <c r="O29" t="s">
        <v>1467</v>
      </c>
    </row>
    <row r="30" spans="1:15" x14ac:dyDescent="0.25">
      <c r="A30" t="s">
        <v>1541</v>
      </c>
      <c r="B30" t="s">
        <v>1542</v>
      </c>
      <c r="C30" t="s">
        <v>1543</v>
      </c>
      <c r="D30" t="s">
        <v>110</v>
      </c>
      <c r="E30" s="2">
        <v>44021</v>
      </c>
      <c r="F30" t="s">
        <v>12</v>
      </c>
      <c r="G30">
        <v>1000000</v>
      </c>
      <c r="H30" s="2">
        <v>44292</v>
      </c>
      <c r="I30">
        <v>2021</v>
      </c>
      <c r="J30">
        <v>11652.798272259701</v>
      </c>
      <c r="K30">
        <v>36751.9917277403</v>
      </c>
      <c r="L30">
        <v>278805.21999999997</v>
      </c>
      <c r="M30">
        <v>0</v>
      </c>
      <c r="N30">
        <v>327210.01</v>
      </c>
      <c r="O30" t="s">
        <v>1514</v>
      </c>
    </row>
    <row r="31" spans="1:15" x14ac:dyDescent="0.25">
      <c r="A31" t="s">
        <v>1544</v>
      </c>
      <c r="B31" t="s">
        <v>1545</v>
      </c>
      <c r="C31" t="s">
        <v>1546</v>
      </c>
      <c r="D31" t="s">
        <v>110</v>
      </c>
      <c r="E31" s="2">
        <v>43895</v>
      </c>
      <c r="F31" t="s">
        <v>13</v>
      </c>
      <c r="G31">
        <v>10000000</v>
      </c>
      <c r="H31" s="2">
        <v>44209</v>
      </c>
      <c r="I31">
        <v>2021</v>
      </c>
      <c r="J31">
        <v>8106.43950635901</v>
      </c>
      <c r="K31">
        <v>28731.020493641001</v>
      </c>
      <c r="L31">
        <v>342150.76</v>
      </c>
      <c r="M31">
        <v>0</v>
      </c>
      <c r="N31">
        <v>378988.22</v>
      </c>
      <c r="O31" t="s">
        <v>1500</v>
      </c>
    </row>
    <row r="32" spans="1:15" x14ac:dyDescent="0.25">
      <c r="A32" t="s">
        <v>1547</v>
      </c>
      <c r="B32" t="s">
        <v>1548</v>
      </c>
      <c r="C32" t="s">
        <v>1549</v>
      </c>
      <c r="D32" t="s">
        <v>110</v>
      </c>
      <c r="E32" s="2">
        <v>44240</v>
      </c>
      <c r="F32" t="s">
        <v>55</v>
      </c>
      <c r="G32">
        <v>1000000</v>
      </c>
      <c r="H32" s="2">
        <v>44299</v>
      </c>
      <c r="I32">
        <v>2021</v>
      </c>
      <c r="J32">
        <v>5139.8173691376396</v>
      </c>
      <c r="K32">
        <v>13888.0726308624</v>
      </c>
      <c r="L32">
        <v>80672.95</v>
      </c>
      <c r="M32">
        <v>0</v>
      </c>
      <c r="N32">
        <v>99700.84</v>
      </c>
      <c r="O32" t="s">
        <v>1475</v>
      </c>
    </row>
    <row r="33" spans="1:15" x14ac:dyDescent="0.25">
      <c r="A33" t="s">
        <v>1550</v>
      </c>
      <c r="B33" t="s">
        <v>1551</v>
      </c>
      <c r="C33" t="s">
        <v>1552</v>
      </c>
      <c r="D33" t="s">
        <v>110</v>
      </c>
      <c r="E33" s="2">
        <v>44237</v>
      </c>
      <c r="F33" t="s">
        <v>22</v>
      </c>
      <c r="G33">
        <v>1000000</v>
      </c>
      <c r="H33" s="2">
        <v>44275</v>
      </c>
      <c r="I33">
        <v>2021</v>
      </c>
      <c r="J33">
        <v>10278.6755667298</v>
      </c>
      <c r="K33">
        <v>37598.254433270202</v>
      </c>
      <c r="L33">
        <v>209466.17</v>
      </c>
      <c r="M33">
        <v>0</v>
      </c>
      <c r="N33">
        <v>257343.1</v>
      </c>
      <c r="O33" t="s">
        <v>115</v>
      </c>
    </row>
    <row r="34" spans="1:15" x14ac:dyDescent="0.25">
      <c r="A34" t="s">
        <v>1553</v>
      </c>
      <c r="B34" t="s">
        <v>1554</v>
      </c>
      <c r="C34" t="s">
        <v>1555</v>
      </c>
      <c r="D34" t="s">
        <v>110</v>
      </c>
      <c r="E34" s="2">
        <v>44202</v>
      </c>
      <c r="F34" t="s">
        <v>42</v>
      </c>
      <c r="G34">
        <v>4000000</v>
      </c>
      <c r="H34" s="2">
        <v>44326</v>
      </c>
      <c r="I34">
        <v>2021</v>
      </c>
      <c r="J34">
        <v>4974.1977473721699</v>
      </c>
      <c r="K34">
        <v>14906.3222526278</v>
      </c>
      <c r="L34">
        <v>107347.44</v>
      </c>
      <c r="M34">
        <v>0</v>
      </c>
      <c r="N34">
        <v>127227.96</v>
      </c>
      <c r="O34" t="s">
        <v>233</v>
      </c>
    </row>
    <row r="35" spans="1:15" x14ac:dyDescent="0.25">
      <c r="A35" t="s">
        <v>1556</v>
      </c>
      <c r="B35" t="s">
        <v>1557</v>
      </c>
      <c r="C35" t="s">
        <v>1558</v>
      </c>
      <c r="D35" t="s">
        <v>110</v>
      </c>
      <c r="E35" s="2">
        <v>44274</v>
      </c>
      <c r="F35" t="s">
        <v>18</v>
      </c>
      <c r="G35">
        <v>4000000</v>
      </c>
      <c r="H35" s="2">
        <v>44330</v>
      </c>
      <c r="I35">
        <v>2021</v>
      </c>
      <c r="J35">
        <v>7623.5479342513199</v>
      </c>
      <c r="K35">
        <v>23344.0920657487</v>
      </c>
      <c r="L35">
        <v>176998.36</v>
      </c>
      <c r="M35">
        <v>0</v>
      </c>
      <c r="N35">
        <v>207966</v>
      </c>
      <c r="O35" t="s">
        <v>179</v>
      </c>
    </row>
    <row r="36" spans="1:15" x14ac:dyDescent="0.25">
      <c r="A36" t="s">
        <v>1559</v>
      </c>
      <c r="B36" t="s">
        <v>1560</v>
      </c>
      <c r="C36" t="s">
        <v>1561</v>
      </c>
      <c r="D36" t="s">
        <v>110</v>
      </c>
      <c r="E36" s="2">
        <v>43965</v>
      </c>
      <c r="F36" t="s">
        <v>13</v>
      </c>
      <c r="G36">
        <v>2000000</v>
      </c>
      <c r="H36" s="2">
        <v>44307</v>
      </c>
      <c r="I36">
        <v>2021</v>
      </c>
      <c r="J36">
        <v>3470.8635250607199</v>
      </c>
      <c r="K36">
        <v>10149.606474939301</v>
      </c>
      <c r="L36">
        <v>50422.97</v>
      </c>
      <c r="M36">
        <v>0</v>
      </c>
      <c r="N36">
        <v>64043.44</v>
      </c>
      <c r="O36" t="s">
        <v>1562</v>
      </c>
    </row>
    <row r="37" spans="1:15" x14ac:dyDescent="0.25">
      <c r="A37" t="s">
        <v>1563</v>
      </c>
      <c r="B37" t="s">
        <v>1564</v>
      </c>
      <c r="C37" t="s">
        <v>1565</v>
      </c>
      <c r="D37" t="s">
        <v>110</v>
      </c>
      <c r="E37" s="2">
        <v>43959</v>
      </c>
      <c r="F37" t="s">
        <v>41</v>
      </c>
      <c r="G37">
        <v>1000000</v>
      </c>
      <c r="H37" s="2">
        <v>44277</v>
      </c>
      <c r="I37">
        <v>2021</v>
      </c>
      <c r="J37">
        <v>9032.5537458526906</v>
      </c>
      <c r="K37">
        <v>26511.756254147302</v>
      </c>
      <c r="L37">
        <v>130058.22</v>
      </c>
      <c r="M37">
        <v>0</v>
      </c>
      <c r="N37">
        <v>165602.53</v>
      </c>
      <c r="O37" t="s">
        <v>1479</v>
      </c>
    </row>
    <row r="38" spans="1:15" x14ac:dyDescent="0.25">
      <c r="A38" t="s">
        <v>1566</v>
      </c>
      <c r="B38" t="s">
        <v>1567</v>
      </c>
      <c r="C38" t="s">
        <v>1568</v>
      </c>
      <c r="D38" t="s">
        <v>110</v>
      </c>
      <c r="E38" s="2">
        <v>44268</v>
      </c>
      <c r="F38" t="s">
        <v>30</v>
      </c>
      <c r="G38">
        <v>1000000</v>
      </c>
      <c r="H38" s="2">
        <v>44332</v>
      </c>
      <c r="I38">
        <v>2021</v>
      </c>
      <c r="J38">
        <v>7694.8950235521497</v>
      </c>
      <c r="K38">
        <v>21594.504976447799</v>
      </c>
      <c r="L38">
        <v>106910.29</v>
      </c>
      <c r="M38">
        <v>0</v>
      </c>
      <c r="N38">
        <v>136199.69</v>
      </c>
      <c r="O38" t="s">
        <v>233</v>
      </c>
    </row>
    <row r="39" spans="1:15" x14ac:dyDescent="0.25">
      <c r="A39" t="s">
        <v>1569</v>
      </c>
      <c r="B39" t="s">
        <v>1570</v>
      </c>
      <c r="C39" t="s">
        <v>1571</v>
      </c>
      <c r="D39" t="s">
        <v>110</v>
      </c>
      <c r="E39" s="2">
        <v>44206</v>
      </c>
      <c r="F39" t="s">
        <v>54</v>
      </c>
      <c r="G39">
        <v>1000000</v>
      </c>
      <c r="H39" s="2">
        <v>44274</v>
      </c>
      <c r="I39">
        <v>2021</v>
      </c>
      <c r="J39">
        <v>2905.21271217394</v>
      </c>
      <c r="K39">
        <v>11015.3372878261</v>
      </c>
      <c r="L39">
        <v>97269.62</v>
      </c>
      <c r="M39">
        <v>0</v>
      </c>
      <c r="N39">
        <v>111190.17</v>
      </c>
      <c r="O39" t="s">
        <v>1496</v>
      </c>
    </row>
    <row r="40" spans="1:15" x14ac:dyDescent="0.25">
      <c r="A40" t="s">
        <v>1572</v>
      </c>
      <c r="B40" t="s">
        <v>1573</v>
      </c>
      <c r="C40" t="s">
        <v>1574</v>
      </c>
      <c r="D40" t="s">
        <v>110</v>
      </c>
      <c r="E40" s="2">
        <v>44324</v>
      </c>
      <c r="F40" t="s">
        <v>12</v>
      </c>
      <c r="G40">
        <v>2000000</v>
      </c>
      <c r="H40" s="2">
        <v>44340</v>
      </c>
      <c r="I40">
        <v>2021</v>
      </c>
      <c r="J40">
        <v>3455.5885272987798</v>
      </c>
      <c r="K40">
        <v>13636.121472701199</v>
      </c>
      <c r="L40">
        <v>134243.22</v>
      </c>
      <c r="M40">
        <v>0</v>
      </c>
      <c r="N40">
        <v>151334.93</v>
      </c>
      <c r="O40" t="s">
        <v>1492</v>
      </c>
    </row>
    <row r="41" spans="1:15" x14ac:dyDescent="0.25">
      <c r="A41" t="s">
        <v>1575</v>
      </c>
      <c r="B41" t="s">
        <v>1576</v>
      </c>
      <c r="C41" t="s">
        <v>1577</v>
      </c>
      <c r="D41" t="s">
        <v>110</v>
      </c>
      <c r="E41" s="2">
        <v>44346</v>
      </c>
      <c r="F41" t="s">
        <v>12</v>
      </c>
      <c r="G41">
        <v>1000000</v>
      </c>
      <c r="H41" s="2">
        <v>44355</v>
      </c>
      <c r="I41">
        <v>2021</v>
      </c>
      <c r="J41">
        <v>6477.6280175499496</v>
      </c>
      <c r="K41">
        <v>17708.181982450002</v>
      </c>
      <c r="L41">
        <v>147125.5</v>
      </c>
      <c r="M41">
        <v>0</v>
      </c>
      <c r="N41">
        <v>171311.31</v>
      </c>
      <c r="O41" t="s">
        <v>1578</v>
      </c>
    </row>
    <row r="42" spans="1:15" x14ac:dyDescent="0.25">
      <c r="A42" t="s">
        <v>1579</v>
      </c>
      <c r="B42" t="s">
        <v>1580</v>
      </c>
      <c r="C42" t="s">
        <v>1581</v>
      </c>
      <c r="D42" t="s">
        <v>110</v>
      </c>
      <c r="E42" s="2">
        <v>44197</v>
      </c>
      <c r="F42" t="s">
        <v>41</v>
      </c>
      <c r="G42">
        <v>4000000</v>
      </c>
      <c r="H42" s="2">
        <v>44358</v>
      </c>
      <c r="I42">
        <v>2021</v>
      </c>
      <c r="J42">
        <v>5017.7058512753601</v>
      </c>
      <c r="K42">
        <v>14099.3641487246</v>
      </c>
      <c r="L42">
        <v>121855.13</v>
      </c>
      <c r="M42">
        <v>0</v>
      </c>
      <c r="N42">
        <v>140972.20000000001</v>
      </c>
      <c r="O42" t="s">
        <v>1479</v>
      </c>
    </row>
    <row r="43" spans="1:15" x14ac:dyDescent="0.25">
      <c r="A43" t="s">
        <v>1582</v>
      </c>
      <c r="B43" t="s">
        <v>1583</v>
      </c>
      <c r="C43" t="s">
        <v>1584</v>
      </c>
      <c r="D43" t="s">
        <v>110</v>
      </c>
      <c r="E43" s="2">
        <v>44336</v>
      </c>
      <c r="F43" t="s">
        <v>12</v>
      </c>
      <c r="G43">
        <v>1000000</v>
      </c>
      <c r="H43" s="2">
        <v>44413</v>
      </c>
      <c r="I43">
        <v>2021</v>
      </c>
      <c r="J43">
        <v>3130.40775403207</v>
      </c>
      <c r="K43">
        <v>8321.4722459679306</v>
      </c>
      <c r="L43">
        <v>64739.25</v>
      </c>
      <c r="M43">
        <v>0</v>
      </c>
      <c r="N43">
        <v>76191.13</v>
      </c>
      <c r="O43" t="s">
        <v>1528</v>
      </c>
    </row>
    <row r="44" spans="1:15" x14ac:dyDescent="0.25">
      <c r="A44" t="s">
        <v>1585</v>
      </c>
      <c r="B44" t="s">
        <v>1586</v>
      </c>
      <c r="C44" t="s">
        <v>1587</v>
      </c>
      <c r="D44" t="s">
        <v>110</v>
      </c>
      <c r="E44" s="2">
        <v>44109</v>
      </c>
      <c r="F44" t="s">
        <v>56</v>
      </c>
      <c r="G44">
        <v>1000000</v>
      </c>
      <c r="H44" s="2">
        <v>44276</v>
      </c>
      <c r="I44">
        <v>2021</v>
      </c>
      <c r="J44">
        <v>3062.9409046114702</v>
      </c>
      <c r="K44">
        <v>9148.1390953885293</v>
      </c>
      <c r="L44">
        <v>88775.12</v>
      </c>
      <c r="M44">
        <v>0</v>
      </c>
      <c r="N44">
        <v>100986.2</v>
      </c>
      <c r="O44" t="s">
        <v>1496</v>
      </c>
    </row>
    <row r="45" spans="1:15" x14ac:dyDescent="0.25">
      <c r="A45" t="s">
        <v>1588</v>
      </c>
      <c r="B45" t="s">
        <v>1589</v>
      </c>
      <c r="C45" t="s">
        <v>1590</v>
      </c>
      <c r="D45" t="s">
        <v>110</v>
      </c>
      <c r="E45" s="2">
        <v>44195</v>
      </c>
      <c r="F45" t="s">
        <v>17</v>
      </c>
      <c r="G45">
        <v>1000000</v>
      </c>
      <c r="H45" s="2">
        <v>44336</v>
      </c>
      <c r="I45">
        <v>2021</v>
      </c>
      <c r="J45">
        <v>2469.3451484442999</v>
      </c>
      <c r="K45">
        <v>6785.4648515557001</v>
      </c>
      <c r="L45">
        <v>53379.71</v>
      </c>
      <c r="M45">
        <v>0</v>
      </c>
      <c r="N45">
        <v>62634.52</v>
      </c>
      <c r="O45" t="s">
        <v>1562</v>
      </c>
    </row>
    <row r="46" spans="1:15" x14ac:dyDescent="0.25">
      <c r="A46" t="s">
        <v>1591</v>
      </c>
      <c r="B46" t="s">
        <v>1592</v>
      </c>
      <c r="C46" t="s">
        <v>1593</v>
      </c>
      <c r="D46" t="s">
        <v>110</v>
      </c>
      <c r="E46" s="2">
        <v>44413</v>
      </c>
      <c r="F46" t="s">
        <v>34</v>
      </c>
      <c r="G46">
        <v>3000000</v>
      </c>
      <c r="H46" s="2">
        <v>44417</v>
      </c>
      <c r="I46">
        <v>2021</v>
      </c>
      <c r="J46">
        <v>8090.20884209835</v>
      </c>
      <c r="K46">
        <v>22739.761157901699</v>
      </c>
      <c r="L46">
        <v>128335.87</v>
      </c>
      <c r="M46">
        <v>0</v>
      </c>
      <c r="N46">
        <v>159165.84</v>
      </c>
      <c r="O46" t="s">
        <v>1479</v>
      </c>
    </row>
    <row r="47" spans="1:15" x14ac:dyDescent="0.25">
      <c r="A47" t="s">
        <v>1594</v>
      </c>
      <c r="B47" t="s">
        <v>1595</v>
      </c>
      <c r="C47" t="s">
        <v>1596</v>
      </c>
      <c r="D47" t="s">
        <v>110</v>
      </c>
      <c r="E47" s="2">
        <v>44110</v>
      </c>
      <c r="F47" t="s">
        <v>50</v>
      </c>
      <c r="G47">
        <v>1000000</v>
      </c>
      <c r="H47" s="2">
        <v>44429</v>
      </c>
      <c r="I47">
        <v>2021</v>
      </c>
      <c r="J47">
        <v>3108.9507401420101</v>
      </c>
      <c r="K47">
        <v>12105.539259858</v>
      </c>
      <c r="L47">
        <v>51738.66</v>
      </c>
      <c r="M47">
        <v>0</v>
      </c>
      <c r="N47">
        <v>66953.149999999994</v>
      </c>
      <c r="O47" t="s">
        <v>1562</v>
      </c>
    </row>
    <row r="48" spans="1:15" x14ac:dyDescent="0.25">
      <c r="A48" t="s">
        <v>1597</v>
      </c>
      <c r="B48" t="s">
        <v>1598</v>
      </c>
      <c r="C48" t="s">
        <v>1599</v>
      </c>
      <c r="D48" t="s">
        <v>110</v>
      </c>
      <c r="E48" s="2">
        <v>44349</v>
      </c>
      <c r="F48" t="s">
        <v>50</v>
      </c>
      <c r="G48">
        <v>1000000</v>
      </c>
      <c r="H48" s="2">
        <v>44402</v>
      </c>
      <c r="I48">
        <v>2021</v>
      </c>
      <c r="J48">
        <v>6680.4170655739399</v>
      </c>
      <c r="K48">
        <v>26552.872934426101</v>
      </c>
      <c r="L48">
        <v>159162.63</v>
      </c>
      <c r="M48">
        <v>0</v>
      </c>
      <c r="N48">
        <v>192395.92</v>
      </c>
      <c r="O48" t="s">
        <v>1578</v>
      </c>
    </row>
    <row r="49" spans="1:15" x14ac:dyDescent="0.25">
      <c r="A49" t="s">
        <v>1600</v>
      </c>
      <c r="B49" t="s">
        <v>1601</v>
      </c>
      <c r="C49" t="s">
        <v>1602</v>
      </c>
      <c r="D49" t="s">
        <v>110</v>
      </c>
      <c r="E49" s="2">
        <v>44005</v>
      </c>
      <c r="F49" t="s">
        <v>30</v>
      </c>
      <c r="G49">
        <v>10000000</v>
      </c>
      <c r="H49" s="2">
        <v>44364</v>
      </c>
      <c r="I49">
        <v>2021</v>
      </c>
      <c r="J49">
        <v>7993.23486396308</v>
      </c>
      <c r="K49">
        <v>19797.2751360369</v>
      </c>
      <c r="L49">
        <v>254785.03</v>
      </c>
      <c r="M49">
        <v>0</v>
      </c>
      <c r="N49">
        <v>282575.53999999998</v>
      </c>
      <c r="O49" t="s">
        <v>1514</v>
      </c>
    </row>
    <row r="50" spans="1:15" x14ac:dyDescent="0.25">
      <c r="A50" t="s">
        <v>1603</v>
      </c>
      <c r="B50" t="s">
        <v>1604</v>
      </c>
      <c r="C50" t="s">
        <v>1605</v>
      </c>
      <c r="D50" t="s">
        <v>110</v>
      </c>
      <c r="E50" s="2">
        <v>44280</v>
      </c>
      <c r="F50" t="s">
        <v>50</v>
      </c>
      <c r="G50">
        <v>10000000</v>
      </c>
      <c r="H50" s="2">
        <v>44397</v>
      </c>
      <c r="I50">
        <v>2021</v>
      </c>
      <c r="J50">
        <v>12199.450265128</v>
      </c>
      <c r="K50">
        <v>30054.199734872</v>
      </c>
      <c r="L50">
        <v>215901.57</v>
      </c>
      <c r="M50">
        <v>0</v>
      </c>
      <c r="N50">
        <v>258155.22</v>
      </c>
      <c r="O50" t="s">
        <v>115</v>
      </c>
    </row>
    <row r="51" spans="1:15" x14ac:dyDescent="0.25">
      <c r="A51" t="s">
        <v>1606</v>
      </c>
      <c r="B51" t="s">
        <v>1607</v>
      </c>
      <c r="C51" t="s">
        <v>1608</v>
      </c>
      <c r="D51" t="s">
        <v>734</v>
      </c>
      <c r="E51" s="2">
        <v>44101</v>
      </c>
      <c r="F51" t="s">
        <v>38</v>
      </c>
      <c r="G51">
        <v>1000000</v>
      </c>
      <c r="H51" s="2">
        <v>44459</v>
      </c>
      <c r="I51">
        <v>2021</v>
      </c>
      <c r="J51">
        <v>2444.36236535938</v>
      </c>
      <c r="K51">
        <v>9422.1676346406202</v>
      </c>
      <c r="L51">
        <v>69219.53</v>
      </c>
      <c r="M51">
        <v>3413.67</v>
      </c>
      <c r="N51">
        <v>84499.73</v>
      </c>
      <c r="O51" t="s">
        <v>1467</v>
      </c>
    </row>
    <row r="52" spans="1:15" x14ac:dyDescent="0.25">
      <c r="A52" t="s">
        <v>1609</v>
      </c>
      <c r="B52" t="s">
        <v>1610</v>
      </c>
      <c r="C52" t="s">
        <v>1611</v>
      </c>
      <c r="D52" t="s">
        <v>110</v>
      </c>
      <c r="E52" s="2">
        <v>43857</v>
      </c>
      <c r="F52" t="s">
        <v>41</v>
      </c>
      <c r="G52">
        <v>1000000</v>
      </c>
      <c r="H52" s="2">
        <v>43989</v>
      </c>
      <c r="I52">
        <v>2020</v>
      </c>
      <c r="J52">
        <v>7690.3693768902804</v>
      </c>
      <c r="K52">
        <v>20109.0906231097</v>
      </c>
      <c r="L52">
        <v>180063.17</v>
      </c>
      <c r="M52">
        <v>0</v>
      </c>
      <c r="N52">
        <v>207862.63</v>
      </c>
      <c r="O52" t="s">
        <v>179</v>
      </c>
    </row>
    <row r="53" spans="1:15" x14ac:dyDescent="0.25">
      <c r="A53" t="s">
        <v>1612</v>
      </c>
      <c r="B53" t="s">
        <v>1613</v>
      </c>
      <c r="C53" t="s">
        <v>1614</v>
      </c>
      <c r="D53" t="s">
        <v>110</v>
      </c>
      <c r="E53" s="2">
        <v>44246</v>
      </c>
      <c r="F53" t="s">
        <v>41</v>
      </c>
      <c r="G53">
        <v>1000000</v>
      </c>
      <c r="H53" s="2">
        <v>44446</v>
      </c>
      <c r="I53">
        <v>2021</v>
      </c>
      <c r="J53">
        <v>4874.5759601578302</v>
      </c>
      <c r="K53">
        <v>12428.944039842199</v>
      </c>
      <c r="L53">
        <v>68300.800000000003</v>
      </c>
      <c r="M53">
        <v>0</v>
      </c>
      <c r="N53">
        <v>85604.32</v>
      </c>
      <c r="O53" t="s">
        <v>1528</v>
      </c>
    </row>
    <row r="54" spans="1:15" x14ac:dyDescent="0.25">
      <c r="A54" t="s">
        <v>1615</v>
      </c>
      <c r="B54" t="s">
        <v>1616</v>
      </c>
      <c r="C54" t="s">
        <v>1617</v>
      </c>
      <c r="D54" t="s">
        <v>110</v>
      </c>
      <c r="E54" s="2">
        <v>44231</v>
      </c>
      <c r="F54" t="s">
        <v>52</v>
      </c>
      <c r="G54">
        <v>1000000</v>
      </c>
      <c r="H54" s="2">
        <v>44327</v>
      </c>
      <c r="I54">
        <v>2021</v>
      </c>
      <c r="J54">
        <v>10245.160485041601</v>
      </c>
      <c r="K54">
        <v>33700.129514958397</v>
      </c>
      <c r="L54">
        <v>237835.98</v>
      </c>
      <c r="M54">
        <v>0</v>
      </c>
      <c r="N54">
        <v>281781.27</v>
      </c>
      <c r="O54" t="s">
        <v>143</v>
      </c>
    </row>
    <row r="55" spans="1:15" x14ac:dyDescent="0.25">
      <c r="A55" t="s">
        <v>1618</v>
      </c>
      <c r="B55" t="s">
        <v>1619</v>
      </c>
      <c r="C55" t="s">
        <v>1620</v>
      </c>
      <c r="D55" t="s">
        <v>110</v>
      </c>
      <c r="E55" s="2">
        <v>44303</v>
      </c>
      <c r="F55" t="s">
        <v>50</v>
      </c>
      <c r="G55">
        <v>2000000</v>
      </c>
      <c r="H55" s="2">
        <v>44463</v>
      </c>
      <c r="I55">
        <v>2021</v>
      </c>
      <c r="J55">
        <v>6046.3128990637097</v>
      </c>
      <c r="K55">
        <v>18479.207100936299</v>
      </c>
      <c r="L55">
        <v>83600.09</v>
      </c>
      <c r="M55">
        <v>0</v>
      </c>
      <c r="N55">
        <v>108125.61</v>
      </c>
      <c r="O55" t="s">
        <v>1471</v>
      </c>
    </row>
    <row r="56" spans="1:15" x14ac:dyDescent="0.25">
      <c r="A56" t="s">
        <v>1621</v>
      </c>
      <c r="B56" t="s">
        <v>1622</v>
      </c>
      <c r="C56" t="s">
        <v>1623</v>
      </c>
      <c r="D56" t="s">
        <v>734</v>
      </c>
      <c r="E56" s="2">
        <v>44278</v>
      </c>
      <c r="F56" t="s">
        <v>12</v>
      </c>
      <c r="G56">
        <v>1000000</v>
      </c>
      <c r="H56" s="2">
        <v>44448</v>
      </c>
      <c r="I56">
        <v>2021</v>
      </c>
      <c r="J56">
        <v>1716.61260909771</v>
      </c>
      <c r="K56">
        <v>6646.5473909022903</v>
      </c>
      <c r="L56">
        <v>34192.1</v>
      </c>
      <c r="M56">
        <v>25898.94</v>
      </c>
      <c r="N56">
        <v>68454.2</v>
      </c>
      <c r="O56" t="s">
        <v>1528</v>
      </c>
    </row>
    <row r="57" spans="1:15" x14ac:dyDescent="0.25">
      <c r="A57" t="s">
        <v>1624</v>
      </c>
      <c r="B57" t="s">
        <v>1625</v>
      </c>
      <c r="C57" t="s">
        <v>1626</v>
      </c>
      <c r="D57" t="s">
        <v>110</v>
      </c>
      <c r="E57" s="2">
        <v>44050</v>
      </c>
      <c r="F57" t="s">
        <v>21</v>
      </c>
      <c r="G57">
        <v>1000000</v>
      </c>
      <c r="H57" s="2">
        <v>44136</v>
      </c>
      <c r="I57">
        <v>2020</v>
      </c>
      <c r="J57">
        <v>23225.2098851068</v>
      </c>
      <c r="K57">
        <v>70196.940114893194</v>
      </c>
      <c r="L57">
        <v>429974.07</v>
      </c>
      <c r="M57">
        <v>0</v>
      </c>
      <c r="N57">
        <v>523396.22</v>
      </c>
      <c r="O57" t="s">
        <v>1507</v>
      </c>
    </row>
    <row r="58" spans="1:15" x14ac:dyDescent="0.25">
      <c r="A58" t="s">
        <v>1627</v>
      </c>
      <c r="B58" t="s">
        <v>1628</v>
      </c>
      <c r="C58" t="s">
        <v>1629</v>
      </c>
      <c r="D58" t="s">
        <v>110</v>
      </c>
      <c r="E58" s="2">
        <v>44146</v>
      </c>
      <c r="F58" t="s">
        <v>12</v>
      </c>
      <c r="G58">
        <v>3000000</v>
      </c>
      <c r="H58" s="2">
        <v>44426</v>
      </c>
      <c r="I58">
        <v>2021</v>
      </c>
      <c r="J58">
        <v>15805.404203338399</v>
      </c>
      <c r="K58">
        <v>41102.855796661599</v>
      </c>
      <c r="L58">
        <v>249931.6</v>
      </c>
      <c r="M58">
        <v>0</v>
      </c>
      <c r="N58">
        <v>306839.86</v>
      </c>
      <c r="O58" t="s">
        <v>143</v>
      </c>
    </row>
    <row r="59" spans="1:15" x14ac:dyDescent="0.25">
      <c r="A59" t="s">
        <v>1630</v>
      </c>
      <c r="B59" t="s">
        <v>1631</v>
      </c>
      <c r="C59" t="s">
        <v>1632</v>
      </c>
      <c r="D59" t="s">
        <v>110</v>
      </c>
      <c r="E59" s="2">
        <v>44427</v>
      </c>
      <c r="F59" t="s">
        <v>34</v>
      </c>
      <c r="G59">
        <v>10000000</v>
      </c>
      <c r="H59" s="2">
        <v>44491</v>
      </c>
      <c r="I59">
        <v>2021</v>
      </c>
      <c r="J59">
        <v>12465.715677100299</v>
      </c>
      <c r="K59">
        <v>34835.594322899698</v>
      </c>
      <c r="L59">
        <v>251449.01</v>
      </c>
      <c r="M59">
        <v>0</v>
      </c>
      <c r="N59">
        <v>298750.32</v>
      </c>
      <c r="O59" t="s">
        <v>1514</v>
      </c>
    </row>
    <row r="60" spans="1:15" x14ac:dyDescent="0.25">
      <c r="A60" t="s">
        <v>1633</v>
      </c>
      <c r="B60" t="s">
        <v>1634</v>
      </c>
      <c r="C60" t="s">
        <v>1635</v>
      </c>
      <c r="D60" t="s">
        <v>110</v>
      </c>
      <c r="E60" s="2">
        <v>44308</v>
      </c>
      <c r="F60" t="s">
        <v>45</v>
      </c>
      <c r="G60">
        <v>2000000</v>
      </c>
      <c r="H60" s="2">
        <v>44519</v>
      </c>
      <c r="I60">
        <v>2021</v>
      </c>
      <c r="J60">
        <v>3724.8689886299398</v>
      </c>
      <c r="K60">
        <v>10438.1310113701</v>
      </c>
      <c r="L60">
        <v>90914.96</v>
      </c>
      <c r="M60">
        <v>0</v>
      </c>
      <c r="N60">
        <v>105077.96</v>
      </c>
      <c r="O60" t="s">
        <v>1496</v>
      </c>
    </row>
    <row r="61" spans="1:15" x14ac:dyDescent="0.25">
      <c r="A61" t="s">
        <v>1636</v>
      </c>
      <c r="B61" t="s">
        <v>1637</v>
      </c>
      <c r="C61" t="s">
        <v>1638</v>
      </c>
      <c r="D61" t="s">
        <v>110</v>
      </c>
      <c r="E61" s="2">
        <v>44283</v>
      </c>
      <c r="F61" t="s">
        <v>21</v>
      </c>
      <c r="G61">
        <v>5000000</v>
      </c>
      <c r="H61" s="2">
        <v>44512</v>
      </c>
      <c r="I61">
        <v>2021</v>
      </c>
      <c r="J61">
        <v>9157.9519151957793</v>
      </c>
      <c r="K61">
        <v>26960.638084804199</v>
      </c>
      <c r="L61">
        <v>278644.3</v>
      </c>
      <c r="M61">
        <v>0</v>
      </c>
      <c r="N61">
        <v>314762.89</v>
      </c>
      <c r="O61" t="s">
        <v>1514</v>
      </c>
    </row>
    <row r="62" spans="1:15" x14ac:dyDescent="0.25">
      <c r="A62" t="s">
        <v>1639</v>
      </c>
      <c r="B62" t="s">
        <v>1640</v>
      </c>
      <c r="C62" t="s">
        <v>1641</v>
      </c>
      <c r="D62" t="s">
        <v>110</v>
      </c>
      <c r="E62" s="2">
        <v>44386</v>
      </c>
      <c r="F62" t="s">
        <v>26</v>
      </c>
      <c r="G62">
        <v>2000000</v>
      </c>
      <c r="H62" s="2">
        <v>44508</v>
      </c>
      <c r="I62">
        <v>2021</v>
      </c>
      <c r="J62">
        <v>17030.740071886499</v>
      </c>
      <c r="K62">
        <v>46041.919928113501</v>
      </c>
      <c r="L62">
        <v>258209.09</v>
      </c>
      <c r="M62">
        <v>0</v>
      </c>
      <c r="N62">
        <v>321281.75</v>
      </c>
      <c r="O62" t="s">
        <v>1514</v>
      </c>
    </row>
    <row r="63" spans="1:15" x14ac:dyDescent="0.25">
      <c r="A63" t="s">
        <v>1642</v>
      </c>
      <c r="B63" t="s">
        <v>1643</v>
      </c>
      <c r="C63" t="s">
        <v>1644</v>
      </c>
      <c r="D63" t="s">
        <v>734</v>
      </c>
      <c r="E63" s="2">
        <v>44397</v>
      </c>
      <c r="F63" t="s">
        <v>50</v>
      </c>
      <c r="G63">
        <v>4000000</v>
      </c>
      <c r="H63" s="2">
        <v>44520</v>
      </c>
      <c r="I63">
        <v>2021</v>
      </c>
      <c r="J63">
        <v>3522.86606342393</v>
      </c>
      <c r="K63">
        <v>9506.7139365760704</v>
      </c>
      <c r="L63">
        <v>125860.7</v>
      </c>
      <c r="M63">
        <v>21672.59</v>
      </c>
      <c r="N63">
        <v>160562.87</v>
      </c>
      <c r="O63" t="s">
        <v>1578</v>
      </c>
    </row>
    <row r="64" spans="1:15" x14ac:dyDescent="0.25">
      <c r="A64" t="s">
        <v>1645</v>
      </c>
      <c r="B64" t="s">
        <v>1646</v>
      </c>
      <c r="C64" t="s">
        <v>1647</v>
      </c>
      <c r="D64" t="s">
        <v>110</v>
      </c>
      <c r="E64" s="2">
        <v>44259</v>
      </c>
      <c r="F64" t="s">
        <v>21</v>
      </c>
      <c r="G64">
        <v>3000000</v>
      </c>
      <c r="H64" s="2">
        <v>44554</v>
      </c>
      <c r="I64">
        <v>2021</v>
      </c>
      <c r="J64">
        <v>29764.9875230504</v>
      </c>
      <c r="K64">
        <v>92716.4624769496</v>
      </c>
      <c r="L64">
        <v>519507.53</v>
      </c>
      <c r="M64">
        <v>0</v>
      </c>
      <c r="N64">
        <v>641988.98</v>
      </c>
      <c r="O64" t="s">
        <v>1507</v>
      </c>
    </row>
    <row r="65" spans="1:15" x14ac:dyDescent="0.25">
      <c r="A65" t="s">
        <v>1648</v>
      </c>
      <c r="B65" t="s">
        <v>1649</v>
      </c>
      <c r="C65" t="s">
        <v>1650</v>
      </c>
      <c r="D65" t="s">
        <v>110</v>
      </c>
      <c r="E65" s="2">
        <v>44393</v>
      </c>
      <c r="F65" t="s">
        <v>57</v>
      </c>
      <c r="G65">
        <v>1000000</v>
      </c>
      <c r="H65" s="2">
        <v>44527</v>
      </c>
      <c r="I65">
        <v>2021</v>
      </c>
      <c r="J65">
        <v>24606.692753648498</v>
      </c>
      <c r="K65">
        <v>69231.927246351494</v>
      </c>
      <c r="L65">
        <v>427903.91</v>
      </c>
      <c r="M65">
        <v>0</v>
      </c>
      <c r="N65">
        <v>521742.53</v>
      </c>
      <c r="O65" t="s">
        <v>1507</v>
      </c>
    </row>
    <row r="66" spans="1:15" x14ac:dyDescent="0.25">
      <c r="A66" t="s">
        <v>1651</v>
      </c>
      <c r="B66" t="s">
        <v>1652</v>
      </c>
      <c r="C66" t="s">
        <v>1653</v>
      </c>
      <c r="D66" t="s">
        <v>110</v>
      </c>
      <c r="E66" s="2">
        <v>44425</v>
      </c>
      <c r="F66" t="s">
        <v>50</v>
      </c>
      <c r="G66">
        <v>1000000</v>
      </c>
      <c r="H66" s="2">
        <v>44560</v>
      </c>
      <c r="I66">
        <v>2021</v>
      </c>
      <c r="J66">
        <v>2996.55536413444</v>
      </c>
      <c r="K66">
        <v>10222.8246358656</v>
      </c>
      <c r="L66">
        <v>119093.12</v>
      </c>
      <c r="M66">
        <v>0</v>
      </c>
      <c r="N66">
        <v>132312.5</v>
      </c>
      <c r="O66" t="s">
        <v>1521</v>
      </c>
    </row>
    <row r="67" spans="1:15" x14ac:dyDescent="0.25">
      <c r="A67" t="s">
        <v>1654</v>
      </c>
      <c r="B67" t="s">
        <v>1655</v>
      </c>
      <c r="C67" t="s">
        <v>1656</v>
      </c>
      <c r="D67" t="s">
        <v>110</v>
      </c>
      <c r="E67" s="2">
        <v>44311</v>
      </c>
      <c r="F67" t="s">
        <v>50</v>
      </c>
      <c r="G67">
        <v>1000000</v>
      </c>
      <c r="H67" s="2">
        <v>44565</v>
      </c>
      <c r="I67">
        <v>2022</v>
      </c>
      <c r="J67">
        <v>2147.9187212959901</v>
      </c>
      <c r="K67">
        <v>7975.77127870401</v>
      </c>
      <c r="L67">
        <v>59629</v>
      </c>
      <c r="M67">
        <v>0</v>
      </c>
      <c r="N67">
        <v>69752.69</v>
      </c>
      <c r="O67" t="s">
        <v>240</v>
      </c>
    </row>
    <row r="68" spans="1:15" x14ac:dyDescent="0.25">
      <c r="A68" t="s">
        <v>1657</v>
      </c>
      <c r="B68" t="s">
        <v>1658</v>
      </c>
      <c r="C68" t="s">
        <v>1659</v>
      </c>
      <c r="D68" t="s">
        <v>110</v>
      </c>
      <c r="E68" s="2">
        <v>44259</v>
      </c>
      <c r="F68" t="s">
        <v>29</v>
      </c>
      <c r="G68">
        <v>5000000</v>
      </c>
      <c r="H68" s="2">
        <v>44500</v>
      </c>
      <c r="I68">
        <v>2021</v>
      </c>
      <c r="J68">
        <v>25678.758607611198</v>
      </c>
      <c r="K68">
        <v>94593.761392388798</v>
      </c>
      <c r="L68">
        <v>570812.02</v>
      </c>
      <c r="M68">
        <v>0</v>
      </c>
      <c r="N68">
        <v>691084.54</v>
      </c>
      <c r="O68" t="s">
        <v>1507</v>
      </c>
    </row>
    <row r="69" spans="1:15" x14ac:dyDescent="0.25">
      <c r="A69" t="s">
        <v>1660</v>
      </c>
      <c r="B69" t="s">
        <v>1661</v>
      </c>
      <c r="C69" t="s">
        <v>1662</v>
      </c>
      <c r="D69" t="s">
        <v>110</v>
      </c>
      <c r="E69" s="2">
        <v>44366</v>
      </c>
      <c r="F69" t="s">
        <v>35</v>
      </c>
      <c r="G69">
        <v>1000000</v>
      </c>
      <c r="H69" s="2">
        <v>44568</v>
      </c>
      <c r="I69">
        <v>2022</v>
      </c>
      <c r="J69">
        <v>2522.5706570602201</v>
      </c>
      <c r="K69">
        <v>7489.5093429397803</v>
      </c>
      <c r="L69">
        <v>63616.29</v>
      </c>
      <c r="M69">
        <v>0</v>
      </c>
      <c r="N69">
        <v>73628.37</v>
      </c>
      <c r="O69" t="s">
        <v>1528</v>
      </c>
    </row>
    <row r="70" spans="1:15" x14ac:dyDescent="0.25">
      <c r="A70" t="s">
        <v>1663</v>
      </c>
      <c r="B70" t="s">
        <v>1664</v>
      </c>
      <c r="C70" t="s">
        <v>1665</v>
      </c>
      <c r="D70" t="s">
        <v>110</v>
      </c>
      <c r="E70" s="2">
        <v>44234</v>
      </c>
      <c r="F70" t="s">
        <v>21</v>
      </c>
      <c r="G70">
        <v>1000000</v>
      </c>
      <c r="H70" s="2">
        <v>44492</v>
      </c>
      <c r="I70">
        <v>2021</v>
      </c>
      <c r="J70">
        <v>4070.55775025412</v>
      </c>
      <c r="K70">
        <v>14554.9522497459</v>
      </c>
      <c r="L70">
        <v>85884.4</v>
      </c>
      <c r="M70">
        <v>0</v>
      </c>
      <c r="N70">
        <v>104509.91</v>
      </c>
      <c r="O70" t="s">
        <v>1471</v>
      </c>
    </row>
    <row r="71" spans="1:15" x14ac:dyDescent="0.25">
      <c r="A71" t="s">
        <v>1666</v>
      </c>
      <c r="B71" t="s">
        <v>1667</v>
      </c>
      <c r="C71" t="s">
        <v>1668</v>
      </c>
      <c r="D71" t="s">
        <v>110</v>
      </c>
      <c r="E71" s="2">
        <v>44445</v>
      </c>
      <c r="F71" t="s">
        <v>22</v>
      </c>
      <c r="G71">
        <v>4000000</v>
      </c>
      <c r="H71" s="2">
        <v>44591</v>
      </c>
      <c r="I71">
        <v>2022</v>
      </c>
      <c r="J71">
        <v>4754.6283777402105</v>
      </c>
      <c r="K71">
        <v>11787.011622259801</v>
      </c>
      <c r="L71">
        <v>94882.79</v>
      </c>
      <c r="M71">
        <v>0</v>
      </c>
      <c r="N71">
        <v>111424.43</v>
      </c>
      <c r="O71" t="s">
        <v>1496</v>
      </c>
    </row>
    <row r="72" spans="1:15" x14ac:dyDescent="0.25">
      <c r="A72" t="s">
        <v>1669</v>
      </c>
      <c r="B72" t="s">
        <v>1670</v>
      </c>
      <c r="C72" t="s">
        <v>1671</v>
      </c>
      <c r="D72" t="s">
        <v>110</v>
      </c>
      <c r="E72" s="2">
        <v>44393</v>
      </c>
      <c r="F72" t="s">
        <v>17</v>
      </c>
      <c r="G72">
        <v>1000000</v>
      </c>
      <c r="H72" s="2">
        <v>44596</v>
      </c>
      <c r="I72">
        <v>2022</v>
      </c>
      <c r="J72">
        <v>4716.6447422579204</v>
      </c>
      <c r="K72">
        <v>16707.985257742101</v>
      </c>
      <c r="L72">
        <v>119911.63</v>
      </c>
      <c r="M72">
        <v>0</v>
      </c>
      <c r="N72">
        <v>141336.26</v>
      </c>
      <c r="O72" t="s">
        <v>1521</v>
      </c>
    </row>
    <row r="73" spans="1:15" x14ac:dyDescent="0.25">
      <c r="A73" t="s">
        <v>1672</v>
      </c>
      <c r="B73" t="s">
        <v>1673</v>
      </c>
      <c r="C73" t="s">
        <v>1674</v>
      </c>
      <c r="D73" t="s">
        <v>110</v>
      </c>
      <c r="E73" s="2">
        <v>44397</v>
      </c>
      <c r="F73" t="s">
        <v>18</v>
      </c>
      <c r="G73">
        <v>1000000</v>
      </c>
      <c r="H73" s="2">
        <v>44605</v>
      </c>
      <c r="I73">
        <v>2022</v>
      </c>
      <c r="J73">
        <v>3988.69756900126</v>
      </c>
      <c r="K73">
        <v>13237.1424309987</v>
      </c>
      <c r="L73">
        <v>80981.37</v>
      </c>
      <c r="M73">
        <v>0</v>
      </c>
      <c r="N73">
        <v>98207.21</v>
      </c>
      <c r="O73" t="s">
        <v>1475</v>
      </c>
    </row>
    <row r="74" spans="1:15" x14ac:dyDescent="0.25">
      <c r="A74" t="s">
        <v>1675</v>
      </c>
      <c r="B74" t="s">
        <v>1676</v>
      </c>
      <c r="C74" t="s">
        <v>1677</v>
      </c>
      <c r="D74" t="s">
        <v>110</v>
      </c>
      <c r="E74" s="2">
        <v>44288</v>
      </c>
      <c r="F74" t="s">
        <v>50</v>
      </c>
      <c r="G74">
        <v>1000000</v>
      </c>
      <c r="H74" s="2">
        <v>44602</v>
      </c>
      <c r="I74">
        <v>2022</v>
      </c>
      <c r="J74">
        <v>2492.33275017303</v>
      </c>
      <c r="K74">
        <v>5858.2772498269696</v>
      </c>
      <c r="L74">
        <v>52643.73</v>
      </c>
      <c r="M74">
        <v>0</v>
      </c>
      <c r="N74">
        <v>60994.34</v>
      </c>
      <c r="O74" t="s">
        <v>1562</v>
      </c>
    </row>
    <row r="75" spans="1:15" x14ac:dyDescent="0.25">
      <c r="A75" t="s">
        <v>1678</v>
      </c>
      <c r="B75" t="s">
        <v>1679</v>
      </c>
      <c r="C75" t="s">
        <v>1680</v>
      </c>
      <c r="D75" t="s">
        <v>110</v>
      </c>
      <c r="E75" s="2">
        <v>44328</v>
      </c>
      <c r="F75" t="s">
        <v>12</v>
      </c>
      <c r="G75">
        <v>1000000</v>
      </c>
      <c r="H75" s="2">
        <v>44409</v>
      </c>
      <c r="I75">
        <v>2021</v>
      </c>
      <c r="J75">
        <v>5207.5654187126001</v>
      </c>
      <c r="K75">
        <v>13360.574581287399</v>
      </c>
      <c r="L75">
        <v>108894.97</v>
      </c>
      <c r="M75">
        <v>0</v>
      </c>
      <c r="N75">
        <v>127463.11</v>
      </c>
      <c r="O75" t="s">
        <v>233</v>
      </c>
    </row>
    <row r="76" spans="1:15" x14ac:dyDescent="0.25">
      <c r="A76" t="s">
        <v>1681</v>
      </c>
      <c r="B76" t="s">
        <v>1682</v>
      </c>
      <c r="C76" t="s">
        <v>1683</v>
      </c>
      <c r="D76" t="s">
        <v>110</v>
      </c>
      <c r="E76" s="2">
        <v>44389</v>
      </c>
      <c r="F76" t="s">
        <v>21</v>
      </c>
      <c r="G76">
        <v>1000000</v>
      </c>
      <c r="H76" s="2">
        <v>44484</v>
      </c>
      <c r="I76">
        <v>2021</v>
      </c>
      <c r="J76">
        <v>3668.1799248143998</v>
      </c>
      <c r="K76">
        <v>11402.200075185599</v>
      </c>
      <c r="L76">
        <v>61931.53</v>
      </c>
      <c r="M76">
        <v>0</v>
      </c>
      <c r="N76">
        <v>77001.91</v>
      </c>
      <c r="O76" t="s">
        <v>240</v>
      </c>
    </row>
    <row r="77" spans="1:15" x14ac:dyDescent="0.25">
      <c r="A77" t="s">
        <v>1684</v>
      </c>
      <c r="B77" t="s">
        <v>1685</v>
      </c>
      <c r="C77" t="s">
        <v>1686</v>
      </c>
      <c r="D77" t="s">
        <v>110</v>
      </c>
      <c r="E77" s="2">
        <v>44415</v>
      </c>
      <c r="F77" t="s">
        <v>50</v>
      </c>
      <c r="G77">
        <v>1000000</v>
      </c>
      <c r="H77" s="2">
        <v>44640</v>
      </c>
      <c r="I77">
        <v>2022</v>
      </c>
      <c r="J77">
        <v>5075.7198010530901</v>
      </c>
      <c r="K77">
        <v>13882.020198946901</v>
      </c>
      <c r="L77">
        <v>102142.14</v>
      </c>
      <c r="M77">
        <v>0</v>
      </c>
      <c r="N77">
        <v>121099.88</v>
      </c>
      <c r="O77" t="s">
        <v>233</v>
      </c>
    </row>
    <row r="78" spans="1:15" x14ac:dyDescent="0.25">
      <c r="A78" t="s">
        <v>1687</v>
      </c>
      <c r="B78" t="s">
        <v>1688</v>
      </c>
      <c r="C78" t="s">
        <v>1689</v>
      </c>
      <c r="D78" t="s">
        <v>110</v>
      </c>
      <c r="E78" s="2">
        <v>44443</v>
      </c>
      <c r="F78" t="s">
        <v>12</v>
      </c>
      <c r="G78">
        <v>1000000</v>
      </c>
      <c r="H78" s="2">
        <v>44623</v>
      </c>
      <c r="I78">
        <v>2022</v>
      </c>
      <c r="J78">
        <v>4441.9991339712196</v>
      </c>
      <c r="K78">
        <v>15596.780866028799</v>
      </c>
      <c r="L78">
        <v>84321.75</v>
      </c>
      <c r="M78">
        <v>0</v>
      </c>
      <c r="N78">
        <v>104360.53</v>
      </c>
      <c r="O78" t="s">
        <v>1471</v>
      </c>
    </row>
    <row r="79" spans="1:15" x14ac:dyDescent="0.25">
      <c r="A79" t="s">
        <v>1690</v>
      </c>
      <c r="B79" t="s">
        <v>1691</v>
      </c>
      <c r="C79" t="s">
        <v>1692</v>
      </c>
      <c r="D79" t="s">
        <v>110</v>
      </c>
      <c r="E79" s="2">
        <v>44410</v>
      </c>
      <c r="F79" t="s">
        <v>22</v>
      </c>
      <c r="G79">
        <v>1000000</v>
      </c>
      <c r="H79" s="2">
        <v>44609</v>
      </c>
      <c r="I79">
        <v>2022</v>
      </c>
      <c r="J79">
        <v>14968.3170322646</v>
      </c>
      <c r="K79">
        <v>46489.812967735401</v>
      </c>
      <c r="L79">
        <v>246473.45</v>
      </c>
      <c r="M79">
        <v>0</v>
      </c>
      <c r="N79">
        <v>307931.58</v>
      </c>
      <c r="O79" t="s">
        <v>143</v>
      </c>
    </row>
    <row r="80" spans="1:15" x14ac:dyDescent="0.25">
      <c r="A80" t="s">
        <v>1693</v>
      </c>
      <c r="B80" t="s">
        <v>1694</v>
      </c>
      <c r="C80" t="s">
        <v>1695</v>
      </c>
      <c r="D80" t="s">
        <v>110</v>
      </c>
      <c r="E80" s="2">
        <v>44507</v>
      </c>
      <c r="F80" t="s">
        <v>25</v>
      </c>
      <c r="G80">
        <v>2000000</v>
      </c>
      <c r="H80" s="2">
        <v>44618</v>
      </c>
      <c r="I80">
        <v>2022</v>
      </c>
      <c r="J80">
        <v>6416.1884811770997</v>
      </c>
      <c r="K80">
        <v>21982.451518822902</v>
      </c>
      <c r="L80">
        <v>170909.02</v>
      </c>
      <c r="M80">
        <v>0</v>
      </c>
      <c r="N80">
        <v>199307.66</v>
      </c>
      <c r="O80" t="s">
        <v>179</v>
      </c>
    </row>
    <row r="81" spans="1:15" x14ac:dyDescent="0.25">
      <c r="A81" t="s">
        <v>1696</v>
      </c>
      <c r="B81" t="s">
        <v>1697</v>
      </c>
      <c r="C81" t="s">
        <v>1698</v>
      </c>
      <c r="D81" t="s">
        <v>110</v>
      </c>
      <c r="E81" s="2">
        <v>44561</v>
      </c>
      <c r="F81" t="s">
        <v>21</v>
      </c>
      <c r="G81">
        <v>1000000</v>
      </c>
      <c r="H81" s="2">
        <v>44629</v>
      </c>
      <c r="I81">
        <v>2022</v>
      </c>
      <c r="J81">
        <v>15268.573151070899</v>
      </c>
      <c r="K81">
        <v>56925.776848929097</v>
      </c>
      <c r="L81">
        <v>335238.18</v>
      </c>
      <c r="M81">
        <v>0</v>
      </c>
      <c r="N81">
        <v>407432.53</v>
      </c>
      <c r="O81" t="s">
        <v>1500</v>
      </c>
    </row>
    <row r="82" spans="1:15" x14ac:dyDescent="0.25">
      <c r="A82" t="s">
        <v>1699</v>
      </c>
      <c r="B82" t="s">
        <v>1700</v>
      </c>
      <c r="C82" t="s">
        <v>1701</v>
      </c>
      <c r="D82" t="s">
        <v>110</v>
      </c>
      <c r="E82" s="2">
        <v>44317</v>
      </c>
      <c r="F82" t="s">
        <v>10</v>
      </c>
      <c r="G82">
        <v>1000000</v>
      </c>
      <c r="H82" s="2">
        <v>44627</v>
      </c>
      <c r="I82">
        <v>2022</v>
      </c>
      <c r="J82">
        <v>3714.67283040038</v>
      </c>
      <c r="K82">
        <v>10506.077169599601</v>
      </c>
      <c r="L82">
        <v>53417.05</v>
      </c>
      <c r="M82">
        <v>0</v>
      </c>
      <c r="N82">
        <v>67637.8</v>
      </c>
      <c r="O82" t="s">
        <v>1562</v>
      </c>
    </row>
    <row r="83" spans="1:15" x14ac:dyDescent="0.25">
      <c r="A83" t="s">
        <v>1702</v>
      </c>
      <c r="B83" t="s">
        <v>1703</v>
      </c>
      <c r="C83" t="s">
        <v>1704</v>
      </c>
      <c r="D83" t="s">
        <v>110</v>
      </c>
      <c r="E83" s="2">
        <v>44463</v>
      </c>
      <c r="F83" t="s">
        <v>13</v>
      </c>
      <c r="G83">
        <v>3000000</v>
      </c>
      <c r="H83" s="2">
        <v>44670</v>
      </c>
      <c r="I83">
        <v>2022</v>
      </c>
      <c r="J83">
        <v>25045.579824190099</v>
      </c>
      <c r="K83">
        <v>91353.690175809897</v>
      </c>
      <c r="L83">
        <v>600200.85</v>
      </c>
      <c r="M83">
        <v>0</v>
      </c>
      <c r="N83">
        <v>716600.12</v>
      </c>
      <c r="O83" t="s">
        <v>131</v>
      </c>
    </row>
    <row r="84" spans="1:15" x14ac:dyDescent="0.25">
      <c r="A84" t="s">
        <v>1705</v>
      </c>
      <c r="B84" t="s">
        <v>1706</v>
      </c>
      <c r="C84" t="s">
        <v>1707</v>
      </c>
      <c r="D84" t="s">
        <v>110</v>
      </c>
      <c r="E84" s="2">
        <v>44280</v>
      </c>
      <c r="F84" t="s">
        <v>17</v>
      </c>
      <c r="G84">
        <v>5000000</v>
      </c>
      <c r="H84" s="2">
        <v>44547</v>
      </c>
      <c r="I84">
        <v>2021</v>
      </c>
      <c r="J84">
        <v>10750.736243687399</v>
      </c>
      <c r="K84">
        <v>37812.223756312596</v>
      </c>
      <c r="L84">
        <v>186482.03</v>
      </c>
      <c r="M84">
        <v>0</v>
      </c>
      <c r="N84">
        <v>235044.99</v>
      </c>
      <c r="O84" t="s">
        <v>179</v>
      </c>
    </row>
    <row r="85" spans="1:15" x14ac:dyDescent="0.25">
      <c r="A85" t="s">
        <v>1708</v>
      </c>
      <c r="B85" t="s">
        <v>1709</v>
      </c>
      <c r="C85" t="s">
        <v>1710</v>
      </c>
      <c r="D85" t="s">
        <v>734</v>
      </c>
      <c r="E85" s="2">
        <v>44351</v>
      </c>
      <c r="F85" t="s">
        <v>34</v>
      </c>
      <c r="G85">
        <v>4000000</v>
      </c>
      <c r="H85" s="2">
        <v>44667</v>
      </c>
      <c r="I85">
        <v>2022</v>
      </c>
      <c r="J85">
        <v>7606.5021968807296</v>
      </c>
      <c r="K85">
        <v>29451.2178031193</v>
      </c>
      <c r="L85">
        <v>222066.57</v>
      </c>
      <c r="M85">
        <v>12374.14</v>
      </c>
      <c r="N85">
        <v>271498.43</v>
      </c>
      <c r="O85" t="s">
        <v>143</v>
      </c>
    </row>
    <row r="86" spans="1:15" x14ac:dyDescent="0.25">
      <c r="A86" t="s">
        <v>1711</v>
      </c>
      <c r="B86" t="s">
        <v>1712</v>
      </c>
      <c r="C86" t="s">
        <v>1713</v>
      </c>
      <c r="D86" t="s">
        <v>110</v>
      </c>
      <c r="E86" s="2">
        <v>44440</v>
      </c>
      <c r="F86" t="s">
        <v>41</v>
      </c>
      <c r="G86">
        <v>1000000</v>
      </c>
      <c r="H86" s="2">
        <v>44683</v>
      </c>
      <c r="I86">
        <v>2022</v>
      </c>
      <c r="J86">
        <v>16548.165289296699</v>
      </c>
      <c r="K86">
        <v>65017.544710703303</v>
      </c>
      <c r="L86">
        <v>633365.34</v>
      </c>
      <c r="M86">
        <v>0</v>
      </c>
      <c r="N86">
        <v>714931.05</v>
      </c>
      <c r="O86" t="s">
        <v>131</v>
      </c>
    </row>
    <row r="87" spans="1:15" x14ac:dyDescent="0.25">
      <c r="A87" t="s">
        <v>1714</v>
      </c>
      <c r="B87" t="s">
        <v>1715</v>
      </c>
      <c r="C87" t="s">
        <v>1716</v>
      </c>
      <c r="D87" t="s">
        <v>110</v>
      </c>
      <c r="E87" s="2">
        <v>44501</v>
      </c>
      <c r="F87" t="s">
        <v>45</v>
      </c>
      <c r="G87">
        <v>1000000</v>
      </c>
      <c r="H87" s="2">
        <v>44673</v>
      </c>
      <c r="I87">
        <v>2022</v>
      </c>
      <c r="J87">
        <v>10094.6341888684</v>
      </c>
      <c r="K87">
        <v>28388.9758111316</v>
      </c>
      <c r="L87">
        <v>351534.23</v>
      </c>
      <c r="M87">
        <v>0</v>
      </c>
      <c r="N87">
        <v>390017.84</v>
      </c>
      <c r="O87" t="s">
        <v>1500</v>
      </c>
    </row>
    <row r="88" spans="1:15" x14ac:dyDescent="0.25">
      <c r="A88" t="s">
        <v>1717</v>
      </c>
      <c r="B88" t="s">
        <v>1718</v>
      </c>
      <c r="C88" t="s">
        <v>1719</v>
      </c>
      <c r="D88" t="s">
        <v>110</v>
      </c>
      <c r="E88" s="2">
        <v>44561</v>
      </c>
      <c r="F88" t="s">
        <v>22</v>
      </c>
      <c r="G88">
        <v>3000000</v>
      </c>
      <c r="H88" s="2">
        <v>44660</v>
      </c>
      <c r="I88">
        <v>2022</v>
      </c>
      <c r="J88">
        <v>5785.8487315337097</v>
      </c>
      <c r="K88">
        <v>17017.571268466301</v>
      </c>
      <c r="L88">
        <v>138124.62</v>
      </c>
      <c r="M88">
        <v>0</v>
      </c>
      <c r="N88">
        <v>160928.04</v>
      </c>
      <c r="O88" t="s">
        <v>1492</v>
      </c>
    </row>
    <row r="89" spans="1:15" x14ac:dyDescent="0.25">
      <c r="A89" t="s">
        <v>1720</v>
      </c>
      <c r="B89" t="s">
        <v>1721</v>
      </c>
      <c r="C89" t="s">
        <v>1722</v>
      </c>
      <c r="D89" t="s">
        <v>110</v>
      </c>
      <c r="E89" s="2">
        <v>44268</v>
      </c>
      <c r="F89" t="s">
        <v>54</v>
      </c>
      <c r="G89">
        <v>4000000</v>
      </c>
      <c r="H89" s="2">
        <v>44631</v>
      </c>
      <c r="I89">
        <v>2022</v>
      </c>
      <c r="J89">
        <v>15622.069609578801</v>
      </c>
      <c r="K89">
        <v>48955.730390421202</v>
      </c>
      <c r="L89">
        <v>300175.3</v>
      </c>
      <c r="M89">
        <v>0</v>
      </c>
      <c r="N89">
        <v>364753.1</v>
      </c>
      <c r="O89" t="s">
        <v>1514</v>
      </c>
    </row>
    <row r="90" spans="1:15" x14ac:dyDescent="0.25">
      <c r="A90" t="s">
        <v>1723</v>
      </c>
      <c r="B90" t="s">
        <v>1724</v>
      </c>
      <c r="C90" t="s">
        <v>1725</v>
      </c>
      <c r="D90" t="s">
        <v>734</v>
      </c>
      <c r="E90" s="2">
        <v>44391</v>
      </c>
      <c r="F90" t="s">
        <v>17</v>
      </c>
      <c r="G90">
        <v>1000000</v>
      </c>
      <c r="H90" s="2">
        <v>44663</v>
      </c>
      <c r="I90">
        <v>2022</v>
      </c>
      <c r="J90">
        <v>9792.43719310083</v>
      </c>
      <c r="K90">
        <v>26493.172806899202</v>
      </c>
      <c r="L90">
        <v>131879.49</v>
      </c>
      <c r="M90">
        <v>32067.11</v>
      </c>
      <c r="N90">
        <v>200232.21</v>
      </c>
      <c r="O90" t="s">
        <v>179</v>
      </c>
    </row>
    <row r="91" spans="1:15" x14ac:dyDescent="0.25">
      <c r="A91" t="s">
        <v>1726</v>
      </c>
      <c r="B91" t="s">
        <v>1727</v>
      </c>
      <c r="C91" t="s">
        <v>1728</v>
      </c>
      <c r="D91" t="s">
        <v>734</v>
      </c>
      <c r="E91" s="2">
        <v>44531</v>
      </c>
      <c r="F91" t="s">
        <v>11</v>
      </c>
      <c r="G91">
        <v>1000000</v>
      </c>
      <c r="H91" s="2">
        <v>44681</v>
      </c>
      <c r="I91">
        <v>2022</v>
      </c>
      <c r="J91">
        <v>3786.8614452526899</v>
      </c>
      <c r="K91">
        <v>9220.2885547473106</v>
      </c>
      <c r="L91">
        <v>50647.839999999997</v>
      </c>
      <c r="M91">
        <v>1089.00000000001</v>
      </c>
      <c r="N91">
        <v>64743.99</v>
      </c>
      <c r="O91" t="s">
        <v>1562</v>
      </c>
    </row>
    <row r="92" spans="1:15" x14ac:dyDescent="0.25">
      <c r="A92" t="s">
        <v>1729</v>
      </c>
      <c r="B92" t="s">
        <v>1730</v>
      </c>
      <c r="C92" t="s">
        <v>1731</v>
      </c>
      <c r="D92" t="s">
        <v>110</v>
      </c>
      <c r="E92" s="2">
        <v>44576</v>
      </c>
      <c r="F92" t="s">
        <v>50</v>
      </c>
      <c r="G92">
        <v>1000000</v>
      </c>
      <c r="H92" s="2">
        <v>44685</v>
      </c>
      <c r="I92">
        <v>2022</v>
      </c>
      <c r="J92">
        <v>3553.0761612276801</v>
      </c>
      <c r="K92">
        <v>10270.393838772299</v>
      </c>
      <c r="L92">
        <v>71977.009999999995</v>
      </c>
      <c r="M92">
        <v>0</v>
      </c>
      <c r="N92">
        <v>85800.48</v>
      </c>
      <c r="O92" t="s">
        <v>1467</v>
      </c>
    </row>
    <row r="93" spans="1:15" x14ac:dyDescent="0.25">
      <c r="A93" t="s">
        <v>1732</v>
      </c>
      <c r="B93" t="s">
        <v>1733</v>
      </c>
      <c r="C93" t="s">
        <v>1734</v>
      </c>
      <c r="D93" t="s">
        <v>110</v>
      </c>
      <c r="E93" s="2">
        <v>44618</v>
      </c>
      <c r="F93" t="s">
        <v>42</v>
      </c>
      <c r="G93">
        <v>1000000</v>
      </c>
      <c r="H93" s="2">
        <v>44733</v>
      </c>
      <c r="I93">
        <v>2022</v>
      </c>
      <c r="J93">
        <v>2883.8670983074999</v>
      </c>
      <c r="K93">
        <v>10173.5729016925</v>
      </c>
      <c r="L93">
        <v>113800.77</v>
      </c>
      <c r="M93">
        <v>0</v>
      </c>
      <c r="N93">
        <v>126858.21</v>
      </c>
      <c r="O93" t="s">
        <v>1521</v>
      </c>
    </row>
    <row r="94" spans="1:15" x14ac:dyDescent="0.25">
      <c r="A94" t="s">
        <v>1735</v>
      </c>
      <c r="B94" t="s">
        <v>1736</v>
      </c>
      <c r="C94" t="s">
        <v>1737</v>
      </c>
      <c r="D94" t="s">
        <v>110</v>
      </c>
      <c r="E94" s="2">
        <v>44615</v>
      </c>
      <c r="F94" t="s">
        <v>52</v>
      </c>
      <c r="G94">
        <v>10000000</v>
      </c>
      <c r="H94" s="2">
        <v>44697</v>
      </c>
      <c r="I94">
        <v>2022</v>
      </c>
      <c r="J94">
        <v>14113.6244716157</v>
      </c>
      <c r="K94">
        <v>34021.225528384297</v>
      </c>
      <c r="L94">
        <v>274995.06</v>
      </c>
      <c r="M94">
        <v>0</v>
      </c>
      <c r="N94">
        <v>323129.90999999997</v>
      </c>
      <c r="O94" t="s">
        <v>1514</v>
      </c>
    </row>
    <row r="95" spans="1:15" x14ac:dyDescent="0.25">
      <c r="A95" t="s">
        <v>1738</v>
      </c>
      <c r="B95" t="s">
        <v>1739</v>
      </c>
      <c r="C95" t="s">
        <v>1635</v>
      </c>
      <c r="D95" t="s">
        <v>110</v>
      </c>
      <c r="E95" s="2">
        <v>44673</v>
      </c>
      <c r="F95" t="s">
        <v>45</v>
      </c>
      <c r="G95">
        <v>2000000</v>
      </c>
      <c r="H95" s="2">
        <v>44725</v>
      </c>
      <c r="I95">
        <v>2022</v>
      </c>
      <c r="J95">
        <v>49949.797453482897</v>
      </c>
      <c r="K95">
        <v>181818.99254651699</v>
      </c>
      <c r="L95">
        <v>1260873.8500000001</v>
      </c>
      <c r="M95">
        <v>0</v>
      </c>
      <c r="N95">
        <v>1492642.64</v>
      </c>
      <c r="O95" t="s">
        <v>353</v>
      </c>
    </row>
    <row r="96" spans="1:15" x14ac:dyDescent="0.25">
      <c r="A96" t="s">
        <v>1740</v>
      </c>
      <c r="B96" t="s">
        <v>1741</v>
      </c>
      <c r="C96" t="s">
        <v>1742</v>
      </c>
      <c r="D96" t="s">
        <v>110</v>
      </c>
      <c r="E96" s="2">
        <v>44465</v>
      </c>
      <c r="F96" t="s">
        <v>29</v>
      </c>
      <c r="G96">
        <v>4000000</v>
      </c>
      <c r="H96" s="2">
        <v>44636</v>
      </c>
      <c r="I96">
        <v>2022</v>
      </c>
      <c r="J96">
        <v>98308.626674034997</v>
      </c>
      <c r="K96">
        <v>387753.78332596499</v>
      </c>
      <c r="L96">
        <v>2272358.7999999998</v>
      </c>
      <c r="M96">
        <v>0</v>
      </c>
      <c r="N96">
        <v>2758421.21</v>
      </c>
      <c r="O96" t="s">
        <v>353</v>
      </c>
    </row>
    <row r="97" spans="1:15" x14ac:dyDescent="0.25">
      <c r="A97" t="s">
        <v>1743</v>
      </c>
      <c r="B97" t="s">
        <v>1744</v>
      </c>
      <c r="C97" t="s">
        <v>1745</v>
      </c>
      <c r="D97" t="s">
        <v>110</v>
      </c>
      <c r="E97" s="2">
        <v>44659</v>
      </c>
      <c r="F97" t="s">
        <v>12</v>
      </c>
      <c r="G97">
        <v>1000000</v>
      </c>
      <c r="H97" s="2">
        <v>44697</v>
      </c>
      <c r="I97">
        <v>2022</v>
      </c>
      <c r="J97">
        <v>3935.7090712562699</v>
      </c>
      <c r="K97">
        <v>14999.1509287437</v>
      </c>
      <c r="L97">
        <v>76463.53</v>
      </c>
      <c r="M97">
        <v>0</v>
      </c>
      <c r="N97">
        <v>95398.39</v>
      </c>
      <c r="O97" t="s">
        <v>1475</v>
      </c>
    </row>
    <row r="98" spans="1:15" x14ac:dyDescent="0.25">
      <c r="A98" t="s">
        <v>1746</v>
      </c>
      <c r="B98" t="s">
        <v>1747</v>
      </c>
      <c r="C98" t="s">
        <v>1748</v>
      </c>
      <c r="D98" t="s">
        <v>110</v>
      </c>
      <c r="E98" s="2">
        <v>44606</v>
      </c>
      <c r="F98" t="s">
        <v>50</v>
      </c>
      <c r="G98">
        <v>4000000</v>
      </c>
      <c r="H98" s="2">
        <v>44727</v>
      </c>
      <c r="I98">
        <v>2022</v>
      </c>
      <c r="J98">
        <v>6923.8583487353299</v>
      </c>
      <c r="K98">
        <v>25872.4216512647</v>
      </c>
      <c r="L98">
        <v>177071.12</v>
      </c>
      <c r="M98">
        <v>0</v>
      </c>
      <c r="N98">
        <v>209867.4</v>
      </c>
      <c r="O98" t="s">
        <v>179</v>
      </c>
    </row>
    <row r="99" spans="1:15" x14ac:dyDescent="0.25">
      <c r="A99" t="s">
        <v>1749</v>
      </c>
      <c r="B99" t="s">
        <v>1750</v>
      </c>
      <c r="C99" t="s">
        <v>1751</v>
      </c>
      <c r="D99" t="s">
        <v>110</v>
      </c>
      <c r="E99" s="2">
        <v>44267</v>
      </c>
      <c r="F99" t="s">
        <v>50</v>
      </c>
      <c r="G99">
        <v>1000000</v>
      </c>
      <c r="H99" s="2">
        <v>44323</v>
      </c>
      <c r="I99">
        <v>2021</v>
      </c>
      <c r="J99">
        <v>31380.2443286895</v>
      </c>
      <c r="K99">
        <v>99493.335671310502</v>
      </c>
      <c r="L99">
        <v>446644.9</v>
      </c>
      <c r="M99">
        <v>0</v>
      </c>
      <c r="N99">
        <v>577518.48</v>
      </c>
      <c r="O99" t="s">
        <v>1507</v>
      </c>
    </row>
    <row r="100" spans="1:15" x14ac:dyDescent="0.25">
      <c r="A100" t="s">
        <v>1752</v>
      </c>
      <c r="B100" t="s">
        <v>1753</v>
      </c>
      <c r="C100" t="s">
        <v>1754</v>
      </c>
      <c r="D100" t="s">
        <v>110</v>
      </c>
      <c r="E100" s="2">
        <v>44695</v>
      </c>
      <c r="F100" t="s">
        <v>29</v>
      </c>
      <c r="G100">
        <v>3000000</v>
      </c>
      <c r="H100" s="2">
        <v>44716</v>
      </c>
      <c r="I100">
        <v>2022</v>
      </c>
      <c r="J100">
        <v>20663.2331746362</v>
      </c>
      <c r="K100">
        <v>68769.386825363807</v>
      </c>
      <c r="L100">
        <v>741352.47</v>
      </c>
      <c r="M100">
        <v>0</v>
      </c>
      <c r="N100">
        <v>830785.09</v>
      </c>
      <c r="O100" t="s">
        <v>131</v>
      </c>
    </row>
    <row r="101" spans="1:15" x14ac:dyDescent="0.25">
      <c r="A101" t="s">
        <v>1755</v>
      </c>
      <c r="B101" t="s">
        <v>1756</v>
      </c>
      <c r="C101" t="s">
        <v>1757</v>
      </c>
      <c r="D101" t="s">
        <v>110</v>
      </c>
      <c r="E101" s="2">
        <v>44265</v>
      </c>
      <c r="F101" t="s">
        <v>39</v>
      </c>
      <c r="G101">
        <v>1000000</v>
      </c>
      <c r="H101" s="2">
        <v>44616</v>
      </c>
      <c r="I101">
        <v>2022</v>
      </c>
      <c r="J101">
        <v>11744.573498154001</v>
      </c>
      <c r="K101">
        <v>29312.566501845999</v>
      </c>
      <c r="L101">
        <v>276217.53999999998</v>
      </c>
      <c r="M101">
        <v>0</v>
      </c>
      <c r="N101">
        <v>317274.68</v>
      </c>
      <c r="O101" t="s">
        <v>1514</v>
      </c>
    </row>
    <row r="102" spans="1:15" x14ac:dyDescent="0.25">
      <c r="A102" t="s">
        <v>1758</v>
      </c>
      <c r="B102" t="s">
        <v>1759</v>
      </c>
      <c r="C102" t="s">
        <v>1760</v>
      </c>
      <c r="D102" t="s">
        <v>110</v>
      </c>
      <c r="E102" s="2">
        <v>44474</v>
      </c>
      <c r="F102" t="s">
        <v>17</v>
      </c>
      <c r="G102">
        <v>1000000</v>
      </c>
      <c r="H102" s="2">
        <v>44723</v>
      </c>
      <c r="I102">
        <v>2022</v>
      </c>
      <c r="J102">
        <v>1890.08047176068</v>
      </c>
      <c r="K102">
        <v>6851.6195282393201</v>
      </c>
      <c r="L102">
        <v>78512.56</v>
      </c>
      <c r="M102">
        <v>0</v>
      </c>
      <c r="N102">
        <v>87254.26</v>
      </c>
      <c r="O102" t="s">
        <v>1475</v>
      </c>
    </row>
    <row r="103" spans="1:15" x14ac:dyDescent="0.25">
      <c r="A103" t="s">
        <v>1761</v>
      </c>
      <c r="B103" t="s">
        <v>1762</v>
      </c>
      <c r="C103" t="s">
        <v>1763</v>
      </c>
      <c r="D103" t="s">
        <v>110</v>
      </c>
      <c r="E103" s="2">
        <v>44399</v>
      </c>
      <c r="F103" t="s">
        <v>50</v>
      </c>
      <c r="G103">
        <v>5000000</v>
      </c>
      <c r="H103" s="2">
        <v>44535</v>
      </c>
      <c r="I103">
        <v>2021</v>
      </c>
      <c r="J103">
        <v>4478.82355153146</v>
      </c>
      <c r="K103">
        <v>12916.9564484685</v>
      </c>
      <c r="L103">
        <v>129438.49</v>
      </c>
      <c r="M103">
        <v>0</v>
      </c>
      <c r="N103">
        <v>146834.26999999999</v>
      </c>
      <c r="O103" t="s">
        <v>1479</v>
      </c>
    </row>
    <row r="104" spans="1:15" x14ac:dyDescent="0.25">
      <c r="A104" t="s">
        <v>1764</v>
      </c>
      <c r="B104" t="s">
        <v>1765</v>
      </c>
      <c r="C104" t="s">
        <v>1766</v>
      </c>
      <c r="D104" t="s">
        <v>110</v>
      </c>
      <c r="E104" s="2">
        <v>44564</v>
      </c>
      <c r="F104" t="s">
        <v>23</v>
      </c>
      <c r="G104">
        <v>1000000</v>
      </c>
      <c r="H104" s="2">
        <v>44749</v>
      </c>
      <c r="I104">
        <v>2022</v>
      </c>
      <c r="J104">
        <v>5576.6326500884297</v>
      </c>
      <c r="K104">
        <v>15619.337349911601</v>
      </c>
      <c r="L104">
        <v>86119.65</v>
      </c>
      <c r="M104">
        <v>0</v>
      </c>
      <c r="N104">
        <v>107315.62</v>
      </c>
      <c r="O104" t="s">
        <v>1471</v>
      </c>
    </row>
    <row r="105" spans="1:15" x14ac:dyDescent="0.25">
      <c r="A105" t="s">
        <v>1767</v>
      </c>
      <c r="B105" t="s">
        <v>1768</v>
      </c>
      <c r="C105" t="s">
        <v>1769</v>
      </c>
      <c r="D105" t="s">
        <v>734</v>
      </c>
      <c r="E105" s="2">
        <v>44511</v>
      </c>
      <c r="F105" t="s">
        <v>50</v>
      </c>
      <c r="G105">
        <v>1000000</v>
      </c>
      <c r="H105" s="2">
        <v>44746</v>
      </c>
      <c r="I105">
        <v>2022</v>
      </c>
      <c r="J105">
        <v>1447.1673221491001</v>
      </c>
      <c r="K105">
        <v>4468.7326778508996</v>
      </c>
      <c r="L105">
        <v>25296.98</v>
      </c>
      <c r="M105">
        <v>19468.73</v>
      </c>
      <c r="N105">
        <v>50681.61</v>
      </c>
      <c r="O105" t="s">
        <v>1562</v>
      </c>
    </row>
    <row r="106" spans="1:15" x14ac:dyDescent="0.25">
      <c r="A106" t="s">
        <v>1770</v>
      </c>
      <c r="B106" t="s">
        <v>1771</v>
      </c>
      <c r="C106" t="s">
        <v>1772</v>
      </c>
      <c r="D106" t="s">
        <v>110</v>
      </c>
      <c r="E106" s="2">
        <v>44534</v>
      </c>
      <c r="F106" t="s">
        <v>13</v>
      </c>
      <c r="G106">
        <v>3000000</v>
      </c>
      <c r="H106" s="2">
        <v>44763</v>
      </c>
      <c r="I106">
        <v>2022</v>
      </c>
      <c r="J106">
        <v>52851.768073396401</v>
      </c>
      <c r="K106">
        <v>204614.861926604</v>
      </c>
      <c r="L106">
        <v>1136685.17</v>
      </c>
      <c r="M106">
        <v>0</v>
      </c>
      <c r="N106">
        <v>1394151.8</v>
      </c>
      <c r="O106" t="s">
        <v>131</v>
      </c>
    </row>
    <row r="107" spans="1:15" x14ac:dyDescent="0.25">
      <c r="A107" t="s">
        <v>1773</v>
      </c>
      <c r="B107" t="s">
        <v>1774</v>
      </c>
      <c r="C107" t="s">
        <v>1775</v>
      </c>
      <c r="D107" t="s">
        <v>110</v>
      </c>
      <c r="E107" s="2">
        <v>44409</v>
      </c>
      <c r="F107" t="s">
        <v>17</v>
      </c>
      <c r="G107">
        <v>10000000</v>
      </c>
      <c r="H107" s="2">
        <v>44771</v>
      </c>
      <c r="I107">
        <v>2022</v>
      </c>
      <c r="J107">
        <v>33249.752312738303</v>
      </c>
      <c r="K107">
        <v>119867.997687262</v>
      </c>
      <c r="L107">
        <v>554961.46</v>
      </c>
      <c r="M107">
        <v>0</v>
      </c>
      <c r="N107">
        <v>708079.21</v>
      </c>
      <c r="O107" t="s">
        <v>1507</v>
      </c>
    </row>
    <row r="108" spans="1:15" x14ac:dyDescent="0.25">
      <c r="A108" t="s">
        <v>1776</v>
      </c>
      <c r="B108" t="s">
        <v>1777</v>
      </c>
      <c r="C108" t="s">
        <v>1778</v>
      </c>
      <c r="D108" t="s">
        <v>110</v>
      </c>
      <c r="E108" s="2">
        <v>44685</v>
      </c>
      <c r="F108" t="s">
        <v>45</v>
      </c>
      <c r="G108">
        <v>1000000</v>
      </c>
      <c r="H108" s="2">
        <v>44762</v>
      </c>
      <c r="I108">
        <v>2022</v>
      </c>
      <c r="J108">
        <v>10604.7937551715</v>
      </c>
      <c r="K108">
        <v>29037.7062448285</v>
      </c>
      <c r="L108">
        <v>213705.67</v>
      </c>
      <c r="M108">
        <v>0</v>
      </c>
      <c r="N108">
        <v>253348.17</v>
      </c>
      <c r="O108" t="s">
        <v>115</v>
      </c>
    </row>
    <row r="109" spans="1:15" x14ac:dyDescent="0.25">
      <c r="A109" t="s">
        <v>1779</v>
      </c>
      <c r="B109" t="s">
        <v>1780</v>
      </c>
      <c r="C109" t="s">
        <v>1781</v>
      </c>
      <c r="D109" t="s">
        <v>110</v>
      </c>
      <c r="E109" s="2">
        <v>44466</v>
      </c>
      <c r="F109" t="s">
        <v>42</v>
      </c>
      <c r="G109">
        <v>3000000</v>
      </c>
      <c r="H109" s="2">
        <v>44772</v>
      </c>
      <c r="I109">
        <v>2022</v>
      </c>
      <c r="J109">
        <v>17765.390118585201</v>
      </c>
      <c r="K109">
        <v>42835.049881414801</v>
      </c>
      <c r="L109">
        <v>221374.69</v>
      </c>
      <c r="M109">
        <v>0</v>
      </c>
      <c r="N109">
        <v>281975.13</v>
      </c>
      <c r="O109" t="s">
        <v>143</v>
      </c>
    </row>
    <row r="110" spans="1:15" x14ac:dyDescent="0.25">
      <c r="A110" t="s">
        <v>1782</v>
      </c>
      <c r="B110" t="s">
        <v>1783</v>
      </c>
      <c r="C110" t="s">
        <v>1784</v>
      </c>
      <c r="D110" t="s">
        <v>110</v>
      </c>
      <c r="E110" s="2">
        <v>44572</v>
      </c>
      <c r="F110" t="s">
        <v>41</v>
      </c>
      <c r="G110">
        <v>10000000</v>
      </c>
      <c r="H110" s="2">
        <v>44759</v>
      </c>
      <c r="I110">
        <v>2022</v>
      </c>
      <c r="J110">
        <v>29487.575110942598</v>
      </c>
      <c r="K110">
        <v>88686.704889057393</v>
      </c>
      <c r="L110">
        <v>1139580.07</v>
      </c>
      <c r="M110">
        <v>0</v>
      </c>
      <c r="N110">
        <v>1257754.3500000001</v>
      </c>
      <c r="O110" t="s">
        <v>353</v>
      </c>
    </row>
    <row r="111" spans="1:15" x14ac:dyDescent="0.25">
      <c r="A111" t="s">
        <v>1785</v>
      </c>
      <c r="B111" t="s">
        <v>1786</v>
      </c>
      <c r="C111" t="s">
        <v>1787</v>
      </c>
      <c r="D111" t="s">
        <v>110</v>
      </c>
      <c r="E111" s="2">
        <v>44651</v>
      </c>
      <c r="F111" t="s">
        <v>52</v>
      </c>
      <c r="G111">
        <v>4000000</v>
      </c>
      <c r="H111" s="2">
        <v>44739</v>
      </c>
      <c r="I111">
        <v>2022</v>
      </c>
      <c r="J111">
        <v>9340.8058736689509</v>
      </c>
      <c r="K111">
        <v>37063.224126330999</v>
      </c>
      <c r="L111">
        <v>195265.39</v>
      </c>
      <c r="M111">
        <v>0</v>
      </c>
      <c r="N111">
        <v>241669.42</v>
      </c>
      <c r="O111" t="s">
        <v>115</v>
      </c>
    </row>
    <row r="112" spans="1:15" x14ac:dyDescent="0.25">
      <c r="A112" t="s">
        <v>1788</v>
      </c>
      <c r="B112" t="s">
        <v>1789</v>
      </c>
      <c r="C112" t="s">
        <v>1790</v>
      </c>
      <c r="D112" t="s">
        <v>734</v>
      </c>
      <c r="E112" s="2">
        <v>44664</v>
      </c>
      <c r="F112" t="s">
        <v>14</v>
      </c>
      <c r="G112">
        <v>5000000</v>
      </c>
      <c r="H112" s="2">
        <v>44785</v>
      </c>
      <c r="I112">
        <v>2022</v>
      </c>
      <c r="J112">
        <v>9110.3703882255195</v>
      </c>
      <c r="K112">
        <v>26328.5396117745</v>
      </c>
      <c r="L112">
        <v>298347.96000000002</v>
      </c>
      <c r="M112">
        <v>135916.67000000001</v>
      </c>
      <c r="N112">
        <v>469703.54</v>
      </c>
      <c r="O112" t="s">
        <v>1507</v>
      </c>
    </row>
    <row r="113" spans="1:15" x14ac:dyDescent="0.25">
      <c r="A113" t="s">
        <v>1791</v>
      </c>
      <c r="B113" t="s">
        <v>1792</v>
      </c>
      <c r="C113" t="s">
        <v>1793</v>
      </c>
      <c r="D113" t="s">
        <v>110</v>
      </c>
      <c r="E113" s="2">
        <v>44493</v>
      </c>
      <c r="F113" t="s">
        <v>12</v>
      </c>
      <c r="G113">
        <v>1000000</v>
      </c>
      <c r="H113" s="2">
        <v>44648</v>
      </c>
      <c r="I113">
        <v>2022</v>
      </c>
      <c r="J113">
        <v>2428.6812620022301</v>
      </c>
      <c r="K113">
        <v>9631.8987379977698</v>
      </c>
      <c r="L113">
        <v>85000.09</v>
      </c>
      <c r="M113">
        <v>0</v>
      </c>
      <c r="N113">
        <v>97060.67</v>
      </c>
      <c r="O113" t="s">
        <v>1471</v>
      </c>
    </row>
    <row r="114" spans="1:15" x14ac:dyDescent="0.25">
      <c r="A114" t="s">
        <v>1794</v>
      </c>
      <c r="B114" t="s">
        <v>1795</v>
      </c>
      <c r="C114" t="s">
        <v>1796</v>
      </c>
      <c r="D114" t="s">
        <v>110</v>
      </c>
      <c r="E114" s="2">
        <v>44543</v>
      </c>
      <c r="F114" t="s">
        <v>49</v>
      </c>
      <c r="G114">
        <v>10000000</v>
      </c>
      <c r="H114" s="2">
        <v>44751</v>
      </c>
      <c r="I114">
        <v>2022</v>
      </c>
      <c r="J114">
        <v>10232.4610331068</v>
      </c>
      <c r="K114">
        <v>36057.178966893203</v>
      </c>
      <c r="L114">
        <v>303221.09999999998</v>
      </c>
      <c r="M114">
        <v>0</v>
      </c>
      <c r="N114">
        <v>349510.74</v>
      </c>
      <c r="O114" t="s">
        <v>1514</v>
      </c>
    </row>
    <row r="115" spans="1:15" x14ac:dyDescent="0.25">
      <c r="A115" t="s">
        <v>1797</v>
      </c>
      <c r="B115" t="s">
        <v>1798</v>
      </c>
      <c r="C115" t="s">
        <v>1799</v>
      </c>
      <c r="D115" t="s">
        <v>734</v>
      </c>
      <c r="E115" s="2">
        <v>44761</v>
      </c>
      <c r="F115" t="s">
        <v>43</v>
      </c>
      <c r="G115">
        <v>2000000</v>
      </c>
      <c r="H115" s="2">
        <v>44776</v>
      </c>
      <c r="I115">
        <v>2022</v>
      </c>
      <c r="J115">
        <v>3665.0409114068998</v>
      </c>
      <c r="K115">
        <v>13174.879088593099</v>
      </c>
      <c r="L115">
        <v>101916.47</v>
      </c>
      <c r="M115">
        <v>57041.13</v>
      </c>
      <c r="N115">
        <v>175797.52</v>
      </c>
      <c r="O115" t="s">
        <v>1578</v>
      </c>
    </row>
    <row r="116" spans="1:15" x14ac:dyDescent="0.25">
      <c r="A116" t="s">
        <v>1800</v>
      </c>
      <c r="B116" t="s">
        <v>1801</v>
      </c>
      <c r="C116" t="s">
        <v>1802</v>
      </c>
      <c r="D116" t="s">
        <v>110</v>
      </c>
      <c r="E116" s="2">
        <v>44576</v>
      </c>
      <c r="F116" t="s">
        <v>49</v>
      </c>
      <c r="G116">
        <v>10000000</v>
      </c>
      <c r="H116" s="2">
        <v>44807</v>
      </c>
      <c r="I116">
        <v>2022</v>
      </c>
      <c r="J116">
        <v>10162.398827299499</v>
      </c>
      <c r="K116">
        <v>35334.041172700498</v>
      </c>
      <c r="L116">
        <v>174590.36</v>
      </c>
      <c r="M116">
        <v>0</v>
      </c>
      <c r="N116">
        <v>220086.8</v>
      </c>
      <c r="O116" t="s">
        <v>179</v>
      </c>
    </row>
    <row r="117" spans="1:15" x14ac:dyDescent="0.25">
      <c r="A117" t="s">
        <v>1803</v>
      </c>
      <c r="B117" t="s">
        <v>1804</v>
      </c>
      <c r="C117" t="s">
        <v>1805</v>
      </c>
      <c r="D117" t="s">
        <v>110</v>
      </c>
      <c r="E117" s="2">
        <v>44608</v>
      </c>
      <c r="F117" t="s">
        <v>9</v>
      </c>
      <c r="G117">
        <v>5000000</v>
      </c>
      <c r="H117" s="2">
        <v>44799</v>
      </c>
      <c r="I117">
        <v>2022</v>
      </c>
      <c r="J117">
        <v>4010.7188137468802</v>
      </c>
      <c r="K117">
        <v>13151.2711862531</v>
      </c>
      <c r="L117">
        <v>119967.71</v>
      </c>
      <c r="M117">
        <v>0</v>
      </c>
      <c r="N117">
        <v>137129.70000000001</v>
      </c>
      <c r="O117" t="s">
        <v>1521</v>
      </c>
    </row>
    <row r="118" spans="1:15" x14ac:dyDescent="0.25">
      <c r="A118" t="s">
        <v>1806</v>
      </c>
      <c r="B118" t="s">
        <v>1807</v>
      </c>
      <c r="C118" t="s">
        <v>1808</v>
      </c>
      <c r="D118" t="s">
        <v>110</v>
      </c>
      <c r="E118" s="2">
        <v>44573</v>
      </c>
      <c r="F118" t="s">
        <v>34</v>
      </c>
      <c r="G118">
        <v>1000000</v>
      </c>
      <c r="H118" s="2">
        <v>44810</v>
      </c>
      <c r="I118">
        <v>2022</v>
      </c>
      <c r="J118">
        <v>3385.2287474529899</v>
      </c>
      <c r="K118">
        <v>10283.081252546999</v>
      </c>
      <c r="L118">
        <v>61059.75</v>
      </c>
      <c r="M118">
        <v>0</v>
      </c>
      <c r="N118">
        <v>74728.06</v>
      </c>
      <c r="O118" t="s">
        <v>240</v>
      </c>
    </row>
    <row r="119" spans="1:15" x14ac:dyDescent="0.25">
      <c r="A119" t="s">
        <v>1809</v>
      </c>
      <c r="B119" t="s">
        <v>1810</v>
      </c>
      <c r="C119" t="s">
        <v>1811</v>
      </c>
      <c r="D119" t="s">
        <v>110</v>
      </c>
      <c r="E119" s="2">
        <v>44731</v>
      </c>
      <c r="F119" t="s">
        <v>12</v>
      </c>
      <c r="G119">
        <v>1000000</v>
      </c>
      <c r="H119" s="2">
        <v>44783</v>
      </c>
      <c r="I119">
        <v>2022</v>
      </c>
      <c r="J119">
        <v>1424.6113978903199</v>
      </c>
      <c r="K119">
        <v>4917.3286021096801</v>
      </c>
      <c r="L119">
        <v>50672.29</v>
      </c>
      <c r="M119">
        <v>0</v>
      </c>
      <c r="N119">
        <v>57014.23</v>
      </c>
      <c r="O119" t="s">
        <v>1562</v>
      </c>
    </row>
    <row r="120" spans="1:15" x14ac:dyDescent="0.25">
      <c r="A120" t="s">
        <v>1812</v>
      </c>
      <c r="B120" t="s">
        <v>1813</v>
      </c>
      <c r="C120" t="s">
        <v>1814</v>
      </c>
      <c r="D120" t="s">
        <v>734</v>
      </c>
      <c r="E120" s="2">
        <v>44701</v>
      </c>
      <c r="F120" t="s">
        <v>12</v>
      </c>
      <c r="G120">
        <v>1000000</v>
      </c>
      <c r="H120" s="2">
        <v>44806</v>
      </c>
      <c r="I120">
        <v>2022</v>
      </c>
      <c r="J120">
        <v>12566.2526503015</v>
      </c>
      <c r="K120">
        <v>46843.577349698498</v>
      </c>
      <c r="L120">
        <v>329434.49</v>
      </c>
      <c r="M120">
        <v>26657.39</v>
      </c>
      <c r="N120">
        <v>415501.71</v>
      </c>
      <c r="O120" t="s">
        <v>1500</v>
      </c>
    </row>
    <row r="121" spans="1:15" x14ac:dyDescent="0.25">
      <c r="A121" t="s">
        <v>1815</v>
      </c>
      <c r="B121" t="s">
        <v>1816</v>
      </c>
      <c r="C121" t="s">
        <v>1817</v>
      </c>
      <c r="D121" t="s">
        <v>110</v>
      </c>
      <c r="E121" s="2">
        <v>44798</v>
      </c>
      <c r="F121" t="s">
        <v>50</v>
      </c>
      <c r="G121">
        <v>1000000</v>
      </c>
      <c r="H121" s="2">
        <v>44819</v>
      </c>
      <c r="I121">
        <v>2022</v>
      </c>
      <c r="J121">
        <v>6992.4959167028501</v>
      </c>
      <c r="K121">
        <v>24463.624083297102</v>
      </c>
      <c r="L121">
        <v>251725.55</v>
      </c>
      <c r="M121">
        <v>0</v>
      </c>
      <c r="N121">
        <v>283181.67</v>
      </c>
      <c r="O121" t="s">
        <v>1514</v>
      </c>
    </row>
    <row r="122" spans="1:15" x14ac:dyDescent="0.25">
      <c r="A122" t="s">
        <v>1818</v>
      </c>
      <c r="B122" t="s">
        <v>1819</v>
      </c>
      <c r="C122" t="s">
        <v>1820</v>
      </c>
      <c r="D122" t="s">
        <v>734</v>
      </c>
      <c r="E122" s="2">
        <v>44537</v>
      </c>
      <c r="F122" t="s">
        <v>34</v>
      </c>
      <c r="G122">
        <v>10000000</v>
      </c>
      <c r="H122" s="2">
        <v>44848</v>
      </c>
      <c r="I122">
        <v>2022</v>
      </c>
      <c r="J122">
        <v>9645.5160660825295</v>
      </c>
      <c r="K122">
        <v>22933.723933917499</v>
      </c>
      <c r="L122">
        <v>125426.5</v>
      </c>
      <c r="M122">
        <v>12254.17</v>
      </c>
      <c r="N122">
        <v>170259.91</v>
      </c>
      <c r="O122" t="s">
        <v>1492</v>
      </c>
    </row>
    <row r="123" spans="1:15" x14ac:dyDescent="0.25">
      <c r="A123" t="s">
        <v>1821</v>
      </c>
      <c r="B123" t="s">
        <v>1822</v>
      </c>
      <c r="C123" t="s">
        <v>1823</v>
      </c>
      <c r="D123" t="s">
        <v>110</v>
      </c>
      <c r="E123" s="2">
        <v>44513</v>
      </c>
      <c r="F123" t="s">
        <v>50</v>
      </c>
      <c r="G123">
        <v>1000000</v>
      </c>
      <c r="H123" s="2">
        <v>44836</v>
      </c>
      <c r="I123">
        <v>2022</v>
      </c>
      <c r="J123">
        <v>2102.0287842770399</v>
      </c>
      <c r="K123">
        <v>7313.7912157229603</v>
      </c>
      <c r="L123">
        <v>53882.93</v>
      </c>
      <c r="M123">
        <v>0</v>
      </c>
      <c r="N123">
        <v>63298.75</v>
      </c>
      <c r="O123" t="s">
        <v>1562</v>
      </c>
    </row>
    <row r="124" spans="1:15" x14ac:dyDescent="0.25">
      <c r="A124" t="s">
        <v>1824</v>
      </c>
      <c r="B124" t="s">
        <v>1825</v>
      </c>
      <c r="C124" t="s">
        <v>1826</v>
      </c>
      <c r="D124" t="s">
        <v>110</v>
      </c>
      <c r="E124" s="2">
        <v>44756</v>
      </c>
      <c r="F124" t="s">
        <v>52</v>
      </c>
      <c r="G124">
        <v>1000000</v>
      </c>
      <c r="H124" s="2">
        <v>44852</v>
      </c>
      <c r="I124">
        <v>2022</v>
      </c>
      <c r="J124">
        <v>4973.8232580057602</v>
      </c>
      <c r="K124">
        <v>18609.096741994199</v>
      </c>
      <c r="L124">
        <v>90196.24</v>
      </c>
      <c r="M124">
        <v>0</v>
      </c>
      <c r="N124">
        <v>113779.16</v>
      </c>
      <c r="O124" t="s">
        <v>1496</v>
      </c>
    </row>
    <row r="125" spans="1:15" x14ac:dyDescent="0.25">
      <c r="A125" t="s">
        <v>1827</v>
      </c>
      <c r="B125" t="s">
        <v>1828</v>
      </c>
      <c r="C125" t="s">
        <v>1829</v>
      </c>
      <c r="D125" t="s">
        <v>734</v>
      </c>
      <c r="E125" s="2">
        <v>44806</v>
      </c>
      <c r="F125" t="s">
        <v>42</v>
      </c>
      <c r="G125">
        <v>1000000</v>
      </c>
      <c r="H125" s="2">
        <v>44863</v>
      </c>
      <c r="I125">
        <v>2022</v>
      </c>
      <c r="J125">
        <v>4637.6725770610901</v>
      </c>
      <c r="K125">
        <v>15930.497422938901</v>
      </c>
      <c r="L125">
        <v>109873.86</v>
      </c>
      <c r="M125">
        <v>3912.04</v>
      </c>
      <c r="N125">
        <v>134354.07</v>
      </c>
      <c r="O125" t="s">
        <v>1521</v>
      </c>
    </row>
    <row r="126" spans="1:15" x14ac:dyDescent="0.25">
      <c r="A126" t="s">
        <v>1830</v>
      </c>
      <c r="B126" t="s">
        <v>1831</v>
      </c>
      <c r="C126" t="s">
        <v>1832</v>
      </c>
      <c r="D126" t="s">
        <v>110</v>
      </c>
      <c r="E126" s="2">
        <v>44588</v>
      </c>
      <c r="F126" t="s">
        <v>50</v>
      </c>
      <c r="G126">
        <v>3000000</v>
      </c>
      <c r="H126" s="2">
        <v>44863</v>
      </c>
      <c r="I126">
        <v>2022</v>
      </c>
      <c r="J126">
        <v>5520.97060583854</v>
      </c>
      <c r="K126">
        <v>15918.6893941615</v>
      </c>
      <c r="L126">
        <v>76525.259999999995</v>
      </c>
      <c r="M126">
        <v>0</v>
      </c>
      <c r="N126">
        <v>97964.92</v>
      </c>
      <c r="O126" t="s">
        <v>1475</v>
      </c>
    </row>
    <row r="127" spans="1:15" x14ac:dyDescent="0.25">
      <c r="A127" t="s">
        <v>1833</v>
      </c>
      <c r="B127" t="s">
        <v>1834</v>
      </c>
      <c r="C127" t="s">
        <v>1835</v>
      </c>
      <c r="D127" t="s">
        <v>110</v>
      </c>
      <c r="E127" s="2">
        <v>44543</v>
      </c>
      <c r="F127" t="s">
        <v>50</v>
      </c>
      <c r="G127">
        <v>1000000</v>
      </c>
      <c r="H127" s="2">
        <v>44716</v>
      </c>
      <c r="I127">
        <v>2022</v>
      </c>
      <c r="J127">
        <v>18840.234803111998</v>
      </c>
      <c r="K127">
        <v>49071.405196888001</v>
      </c>
      <c r="L127">
        <v>242996.55</v>
      </c>
      <c r="M127">
        <v>0</v>
      </c>
      <c r="N127">
        <v>310908.19</v>
      </c>
      <c r="O127" t="s">
        <v>143</v>
      </c>
    </row>
    <row r="128" spans="1:15" x14ac:dyDescent="0.25">
      <c r="A128" t="s">
        <v>1836</v>
      </c>
      <c r="B128" t="s">
        <v>1837</v>
      </c>
      <c r="C128" t="s">
        <v>1713</v>
      </c>
      <c r="D128" t="s">
        <v>110</v>
      </c>
      <c r="E128" s="2">
        <v>44805</v>
      </c>
      <c r="F128" t="s">
        <v>41</v>
      </c>
      <c r="G128">
        <v>1000000</v>
      </c>
      <c r="H128" s="2">
        <v>44806</v>
      </c>
      <c r="I128">
        <v>2022</v>
      </c>
      <c r="J128">
        <v>8087.2448152900197</v>
      </c>
      <c r="K128">
        <v>25348.405184710002</v>
      </c>
      <c r="L128">
        <v>218097.72</v>
      </c>
      <c r="M128">
        <v>0</v>
      </c>
      <c r="N128">
        <v>251533.37</v>
      </c>
      <c r="O128" t="s">
        <v>115</v>
      </c>
    </row>
    <row r="129" spans="1:15" x14ac:dyDescent="0.25">
      <c r="A129" t="s">
        <v>1838</v>
      </c>
      <c r="B129" t="s">
        <v>1839</v>
      </c>
      <c r="C129" t="s">
        <v>1840</v>
      </c>
      <c r="D129" t="s">
        <v>734</v>
      </c>
      <c r="E129" s="2">
        <v>44852</v>
      </c>
      <c r="F129" t="s">
        <v>11</v>
      </c>
      <c r="G129">
        <v>10000000</v>
      </c>
      <c r="H129" s="2">
        <v>44875</v>
      </c>
      <c r="I129">
        <v>2022</v>
      </c>
      <c r="J129">
        <v>16164.7977099991</v>
      </c>
      <c r="K129">
        <v>52880.442290000901</v>
      </c>
      <c r="L129">
        <v>339471.65</v>
      </c>
      <c r="M129">
        <v>58191.39</v>
      </c>
      <c r="N129">
        <v>466708.28</v>
      </c>
      <c r="O129" t="s">
        <v>1507</v>
      </c>
    </row>
    <row r="130" spans="1:15" x14ac:dyDescent="0.25">
      <c r="A130" t="s">
        <v>1841</v>
      </c>
      <c r="B130" t="s">
        <v>1842</v>
      </c>
      <c r="C130" t="s">
        <v>1843</v>
      </c>
      <c r="D130" t="s">
        <v>110</v>
      </c>
      <c r="E130" s="2">
        <v>44834</v>
      </c>
      <c r="F130" t="s">
        <v>18</v>
      </c>
      <c r="G130">
        <v>4000000</v>
      </c>
      <c r="H130" s="2">
        <v>44877</v>
      </c>
      <c r="I130">
        <v>2022</v>
      </c>
      <c r="J130">
        <v>6253.6003358052103</v>
      </c>
      <c r="K130">
        <v>21113.709664194801</v>
      </c>
      <c r="L130">
        <v>133919.43</v>
      </c>
      <c r="M130">
        <v>0</v>
      </c>
      <c r="N130">
        <v>161286.74</v>
      </c>
      <c r="O130" t="s">
        <v>1492</v>
      </c>
    </row>
    <row r="131" spans="1:15" x14ac:dyDescent="0.25">
      <c r="A131" t="s">
        <v>1844</v>
      </c>
      <c r="B131" t="s">
        <v>1845</v>
      </c>
      <c r="C131" t="s">
        <v>1846</v>
      </c>
      <c r="D131" t="s">
        <v>110</v>
      </c>
      <c r="E131" s="2">
        <v>44646</v>
      </c>
      <c r="F131" t="s">
        <v>54</v>
      </c>
      <c r="G131">
        <v>1000000</v>
      </c>
      <c r="H131" s="2">
        <v>44858</v>
      </c>
      <c r="I131">
        <v>2022</v>
      </c>
      <c r="J131">
        <v>2023.50203675852</v>
      </c>
      <c r="K131">
        <v>7300.0279632414804</v>
      </c>
      <c r="L131">
        <v>64776.81</v>
      </c>
      <c r="M131">
        <v>0</v>
      </c>
      <c r="N131">
        <v>74100.34</v>
      </c>
      <c r="O131" t="s">
        <v>1528</v>
      </c>
    </row>
    <row r="132" spans="1:15" x14ac:dyDescent="0.25">
      <c r="A132" t="s">
        <v>1847</v>
      </c>
      <c r="B132" t="s">
        <v>1848</v>
      </c>
      <c r="C132" t="s">
        <v>1849</v>
      </c>
      <c r="D132" t="s">
        <v>110</v>
      </c>
      <c r="E132" s="2">
        <v>44816</v>
      </c>
      <c r="F132" t="s">
        <v>12</v>
      </c>
      <c r="G132">
        <v>1000000</v>
      </c>
      <c r="H132" s="2">
        <v>44859</v>
      </c>
      <c r="I132">
        <v>2022</v>
      </c>
      <c r="J132">
        <v>8958.15379801167</v>
      </c>
      <c r="K132">
        <v>26569.5562019883</v>
      </c>
      <c r="L132">
        <v>125690.87</v>
      </c>
      <c r="M132">
        <v>0</v>
      </c>
      <c r="N132">
        <v>161218.57999999999</v>
      </c>
      <c r="O132" t="s">
        <v>1479</v>
      </c>
    </row>
    <row r="133" spans="1:15" x14ac:dyDescent="0.25">
      <c r="A133" t="s">
        <v>1850</v>
      </c>
      <c r="B133" t="s">
        <v>1851</v>
      </c>
      <c r="C133" t="s">
        <v>1852</v>
      </c>
      <c r="D133" t="s">
        <v>110</v>
      </c>
      <c r="E133" s="2">
        <v>44809</v>
      </c>
      <c r="F133" t="s">
        <v>27</v>
      </c>
      <c r="G133">
        <v>4000000</v>
      </c>
      <c r="H133" s="2">
        <v>44853</v>
      </c>
      <c r="I133">
        <v>2022</v>
      </c>
      <c r="J133">
        <v>11935.2522684537</v>
      </c>
      <c r="K133">
        <v>45322.417731546302</v>
      </c>
      <c r="L133">
        <v>191100.38</v>
      </c>
      <c r="M133">
        <v>0</v>
      </c>
      <c r="N133">
        <v>248358.05</v>
      </c>
      <c r="O133" t="s">
        <v>115</v>
      </c>
    </row>
    <row r="134" spans="1:15" x14ac:dyDescent="0.25">
      <c r="A134" t="s">
        <v>1853</v>
      </c>
      <c r="B134" t="s">
        <v>1854</v>
      </c>
      <c r="C134" t="s">
        <v>1855</v>
      </c>
      <c r="D134" t="s">
        <v>110</v>
      </c>
      <c r="E134" s="2">
        <v>44597</v>
      </c>
      <c r="F134" t="s">
        <v>12</v>
      </c>
      <c r="G134">
        <v>10000000</v>
      </c>
      <c r="H134" s="2">
        <v>44889</v>
      </c>
      <c r="I134">
        <v>2022</v>
      </c>
      <c r="J134">
        <v>41845.477903884399</v>
      </c>
      <c r="K134">
        <v>123983.77209611599</v>
      </c>
      <c r="L134">
        <v>710434.44</v>
      </c>
      <c r="M134">
        <v>0</v>
      </c>
      <c r="N134">
        <v>876263.69</v>
      </c>
      <c r="O134" t="s">
        <v>131</v>
      </c>
    </row>
    <row r="135" spans="1:15" x14ac:dyDescent="0.25">
      <c r="A135" t="s">
        <v>1856</v>
      </c>
      <c r="B135" t="s">
        <v>1857</v>
      </c>
      <c r="C135" t="s">
        <v>1858</v>
      </c>
      <c r="D135" t="s">
        <v>110</v>
      </c>
      <c r="E135" s="2">
        <v>44837</v>
      </c>
      <c r="F135" t="s">
        <v>44</v>
      </c>
      <c r="G135">
        <v>10000000</v>
      </c>
      <c r="H135" s="2">
        <v>44889</v>
      </c>
      <c r="I135">
        <v>2022</v>
      </c>
      <c r="J135">
        <v>2848.1596549915498</v>
      </c>
      <c r="K135">
        <v>8458.0503450084507</v>
      </c>
      <c r="L135">
        <v>52529.26</v>
      </c>
      <c r="M135">
        <v>0</v>
      </c>
      <c r="N135">
        <v>63835.47</v>
      </c>
      <c r="O135" t="s">
        <v>1562</v>
      </c>
    </row>
    <row r="136" spans="1:15" x14ac:dyDescent="0.25">
      <c r="A136" t="s">
        <v>1859</v>
      </c>
      <c r="B136" t="s">
        <v>1860</v>
      </c>
      <c r="C136" t="s">
        <v>1861</v>
      </c>
      <c r="D136" t="s">
        <v>110</v>
      </c>
      <c r="E136" s="2">
        <v>44712</v>
      </c>
      <c r="F136" t="s">
        <v>27</v>
      </c>
      <c r="G136">
        <v>4000000</v>
      </c>
      <c r="H136" s="2">
        <v>44885</v>
      </c>
      <c r="I136">
        <v>2022</v>
      </c>
      <c r="J136">
        <v>97234.232371295104</v>
      </c>
      <c r="K136">
        <v>262121.04762870501</v>
      </c>
      <c r="L136">
        <v>1679264.91</v>
      </c>
      <c r="M136">
        <v>0</v>
      </c>
      <c r="N136">
        <v>2038620.19</v>
      </c>
      <c r="O136" t="s">
        <v>353</v>
      </c>
    </row>
    <row r="137" spans="1:15" x14ac:dyDescent="0.25">
      <c r="A137" t="s">
        <v>1862</v>
      </c>
      <c r="B137" t="s">
        <v>1863</v>
      </c>
      <c r="C137" t="s">
        <v>1864</v>
      </c>
      <c r="D137" t="s">
        <v>110</v>
      </c>
      <c r="E137" s="2">
        <v>44778</v>
      </c>
      <c r="F137" t="s">
        <v>45</v>
      </c>
      <c r="G137">
        <v>1000000</v>
      </c>
      <c r="H137" s="2">
        <v>44891</v>
      </c>
      <c r="I137">
        <v>2022</v>
      </c>
      <c r="J137">
        <v>3807.0065067216301</v>
      </c>
      <c r="K137">
        <v>9891.7034932783608</v>
      </c>
      <c r="L137">
        <v>107627.94</v>
      </c>
      <c r="M137">
        <v>0</v>
      </c>
      <c r="N137">
        <v>121326.65</v>
      </c>
      <c r="O137" t="s">
        <v>233</v>
      </c>
    </row>
    <row r="138" spans="1:15" x14ac:dyDescent="0.25">
      <c r="A138" t="s">
        <v>1865</v>
      </c>
      <c r="B138" t="s">
        <v>1866</v>
      </c>
      <c r="C138" t="s">
        <v>1867</v>
      </c>
      <c r="D138" t="s">
        <v>110</v>
      </c>
      <c r="E138" s="2">
        <v>44511</v>
      </c>
      <c r="F138" t="s">
        <v>40</v>
      </c>
      <c r="G138">
        <v>5000000</v>
      </c>
      <c r="H138" s="2">
        <v>44873</v>
      </c>
      <c r="I138">
        <v>2022</v>
      </c>
      <c r="J138">
        <v>2591.02195849188</v>
      </c>
      <c r="K138">
        <v>7760.3080415081204</v>
      </c>
      <c r="L138">
        <v>73488.42</v>
      </c>
      <c r="M138">
        <v>0</v>
      </c>
      <c r="N138">
        <v>83839.75</v>
      </c>
      <c r="O138" t="s">
        <v>1467</v>
      </c>
    </row>
    <row r="139" spans="1:15" x14ac:dyDescent="0.25">
      <c r="A139" t="s">
        <v>1868</v>
      </c>
      <c r="B139" t="s">
        <v>1869</v>
      </c>
      <c r="C139" t="s">
        <v>1870</v>
      </c>
      <c r="D139" t="s">
        <v>110</v>
      </c>
      <c r="E139" s="2">
        <v>44577</v>
      </c>
      <c r="F139" t="s">
        <v>23</v>
      </c>
      <c r="G139">
        <v>1000000</v>
      </c>
      <c r="H139" s="2">
        <v>44904</v>
      </c>
      <c r="I139">
        <v>2022</v>
      </c>
      <c r="J139">
        <v>2967.1810012476299</v>
      </c>
      <c r="K139">
        <v>7400.43899875237</v>
      </c>
      <c r="L139">
        <v>76433.75</v>
      </c>
      <c r="M139">
        <v>0</v>
      </c>
      <c r="N139">
        <v>86801.37</v>
      </c>
      <c r="O139" t="s">
        <v>1467</v>
      </c>
    </row>
    <row r="140" spans="1:15" x14ac:dyDescent="0.25">
      <c r="A140" t="s">
        <v>1871</v>
      </c>
      <c r="B140" t="s">
        <v>1872</v>
      </c>
      <c r="C140" t="s">
        <v>1873</v>
      </c>
      <c r="D140" t="s">
        <v>110</v>
      </c>
      <c r="E140" s="2">
        <v>44623</v>
      </c>
      <c r="F140" t="s">
        <v>44</v>
      </c>
      <c r="G140">
        <v>1000000</v>
      </c>
      <c r="H140" s="2">
        <v>44884</v>
      </c>
      <c r="I140">
        <v>2022</v>
      </c>
      <c r="J140">
        <v>1965.49608675633</v>
      </c>
      <c r="K140">
        <v>5344.9539132436703</v>
      </c>
      <c r="L140">
        <v>67354.91</v>
      </c>
      <c r="M140">
        <v>0</v>
      </c>
      <c r="N140">
        <v>74665.36</v>
      </c>
      <c r="O140" t="s">
        <v>1528</v>
      </c>
    </row>
    <row r="141" spans="1:15" x14ac:dyDescent="0.25">
      <c r="A141" t="s">
        <v>1874</v>
      </c>
      <c r="B141" t="s">
        <v>1875</v>
      </c>
      <c r="C141" t="s">
        <v>1876</v>
      </c>
      <c r="D141" t="s">
        <v>110</v>
      </c>
      <c r="E141" s="2">
        <v>44830</v>
      </c>
      <c r="F141" t="s">
        <v>18</v>
      </c>
      <c r="G141">
        <v>10000000</v>
      </c>
      <c r="H141" s="2">
        <v>44910</v>
      </c>
      <c r="I141">
        <v>2022</v>
      </c>
      <c r="J141">
        <v>2119.41292557611</v>
      </c>
      <c r="K141">
        <v>6509.7670744238903</v>
      </c>
      <c r="L141">
        <v>84502.12</v>
      </c>
      <c r="M141">
        <v>0</v>
      </c>
      <c r="N141">
        <v>93131.3</v>
      </c>
      <c r="O141" t="s">
        <v>1471</v>
      </c>
    </row>
    <row r="142" spans="1:15" x14ac:dyDescent="0.25">
      <c r="A142" t="s">
        <v>1877</v>
      </c>
      <c r="B142" t="s">
        <v>1878</v>
      </c>
      <c r="C142" t="s">
        <v>1879</v>
      </c>
      <c r="D142" t="s">
        <v>110</v>
      </c>
      <c r="E142" s="2">
        <v>44662</v>
      </c>
      <c r="F142" t="s">
        <v>50</v>
      </c>
      <c r="G142">
        <v>1000000</v>
      </c>
      <c r="H142" s="2">
        <v>44949</v>
      </c>
      <c r="I142">
        <v>2023</v>
      </c>
      <c r="J142">
        <v>1919.3711267393801</v>
      </c>
      <c r="K142">
        <v>7443.1088732606104</v>
      </c>
      <c r="L142">
        <v>73825</v>
      </c>
      <c r="M142">
        <v>0</v>
      </c>
      <c r="N142">
        <v>83187.48</v>
      </c>
      <c r="O142" t="s">
        <v>1467</v>
      </c>
    </row>
    <row r="143" spans="1:15" x14ac:dyDescent="0.25">
      <c r="A143" t="s">
        <v>1880</v>
      </c>
      <c r="B143" t="s">
        <v>1881</v>
      </c>
      <c r="C143" t="s">
        <v>1882</v>
      </c>
      <c r="D143" t="s">
        <v>110</v>
      </c>
      <c r="E143" s="2">
        <v>44719</v>
      </c>
      <c r="F143" t="s">
        <v>24</v>
      </c>
      <c r="G143">
        <v>10000000</v>
      </c>
      <c r="H143" s="2">
        <v>44847</v>
      </c>
      <c r="I143">
        <v>2022</v>
      </c>
      <c r="J143">
        <v>12640.792733201</v>
      </c>
      <c r="K143">
        <v>48363.707266799</v>
      </c>
      <c r="L143">
        <v>337706.34</v>
      </c>
      <c r="M143">
        <v>0</v>
      </c>
      <c r="N143">
        <v>398710.84</v>
      </c>
      <c r="O143" t="s">
        <v>1500</v>
      </c>
    </row>
    <row r="144" spans="1:15" x14ac:dyDescent="0.25">
      <c r="A144" t="s">
        <v>1883</v>
      </c>
      <c r="B144" t="s">
        <v>1884</v>
      </c>
      <c r="C144" t="s">
        <v>1885</v>
      </c>
      <c r="D144" t="s">
        <v>110</v>
      </c>
      <c r="E144" s="2">
        <v>44577</v>
      </c>
      <c r="F144" t="s">
        <v>50</v>
      </c>
      <c r="G144">
        <v>2000000</v>
      </c>
      <c r="H144" s="2">
        <v>44634</v>
      </c>
      <c r="I144">
        <v>2022</v>
      </c>
      <c r="J144">
        <v>7513.9942016648001</v>
      </c>
      <c r="K144">
        <v>18862.575798335201</v>
      </c>
      <c r="L144">
        <v>166359.42000000001</v>
      </c>
      <c r="M144">
        <v>0</v>
      </c>
      <c r="N144">
        <v>192735.99</v>
      </c>
      <c r="O144" t="s">
        <v>1578</v>
      </c>
    </row>
    <row r="145" spans="1:15" x14ac:dyDescent="0.25">
      <c r="A145" t="s">
        <v>1886</v>
      </c>
      <c r="B145" t="s">
        <v>1887</v>
      </c>
      <c r="C145" t="s">
        <v>1888</v>
      </c>
      <c r="D145" t="s">
        <v>734</v>
      </c>
      <c r="E145" s="2">
        <v>44727</v>
      </c>
      <c r="F145" t="s">
        <v>24</v>
      </c>
      <c r="G145">
        <v>3000000</v>
      </c>
      <c r="H145" s="2">
        <v>44897</v>
      </c>
      <c r="I145">
        <v>2022</v>
      </c>
      <c r="J145">
        <v>5487.8261927055801</v>
      </c>
      <c r="K145">
        <v>19780.133807294402</v>
      </c>
      <c r="L145">
        <v>120179.02</v>
      </c>
      <c r="M145">
        <v>42997.71</v>
      </c>
      <c r="N145">
        <v>188444.69</v>
      </c>
      <c r="O145" t="s">
        <v>179</v>
      </c>
    </row>
    <row r="146" spans="1:15" x14ac:dyDescent="0.25">
      <c r="A146" t="s">
        <v>1889</v>
      </c>
      <c r="B146" t="s">
        <v>1890</v>
      </c>
      <c r="C146" t="s">
        <v>1891</v>
      </c>
      <c r="D146" t="s">
        <v>110</v>
      </c>
      <c r="E146" s="2">
        <v>44839</v>
      </c>
      <c r="F146" t="s">
        <v>12</v>
      </c>
      <c r="G146">
        <v>2000000</v>
      </c>
      <c r="H146" s="2">
        <v>44929</v>
      </c>
      <c r="I146">
        <v>2023</v>
      </c>
      <c r="J146">
        <v>2195.9116168891701</v>
      </c>
      <c r="K146">
        <v>7197.19838311083</v>
      </c>
      <c r="L146">
        <v>81761.25</v>
      </c>
      <c r="M146">
        <v>0</v>
      </c>
      <c r="N146">
        <v>91154.36</v>
      </c>
      <c r="O146" t="s">
        <v>1471</v>
      </c>
    </row>
    <row r="147" spans="1:15" x14ac:dyDescent="0.25">
      <c r="A147" t="s">
        <v>1892</v>
      </c>
      <c r="B147" t="s">
        <v>1893</v>
      </c>
      <c r="C147" t="s">
        <v>1894</v>
      </c>
      <c r="D147" t="s">
        <v>734</v>
      </c>
      <c r="E147" s="2">
        <v>44727</v>
      </c>
      <c r="F147" t="s">
        <v>54</v>
      </c>
      <c r="G147">
        <v>1000000</v>
      </c>
      <c r="H147" s="2">
        <v>44983</v>
      </c>
      <c r="I147">
        <v>2023</v>
      </c>
      <c r="J147">
        <v>3623.3014556523299</v>
      </c>
      <c r="K147">
        <v>11536.2685443477</v>
      </c>
      <c r="L147">
        <v>111473.32</v>
      </c>
      <c r="M147">
        <v>57794.29</v>
      </c>
      <c r="N147">
        <v>184427.18</v>
      </c>
      <c r="O147" t="s">
        <v>179</v>
      </c>
    </row>
    <row r="148" spans="1:15" x14ac:dyDescent="0.25">
      <c r="A148" t="s">
        <v>1895</v>
      </c>
      <c r="B148" t="s">
        <v>1896</v>
      </c>
      <c r="C148" t="s">
        <v>1897</v>
      </c>
      <c r="D148" t="s">
        <v>110</v>
      </c>
      <c r="E148" s="2">
        <v>44621</v>
      </c>
      <c r="F148" t="s">
        <v>22</v>
      </c>
      <c r="G148">
        <v>1000000</v>
      </c>
      <c r="H148" s="2">
        <v>44871</v>
      </c>
      <c r="I148">
        <v>2022</v>
      </c>
      <c r="J148">
        <v>1651.7755999817</v>
      </c>
      <c r="K148">
        <v>5516.4844000183002</v>
      </c>
      <c r="L148">
        <v>67096.98</v>
      </c>
      <c r="M148">
        <v>0</v>
      </c>
      <c r="N148">
        <v>74265.240000000005</v>
      </c>
      <c r="O148" t="s">
        <v>1528</v>
      </c>
    </row>
    <row r="149" spans="1:15" x14ac:dyDescent="0.25">
      <c r="A149" t="s">
        <v>1898</v>
      </c>
      <c r="B149" t="s">
        <v>1899</v>
      </c>
      <c r="C149" t="s">
        <v>1900</v>
      </c>
      <c r="D149" t="s">
        <v>110</v>
      </c>
      <c r="E149" s="2">
        <v>44941</v>
      </c>
      <c r="F149" t="s">
        <v>12</v>
      </c>
      <c r="G149">
        <v>1000000</v>
      </c>
      <c r="H149" s="2">
        <v>45003</v>
      </c>
      <c r="I149">
        <v>2023</v>
      </c>
      <c r="J149">
        <v>2231.5310016967101</v>
      </c>
      <c r="K149">
        <v>5472.2189983032904</v>
      </c>
      <c r="L149">
        <v>51465.41</v>
      </c>
      <c r="M149">
        <v>0</v>
      </c>
      <c r="N149">
        <v>59169.16</v>
      </c>
      <c r="O149" t="s">
        <v>1562</v>
      </c>
    </row>
    <row r="150" spans="1:15" x14ac:dyDescent="0.25">
      <c r="A150" t="s">
        <v>1901</v>
      </c>
      <c r="B150" t="s">
        <v>1902</v>
      </c>
      <c r="C150" t="s">
        <v>1903</v>
      </c>
      <c r="D150" t="s">
        <v>110</v>
      </c>
      <c r="E150" s="2">
        <v>44767</v>
      </c>
      <c r="F150" t="s">
        <v>42</v>
      </c>
      <c r="G150">
        <v>2000000</v>
      </c>
      <c r="H150" s="2">
        <v>44940</v>
      </c>
      <c r="I150">
        <v>2023</v>
      </c>
      <c r="J150">
        <v>25936.527905980402</v>
      </c>
      <c r="K150">
        <v>64371.762094019599</v>
      </c>
      <c r="L150">
        <v>375735.77</v>
      </c>
      <c r="M150">
        <v>0</v>
      </c>
      <c r="N150">
        <v>466044.06</v>
      </c>
      <c r="O150" t="s">
        <v>1500</v>
      </c>
    </row>
    <row r="151" spans="1:15" x14ac:dyDescent="0.25">
      <c r="A151" t="s">
        <v>1904</v>
      </c>
      <c r="B151" t="s">
        <v>1905</v>
      </c>
      <c r="C151" t="s">
        <v>1906</v>
      </c>
      <c r="D151" t="s">
        <v>734</v>
      </c>
      <c r="E151" s="2">
        <v>44909</v>
      </c>
      <c r="F151" t="s">
        <v>18</v>
      </c>
      <c r="G151">
        <v>1000000</v>
      </c>
      <c r="H151" s="2">
        <v>44991</v>
      </c>
      <c r="I151">
        <v>2023</v>
      </c>
      <c r="J151">
        <v>7631.2319456526102</v>
      </c>
      <c r="K151">
        <v>27333.678054347401</v>
      </c>
      <c r="L151">
        <v>134484.23000000001</v>
      </c>
      <c r="M151">
        <v>1381.6799999999901</v>
      </c>
      <c r="N151">
        <v>170830.82</v>
      </c>
      <c r="O151" t="s">
        <v>1492</v>
      </c>
    </row>
    <row r="152" spans="1:15" x14ac:dyDescent="0.25">
      <c r="A152" t="s">
        <v>1907</v>
      </c>
      <c r="B152" t="s">
        <v>1908</v>
      </c>
      <c r="C152" t="s">
        <v>1909</v>
      </c>
      <c r="D152" t="s">
        <v>110</v>
      </c>
      <c r="E152" s="2">
        <v>44610</v>
      </c>
      <c r="F152" t="s">
        <v>54</v>
      </c>
      <c r="G152">
        <v>1000000</v>
      </c>
      <c r="H152" s="2">
        <v>44941</v>
      </c>
      <c r="I152">
        <v>2023</v>
      </c>
      <c r="J152">
        <v>4709.1331626717802</v>
      </c>
      <c r="K152">
        <v>17260.026837328202</v>
      </c>
      <c r="L152">
        <v>194969.31</v>
      </c>
      <c r="M152">
        <v>0</v>
      </c>
      <c r="N152">
        <v>216938.47</v>
      </c>
      <c r="O152" t="s">
        <v>115</v>
      </c>
    </row>
    <row r="153" spans="1:15" x14ac:dyDescent="0.25">
      <c r="A153" t="s">
        <v>1910</v>
      </c>
      <c r="B153" t="s">
        <v>1911</v>
      </c>
      <c r="C153" t="s">
        <v>1912</v>
      </c>
      <c r="D153" t="s">
        <v>110</v>
      </c>
      <c r="E153" s="2">
        <v>44760</v>
      </c>
      <c r="F153" t="s">
        <v>12</v>
      </c>
      <c r="G153">
        <v>5000000</v>
      </c>
      <c r="H153" s="2">
        <v>44986</v>
      </c>
      <c r="I153">
        <v>2023</v>
      </c>
      <c r="J153">
        <v>5255.6199675268799</v>
      </c>
      <c r="K153">
        <v>17790.360032473101</v>
      </c>
      <c r="L153">
        <v>106781.54</v>
      </c>
      <c r="M153">
        <v>0</v>
      </c>
      <c r="N153">
        <v>129827.52</v>
      </c>
      <c r="O153" t="s">
        <v>233</v>
      </c>
    </row>
    <row r="154" spans="1:15" x14ac:dyDescent="0.25">
      <c r="A154" t="s">
        <v>1913</v>
      </c>
      <c r="B154" t="s">
        <v>1914</v>
      </c>
      <c r="C154" t="s">
        <v>1915</v>
      </c>
      <c r="D154" t="s">
        <v>734</v>
      </c>
      <c r="E154" s="2">
        <v>44611</v>
      </c>
      <c r="F154" t="s">
        <v>54</v>
      </c>
      <c r="G154">
        <v>3000000</v>
      </c>
      <c r="H154" s="2">
        <v>44953</v>
      </c>
      <c r="I154">
        <v>2023</v>
      </c>
      <c r="J154">
        <v>1910.3497360082299</v>
      </c>
      <c r="K154">
        <v>5756.4702639917696</v>
      </c>
      <c r="L154">
        <v>65865.09</v>
      </c>
      <c r="M154">
        <v>2867.21</v>
      </c>
      <c r="N154">
        <v>76399.12</v>
      </c>
      <c r="O154" t="s">
        <v>1528</v>
      </c>
    </row>
    <row r="155" spans="1:15" x14ac:dyDescent="0.25">
      <c r="A155" t="s">
        <v>1916</v>
      </c>
      <c r="B155" t="s">
        <v>1917</v>
      </c>
      <c r="C155" t="s">
        <v>1918</v>
      </c>
      <c r="D155" t="s">
        <v>110</v>
      </c>
      <c r="E155" s="2">
        <v>44884</v>
      </c>
      <c r="F155" t="s">
        <v>50</v>
      </c>
      <c r="G155">
        <v>1000000</v>
      </c>
      <c r="H155" s="2">
        <v>44983</v>
      </c>
      <c r="I155">
        <v>2023</v>
      </c>
      <c r="J155">
        <v>2972.3642690586498</v>
      </c>
      <c r="K155">
        <v>10147.5857309414</v>
      </c>
      <c r="L155">
        <v>78949.48</v>
      </c>
      <c r="M155">
        <v>0</v>
      </c>
      <c r="N155">
        <v>92069.43</v>
      </c>
      <c r="O155" t="s">
        <v>1475</v>
      </c>
    </row>
    <row r="156" spans="1:15" x14ac:dyDescent="0.25">
      <c r="A156" t="s">
        <v>1919</v>
      </c>
      <c r="B156" t="s">
        <v>1920</v>
      </c>
      <c r="C156" t="s">
        <v>1921</v>
      </c>
      <c r="D156" t="s">
        <v>110</v>
      </c>
      <c r="E156" s="2">
        <v>44760</v>
      </c>
      <c r="F156" t="s">
        <v>26</v>
      </c>
      <c r="G156">
        <v>1000000</v>
      </c>
      <c r="H156" s="2">
        <v>45018</v>
      </c>
      <c r="I156">
        <v>2023</v>
      </c>
      <c r="J156">
        <v>5475.7089214222997</v>
      </c>
      <c r="K156">
        <v>14426.2910785777</v>
      </c>
      <c r="L156">
        <v>78913.850000000006</v>
      </c>
      <c r="M156">
        <v>0</v>
      </c>
      <c r="N156">
        <v>98815.85</v>
      </c>
      <c r="O156" t="s">
        <v>1475</v>
      </c>
    </row>
    <row r="157" spans="1:15" x14ac:dyDescent="0.25">
      <c r="A157" t="s">
        <v>1922</v>
      </c>
      <c r="B157" t="s">
        <v>1923</v>
      </c>
      <c r="C157" t="s">
        <v>1924</v>
      </c>
      <c r="D157" t="s">
        <v>110</v>
      </c>
      <c r="E157" s="2">
        <v>44820</v>
      </c>
      <c r="F157" t="s">
        <v>22</v>
      </c>
      <c r="G157">
        <v>1000000</v>
      </c>
      <c r="H157" s="2">
        <v>45016</v>
      </c>
      <c r="I157">
        <v>2023</v>
      </c>
      <c r="J157">
        <v>8314.7103104032994</v>
      </c>
      <c r="K157">
        <v>25899.789689596699</v>
      </c>
      <c r="L157">
        <v>227260.89</v>
      </c>
      <c r="M157">
        <v>0</v>
      </c>
      <c r="N157">
        <v>261475.39</v>
      </c>
      <c r="O157" t="s">
        <v>143</v>
      </c>
    </row>
    <row r="158" spans="1:15" x14ac:dyDescent="0.25">
      <c r="A158" t="s">
        <v>1925</v>
      </c>
      <c r="B158" t="s">
        <v>1926</v>
      </c>
      <c r="C158" t="s">
        <v>1927</v>
      </c>
      <c r="D158" t="s">
        <v>110</v>
      </c>
      <c r="E158" s="2">
        <v>44993</v>
      </c>
      <c r="F158" t="s">
        <v>50</v>
      </c>
      <c r="G158">
        <v>2000000</v>
      </c>
      <c r="H158" s="2">
        <v>45008</v>
      </c>
      <c r="I158">
        <v>2023</v>
      </c>
      <c r="J158">
        <v>19631.700726556301</v>
      </c>
      <c r="K158">
        <v>54864.809273443701</v>
      </c>
      <c r="L158">
        <v>256378.6</v>
      </c>
      <c r="M158">
        <v>0</v>
      </c>
      <c r="N158">
        <v>330875.11</v>
      </c>
      <c r="O158" t="s">
        <v>1514</v>
      </c>
    </row>
    <row r="159" spans="1:15" x14ac:dyDescent="0.25">
      <c r="A159" t="s">
        <v>1928</v>
      </c>
      <c r="B159" t="s">
        <v>1929</v>
      </c>
      <c r="C159" t="s">
        <v>1930</v>
      </c>
      <c r="D159" t="s">
        <v>110</v>
      </c>
      <c r="E159" s="2">
        <v>44951</v>
      </c>
      <c r="F159" t="s">
        <v>50</v>
      </c>
      <c r="G159">
        <v>1000000</v>
      </c>
      <c r="H159" s="2">
        <v>45025</v>
      </c>
      <c r="I159">
        <v>2023</v>
      </c>
      <c r="J159">
        <v>15520.295721353899</v>
      </c>
      <c r="K159">
        <v>41011.064278646103</v>
      </c>
      <c r="L159">
        <v>386312.55</v>
      </c>
      <c r="M159">
        <v>0</v>
      </c>
      <c r="N159">
        <v>442843.91</v>
      </c>
      <c r="O159" t="s">
        <v>1507</v>
      </c>
    </row>
    <row r="160" spans="1:15" x14ac:dyDescent="0.25">
      <c r="A160" t="s">
        <v>1931</v>
      </c>
      <c r="B160" t="s">
        <v>1932</v>
      </c>
      <c r="C160" t="s">
        <v>1885</v>
      </c>
      <c r="D160" t="s">
        <v>734</v>
      </c>
      <c r="E160" s="2">
        <v>44942</v>
      </c>
      <c r="F160" t="s">
        <v>50</v>
      </c>
      <c r="G160">
        <v>2000000</v>
      </c>
      <c r="H160" s="2">
        <v>44945</v>
      </c>
      <c r="I160">
        <v>2023</v>
      </c>
      <c r="J160">
        <v>371.75298204617002</v>
      </c>
      <c r="K160">
        <v>1358.99701795383</v>
      </c>
      <c r="L160">
        <v>11935.43</v>
      </c>
      <c r="M160">
        <v>50878.46</v>
      </c>
      <c r="N160">
        <v>64544.639999999999</v>
      </c>
      <c r="O160" t="s">
        <v>1496</v>
      </c>
    </row>
    <row r="161" spans="1:15" x14ac:dyDescent="0.25">
      <c r="A161" t="s">
        <v>1933</v>
      </c>
      <c r="B161" t="s">
        <v>1934</v>
      </c>
      <c r="C161" t="s">
        <v>1935</v>
      </c>
      <c r="D161" t="s">
        <v>734</v>
      </c>
      <c r="E161" s="2">
        <v>44701</v>
      </c>
      <c r="F161" t="s">
        <v>31</v>
      </c>
      <c r="G161">
        <v>2000000</v>
      </c>
      <c r="H161" s="2">
        <v>44976</v>
      </c>
      <c r="I161">
        <v>2023</v>
      </c>
      <c r="J161">
        <v>771.722918270636</v>
      </c>
      <c r="K161">
        <v>2325.9170817293598</v>
      </c>
      <c r="L161">
        <v>20037.18</v>
      </c>
      <c r="M161">
        <v>47377.61</v>
      </c>
      <c r="N161">
        <v>70512.429999999993</v>
      </c>
      <c r="O161" t="s">
        <v>1471</v>
      </c>
    </row>
    <row r="162" spans="1:15" x14ac:dyDescent="0.25">
      <c r="A162" t="s">
        <v>1936</v>
      </c>
      <c r="B162" t="s">
        <v>1937</v>
      </c>
      <c r="C162" t="s">
        <v>1938</v>
      </c>
      <c r="D162" t="s">
        <v>110</v>
      </c>
      <c r="E162" s="2">
        <v>44913</v>
      </c>
      <c r="F162" t="s">
        <v>13</v>
      </c>
      <c r="G162">
        <v>4000000</v>
      </c>
      <c r="H162" s="2">
        <v>45051</v>
      </c>
      <c r="I162">
        <v>2023</v>
      </c>
      <c r="J162">
        <v>2352.6502656692901</v>
      </c>
      <c r="K162">
        <v>6774.3497343307099</v>
      </c>
      <c r="L162">
        <v>61346.82</v>
      </c>
      <c r="M162">
        <v>0</v>
      </c>
      <c r="N162">
        <v>70473.820000000007</v>
      </c>
      <c r="O162" t="s">
        <v>240</v>
      </c>
    </row>
    <row r="163" spans="1:15" x14ac:dyDescent="0.25">
      <c r="A163" t="s">
        <v>1939</v>
      </c>
      <c r="B163" t="s">
        <v>1940</v>
      </c>
      <c r="C163" t="s">
        <v>1941</v>
      </c>
      <c r="D163" t="s">
        <v>110</v>
      </c>
      <c r="E163" s="2">
        <v>44975</v>
      </c>
      <c r="F163" t="s">
        <v>13</v>
      </c>
      <c r="G163">
        <v>1000000</v>
      </c>
      <c r="H163" s="2">
        <v>45059</v>
      </c>
      <c r="I163">
        <v>2023</v>
      </c>
      <c r="J163">
        <v>3352.1710663959602</v>
      </c>
      <c r="K163">
        <v>8467.9189336040399</v>
      </c>
      <c r="L163">
        <v>60582.239999999998</v>
      </c>
      <c r="M163">
        <v>0</v>
      </c>
      <c r="N163">
        <v>72402.33</v>
      </c>
      <c r="O163" t="s">
        <v>240</v>
      </c>
    </row>
    <row r="164" spans="1:15" x14ac:dyDescent="0.25">
      <c r="A164" t="s">
        <v>1942</v>
      </c>
      <c r="B164" t="s">
        <v>1943</v>
      </c>
      <c r="C164" t="s">
        <v>1944</v>
      </c>
      <c r="D164" t="s">
        <v>734</v>
      </c>
      <c r="E164" s="2">
        <v>44772</v>
      </c>
      <c r="F164" t="s">
        <v>42</v>
      </c>
      <c r="G164">
        <v>2000000</v>
      </c>
      <c r="H164" s="2">
        <v>45078</v>
      </c>
      <c r="I164">
        <v>2023</v>
      </c>
      <c r="J164">
        <v>7782.47393040317</v>
      </c>
      <c r="K164">
        <v>18305.2460695968</v>
      </c>
      <c r="L164">
        <v>110420.84</v>
      </c>
      <c r="M164">
        <v>113539.66</v>
      </c>
      <c r="N164">
        <v>250048.22</v>
      </c>
      <c r="O164" t="s">
        <v>143</v>
      </c>
    </row>
    <row r="165" spans="1:15" x14ac:dyDescent="0.25">
      <c r="A165" t="s">
        <v>1945</v>
      </c>
      <c r="B165" t="s">
        <v>1946</v>
      </c>
      <c r="C165" t="s">
        <v>1947</v>
      </c>
      <c r="D165" t="s">
        <v>734</v>
      </c>
      <c r="E165" s="2">
        <v>44844</v>
      </c>
      <c r="F165" t="s">
        <v>26</v>
      </c>
      <c r="G165">
        <v>4000000</v>
      </c>
      <c r="H165" s="2">
        <v>45067</v>
      </c>
      <c r="I165">
        <v>2023</v>
      </c>
      <c r="J165">
        <v>2790.1150499535402</v>
      </c>
      <c r="K165">
        <v>8470.6349500464603</v>
      </c>
      <c r="L165">
        <v>78768.710000000006</v>
      </c>
      <c r="M165">
        <v>97165.31</v>
      </c>
      <c r="N165">
        <v>187194.77</v>
      </c>
      <c r="O165" t="s">
        <v>1492</v>
      </c>
    </row>
    <row r="166" spans="1:15" x14ac:dyDescent="0.25">
      <c r="A166" t="s">
        <v>1948</v>
      </c>
      <c r="B166" t="s">
        <v>1949</v>
      </c>
      <c r="C166" t="s">
        <v>1950</v>
      </c>
      <c r="D166" t="s">
        <v>734</v>
      </c>
      <c r="E166" s="2">
        <v>44804</v>
      </c>
      <c r="F166" t="s">
        <v>12</v>
      </c>
      <c r="G166">
        <v>1000000</v>
      </c>
      <c r="H166" s="2">
        <v>45097</v>
      </c>
      <c r="I166">
        <v>2023</v>
      </c>
      <c r="J166">
        <v>2205.1784833394099</v>
      </c>
      <c r="K166">
        <v>5837.8615166605896</v>
      </c>
      <c r="L166">
        <v>39456.6</v>
      </c>
      <c r="M166">
        <v>27821.67</v>
      </c>
      <c r="N166">
        <v>75321.31</v>
      </c>
      <c r="O166" t="s">
        <v>1475</v>
      </c>
    </row>
    <row r="167" spans="1:15" x14ac:dyDescent="0.25">
      <c r="A167" t="s">
        <v>1951</v>
      </c>
      <c r="B167" t="s">
        <v>1952</v>
      </c>
      <c r="C167" t="s">
        <v>1953</v>
      </c>
      <c r="D167" t="s">
        <v>110</v>
      </c>
      <c r="E167" s="2">
        <v>44762</v>
      </c>
      <c r="F167" t="s">
        <v>50</v>
      </c>
      <c r="G167">
        <v>1000000</v>
      </c>
      <c r="H167" s="2">
        <v>45092</v>
      </c>
      <c r="I167">
        <v>2023</v>
      </c>
      <c r="J167">
        <v>13533.0495054941</v>
      </c>
      <c r="K167">
        <v>39509.960494505904</v>
      </c>
      <c r="L167">
        <v>208052.16</v>
      </c>
      <c r="M167">
        <v>0</v>
      </c>
      <c r="N167">
        <v>261095.17</v>
      </c>
      <c r="O167" t="s">
        <v>115</v>
      </c>
    </row>
    <row r="168" spans="1:15" x14ac:dyDescent="0.25">
      <c r="A168" t="s">
        <v>1954</v>
      </c>
      <c r="B168" t="s">
        <v>1955</v>
      </c>
      <c r="C168" t="s">
        <v>1552</v>
      </c>
      <c r="D168" t="s">
        <v>734</v>
      </c>
      <c r="E168" s="2">
        <v>44967</v>
      </c>
      <c r="F168" t="s">
        <v>22</v>
      </c>
      <c r="G168">
        <v>1000000</v>
      </c>
      <c r="H168" s="2">
        <v>45068</v>
      </c>
      <c r="I168">
        <v>2023</v>
      </c>
      <c r="J168">
        <v>7475.6737922501297</v>
      </c>
      <c r="K168">
        <v>22300.366207749899</v>
      </c>
      <c r="L168">
        <v>104495.34</v>
      </c>
      <c r="M168">
        <v>5373.13</v>
      </c>
      <c r="N168">
        <v>139644.51</v>
      </c>
      <c r="O168" t="s">
        <v>1521</v>
      </c>
    </row>
    <row r="169" spans="1:15" x14ac:dyDescent="0.25">
      <c r="A169" t="s">
        <v>1956</v>
      </c>
      <c r="B169" t="s">
        <v>1957</v>
      </c>
      <c r="C169" t="s">
        <v>1958</v>
      </c>
      <c r="D169" t="s">
        <v>110</v>
      </c>
      <c r="E169" s="2">
        <v>44900</v>
      </c>
      <c r="F169" t="s">
        <v>50</v>
      </c>
      <c r="G169">
        <v>5000000</v>
      </c>
      <c r="H169" s="2">
        <v>45102</v>
      </c>
      <c r="I169">
        <v>2023</v>
      </c>
      <c r="J169">
        <v>9118.3525682131003</v>
      </c>
      <c r="K169">
        <v>30833.197431786899</v>
      </c>
      <c r="L169">
        <v>199921.86</v>
      </c>
      <c r="M169">
        <v>0</v>
      </c>
      <c r="N169">
        <v>239873.41</v>
      </c>
      <c r="O169" t="s">
        <v>115</v>
      </c>
    </row>
    <row r="170" spans="1:15" x14ac:dyDescent="0.25">
      <c r="A170" t="s">
        <v>1959</v>
      </c>
      <c r="B170" t="s">
        <v>1960</v>
      </c>
      <c r="C170" t="s">
        <v>1961</v>
      </c>
      <c r="D170" t="s">
        <v>110</v>
      </c>
      <c r="E170" s="2">
        <v>44841</v>
      </c>
      <c r="F170" t="s">
        <v>42</v>
      </c>
      <c r="G170">
        <v>4000000</v>
      </c>
      <c r="H170" s="2">
        <v>45100</v>
      </c>
      <c r="I170">
        <v>2023</v>
      </c>
      <c r="J170">
        <v>36781.284787927201</v>
      </c>
      <c r="K170">
        <v>141854.25521207301</v>
      </c>
      <c r="L170">
        <v>710324.2</v>
      </c>
      <c r="M170">
        <v>0</v>
      </c>
      <c r="N170">
        <v>888959.74</v>
      </c>
      <c r="O170" t="s">
        <v>131</v>
      </c>
    </row>
    <row r="171" spans="1:15" x14ac:dyDescent="0.25">
      <c r="A171" t="s">
        <v>1962</v>
      </c>
      <c r="B171" t="s">
        <v>1963</v>
      </c>
      <c r="C171" t="s">
        <v>1964</v>
      </c>
      <c r="D171" t="s">
        <v>110</v>
      </c>
      <c r="E171" s="2">
        <v>44957</v>
      </c>
      <c r="F171" t="s">
        <v>12</v>
      </c>
      <c r="G171">
        <v>1000000</v>
      </c>
      <c r="H171" s="2">
        <v>45111</v>
      </c>
      <c r="I171">
        <v>2023</v>
      </c>
      <c r="J171">
        <v>4878.20487194626</v>
      </c>
      <c r="K171">
        <v>14439.0551280537</v>
      </c>
      <c r="L171">
        <v>80294.75</v>
      </c>
      <c r="M171">
        <v>0</v>
      </c>
      <c r="N171">
        <v>99612.01</v>
      </c>
      <c r="O171" t="s">
        <v>1475</v>
      </c>
    </row>
    <row r="172" spans="1:15" x14ac:dyDescent="0.25">
      <c r="A172" t="s">
        <v>1965</v>
      </c>
      <c r="B172" t="s">
        <v>1966</v>
      </c>
      <c r="C172" t="s">
        <v>1967</v>
      </c>
      <c r="D172" t="s">
        <v>734</v>
      </c>
      <c r="E172" s="2">
        <v>45087</v>
      </c>
      <c r="F172" t="s">
        <v>22</v>
      </c>
      <c r="G172">
        <v>5000000</v>
      </c>
      <c r="H172" s="2">
        <v>45098</v>
      </c>
      <c r="I172">
        <v>2023</v>
      </c>
      <c r="J172">
        <v>4734.7762313735402</v>
      </c>
      <c r="K172">
        <v>11737.0537686265</v>
      </c>
      <c r="L172">
        <v>95002.54</v>
      </c>
      <c r="M172">
        <v>355962.3</v>
      </c>
      <c r="N172">
        <v>467436.67</v>
      </c>
      <c r="O172" t="s">
        <v>1507</v>
      </c>
    </row>
    <row r="173" spans="1:15" x14ac:dyDescent="0.25">
      <c r="A173" t="s">
        <v>1968</v>
      </c>
      <c r="B173" t="s">
        <v>1969</v>
      </c>
      <c r="C173" t="s">
        <v>1970</v>
      </c>
      <c r="D173" t="s">
        <v>734</v>
      </c>
      <c r="E173" s="2">
        <v>44849</v>
      </c>
      <c r="F173" t="s">
        <v>54</v>
      </c>
      <c r="G173">
        <v>4000000</v>
      </c>
      <c r="H173" s="2">
        <v>45131</v>
      </c>
      <c r="I173">
        <v>2023</v>
      </c>
      <c r="J173">
        <v>7850.0890398272704</v>
      </c>
      <c r="K173">
        <v>25170.920960172702</v>
      </c>
      <c r="L173">
        <v>191508.49</v>
      </c>
      <c r="M173">
        <v>27243.43</v>
      </c>
      <c r="N173">
        <v>251772.93</v>
      </c>
      <c r="O173" t="s">
        <v>115</v>
      </c>
    </row>
    <row r="174" spans="1:15" x14ac:dyDescent="0.25">
      <c r="A174" t="s">
        <v>1971</v>
      </c>
      <c r="B174" t="s">
        <v>1972</v>
      </c>
      <c r="C174" t="s">
        <v>1973</v>
      </c>
      <c r="D174" t="s">
        <v>110</v>
      </c>
      <c r="E174" s="2">
        <v>44788</v>
      </c>
      <c r="F174" t="s">
        <v>54</v>
      </c>
      <c r="G174">
        <v>1000000</v>
      </c>
      <c r="H174" s="2">
        <v>45062</v>
      </c>
      <c r="I174">
        <v>2023</v>
      </c>
      <c r="J174">
        <v>7272.7114326445799</v>
      </c>
      <c r="K174">
        <v>25061.698567355401</v>
      </c>
      <c r="L174">
        <v>111876.61</v>
      </c>
      <c r="M174">
        <v>0</v>
      </c>
      <c r="N174">
        <v>144211.01999999999</v>
      </c>
      <c r="O174" t="s">
        <v>1521</v>
      </c>
    </row>
    <row r="175" spans="1:15" x14ac:dyDescent="0.25">
      <c r="A175" t="s">
        <v>1974</v>
      </c>
      <c r="B175" t="s">
        <v>1975</v>
      </c>
      <c r="C175" t="s">
        <v>1976</v>
      </c>
      <c r="D175" t="s">
        <v>734</v>
      </c>
      <c r="E175" s="2">
        <v>44848</v>
      </c>
      <c r="F175" t="s">
        <v>22</v>
      </c>
      <c r="G175">
        <v>1000000</v>
      </c>
      <c r="H175" s="2">
        <v>45037</v>
      </c>
      <c r="I175">
        <v>2023</v>
      </c>
      <c r="J175">
        <v>1479.1811099197801</v>
      </c>
      <c r="K175">
        <v>3743.70889008022</v>
      </c>
      <c r="L175">
        <v>46996.87</v>
      </c>
      <c r="M175">
        <v>78912.41</v>
      </c>
      <c r="N175">
        <v>131132.17000000001</v>
      </c>
      <c r="O175" t="s">
        <v>1471</v>
      </c>
    </row>
    <row r="176" spans="1:15" x14ac:dyDescent="0.25">
      <c r="A176" t="s">
        <v>1977</v>
      </c>
      <c r="B176" t="s">
        <v>1978</v>
      </c>
      <c r="C176" t="s">
        <v>1979</v>
      </c>
      <c r="D176" t="s">
        <v>734</v>
      </c>
      <c r="E176" s="2">
        <v>44914</v>
      </c>
      <c r="F176" t="s">
        <v>55</v>
      </c>
      <c r="G176">
        <v>1000000</v>
      </c>
      <c r="H176" s="2">
        <v>45155</v>
      </c>
      <c r="I176">
        <v>2023</v>
      </c>
      <c r="J176">
        <v>0</v>
      </c>
      <c r="K176">
        <v>0</v>
      </c>
      <c r="L176">
        <v>0</v>
      </c>
      <c r="M176">
        <v>68126.039999999994</v>
      </c>
      <c r="N176">
        <v>68126.039999999994</v>
      </c>
      <c r="O176" t="s">
        <v>1496</v>
      </c>
    </row>
    <row r="177" spans="1:15" x14ac:dyDescent="0.25">
      <c r="A177" t="s">
        <v>1980</v>
      </c>
      <c r="B177" t="s">
        <v>1981</v>
      </c>
      <c r="C177" t="s">
        <v>1982</v>
      </c>
      <c r="D177" t="s">
        <v>734</v>
      </c>
      <c r="E177" s="2">
        <v>45133</v>
      </c>
      <c r="F177" t="s">
        <v>24</v>
      </c>
      <c r="G177">
        <v>5000000</v>
      </c>
      <c r="H177" s="2">
        <v>45151</v>
      </c>
      <c r="I177">
        <v>2023</v>
      </c>
      <c r="J177">
        <v>2588.4328033423699</v>
      </c>
      <c r="K177">
        <v>8403.0971966576308</v>
      </c>
      <c r="L177">
        <v>32139.47</v>
      </c>
      <c r="M177">
        <v>20317.87</v>
      </c>
      <c r="N177">
        <v>63448.87</v>
      </c>
      <c r="O177" t="s">
        <v>240</v>
      </c>
    </row>
    <row r="178" spans="1:15" x14ac:dyDescent="0.25">
      <c r="A178" t="s">
        <v>1983</v>
      </c>
      <c r="B178" t="s">
        <v>1984</v>
      </c>
      <c r="C178" t="s">
        <v>1985</v>
      </c>
      <c r="D178" t="s">
        <v>734</v>
      </c>
      <c r="E178" s="2">
        <v>44873</v>
      </c>
      <c r="F178" t="s">
        <v>52</v>
      </c>
      <c r="G178">
        <v>1000000</v>
      </c>
      <c r="H178" s="2">
        <v>45164</v>
      </c>
      <c r="I178">
        <v>2023</v>
      </c>
      <c r="J178">
        <v>3911.6892148330398</v>
      </c>
      <c r="K178">
        <v>9278.8807851669608</v>
      </c>
      <c r="L178">
        <v>59613.45</v>
      </c>
      <c r="M178">
        <v>69043.53</v>
      </c>
      <c r="N178">
        <v>141847.54999999999</v>
      </c>
      <c r="O178" t="s">
        <v>1521</v>
      </c>
    </row>
    <row r="179" spans="1:15" x14ac:dyDescent="0.25">
      <c r="A179" t="s">
        <v>1986</v>
      </c>
      <c r="B179" t="s">
        <v>1987</v>
      </c>
      <c r="C179" t="s">
        <v>1988</v>
      </c>
      <c r="D179" t="s">
        <v>734</v>
      </c>
      <c r="E179" s="2">
        <v>44850</v>
      </c>
      <c r="F179" t="s">
        <v>30</v>
      </c>
      <c r="G179">
        <v>1000000</v>
      </c>
      <c r="H179" s="2">
        <v>45113</v>
      </c>
      <c r="I179">
        <v>2023</v>
      </c>
      <c r="J179">
        <v>4451.9871215659696</v>
      </c>
      <c r="K179">
        <v>11724.632878434</v>
      </c>
      <c r="L179">
        <v>94587.06</v>
      </c>
      <c r="M179">
        <v>3922.21</v>
      </c>
      <c r="N179">
        <v>114685.89</v>
      </c>
      <c r="O179" t="s">
        <v>233</v>
      </c>
    </row>
    <row r="180" spans="1:15" x14ac:dyDescent="0.25">
      <c r="A180" t="s">
        <v>107</v>
      </c>
      <c r="B180" t="s">
        <v>1989</v>
      </c>
      <c r="C180" t="s">
        <v>1990</v>
      </c>
      <c r="D180" t="s">
        <v>734</v>
      </c>
      <c r="E180" s="2">
        <v>44868</v>
      </c>
      <c r="F180" t="s">
        <v>50</v>
      </c>
      <c r="G180">
        <v>3000000</v>
      </c>
      <c r="H180" s="2">
        <v>45109</v>
      </c>
      <c r="I180">
        <v>2023</v>
      </c>
      <c r="J180">
        <v>51149.102082388599</v>
      </c>
      <c r="K180">
        <v>190988.12791761101</v>
      </c>
      <c r="L180">
        <v>1218106.56</v>
      </c>
      <c r="M180">
        <v>614228.15</v>
      </c>
      <c r="N180">
        <v>2074471.94</v>
      </c>
      <c r="O180" t="s">
        <v>353</v>
      </c>
    </row>
    <row r="181" spans="1:15" x14ac:dyDescent="0.25">
      <c r="A181" t="s">
        <v>1991</v>
      </c>
      <c r="B181" t="s">
        <v>1992</v>
      </c>
      <c r="C181" t="s">
        <v>1993</v>
      </c>
      <c r="D181" t="s">
        <v>734</v>
      </c>
      <c r="E181" s="2">
        <v>44881</v>
      </c>
      <c r="F181" t="s">
        <v>49</v>
      </c>
      <c r="G181">
        <v>2000000</v>
      </c>
      <c r="H181" s="2">
        <v>45169</v>
      </c>
      <c r="I181">
        <v>2023</v>
      </c>
      <c r="J181">
        <v>3990.2257719904301</v>
      </c>
      <c r="K181">
        <v>11545.4642280096</v>
      </c>
      <c r="L181">
        <v>83073.179999999993</v>
      </c>
      <c r="M181">
        <v>88301.72</v>
      </c>
      <c r="N181">
        <v>186910.59</v>
      </c>
      <c r="O181" t="s">
        <v>143</v>
      </c>
    </row>
    <row r="182" spans="1:15" x14ac:dyDescent="0.25">
      <c r="A182" t="s">
        <v>1994</v>
      </c>
      <c r="B182" t="s">
        <v>1995</v>
      </c>
      <c r="C182" t="s">
        <v>1996</v>
      </c>
      <c r="D182" t="s">
        <v>734</v>
      </c>
      <c r="E182" s="2">
        <v>44993</v>
      </c>
      <c r="F182" t="s">
        <v>42</v>
      </c>
      <c r="G182">
        <v>1000000</v>
      </c>
      <c r="H182" s="2">
        <v>45163</v>
      </c>
      <c r="I182">
        <v>2023</v>
      </c>
      <c r="J182">
        <v>2468.5951572936101</v>
      </c>
      <c r="K182">
        <v>5937.1348427063804</v>
      </c>
      <c r="L182">
        <v>59256.45</v>
      </c>
      <c r="M182">
        <v>4691.8500000000004</v>
      </c>
      <c r="N182">
        <v>72354.03</v>
      </c>
      <c r="O182" t="s">
        <v>1528</v>
      </c>
    </row>
    <row r="183" spans="1:15" x14ac:dyDescent="0.25">
      <c r="A183" t="s">
        <v>116</v>
      </c>
      <c r="B183" t="s">
        <v>1997</v>
      </c>
      <c r="C183" t="s">
        <v>1998</v>
      </c>
      <c r="D183" t="s">
        <v>734</v>
      </c>
      <c r="E183" s="2">
        <v>44942</v>
      </c>
      <c r="F183" t="s">
        <v>44</v>
      </c>
      <c r="G183">
        <v>1000000</v>
      </c>
      <c r="H183" s="2">
        <v>45149</v>
      </c>
      <c r="I183">
        <v>2023</v>
      </c>
      <c r="J183">
        <v>949.10272824478204</v>
      </c>
      <c r="K183">
        <v>2439.7572717552198</v>
      </c>
      <c r="L183">
        <v>19107.78</v>
      </c>
      <c r="M183">
        <v>33963.25</v>
      </c>
      <c r="N183">
        <v>56459.89</v>
      </c>
      <c r="O183" t="s">
        <v>1562</v>
      </c>
    </row>
    <row r="184" spans="1:15" x14ac:dyDescent="0.25">
      <c r="A184" t="s">
        <v>1999</v>
      </c>
      <c r="B184" t="s">
        <v>2000</v>
      </c>
      <c r="C184" t="s">
        <v>2001</v>
      </c>
      <c r="D184" t="s">
        <v>110</v>
      </c>
      <c r="E184" s="2">
        <v>44865</v>
      </c>
      <c r="F184" t="s">
        <v>40</v>
      </c>
      <c r="G184">
        <v>1000000</v>
      </c>
      <c r="H184" s="2">
        <v>45157</v>
      </c>
      <c r="I184">
        <v>2023</v>
      </c>
      <c r="J184">
        <v>17684.862500305899</v>
      </c>
      <c r="K184">
        <v>43410.977499694098</v>
      </c>
      <c r="L184">
        <v>572536.77</v>
      </c>
      <c r="M184">
        <v>0</v>
      </c>
      <c r="N184">
        <v>633632.61</v>
      </c>
      <c r="O184" t="s">
        <v>131</v>
      </c>
    </row>
    <row r="185" spans="1:15" x14ac:dyDescent="0.25">
      <c r="A185" t="s">
        <v>2002</v>
      </c>
      <c r="B185" t="s">
        <v>2003</v>
      </c>
      <c r="C185" t="s">
        <v>2004</v>
      </c>
      <c r="D185" t="s">
        <v>734</v>
      </c>
      <c r="E185" s="2">
        <v>45115</v>
      </c>
      <c r="F185" t="s">
        <v>44</v>
      </c>
      <c r="G185">
        <v>1000000</v>
      </c>
      <c r="H185" s="2">
        <v>45198</v>
      </c>
      <c r="I185">
        <v>2023</v>
      </c>
      <c r="J185">
        <v>0</v>
      </c>
      <c r="K185">
        <v>0</v>
      </c>
      <c r="L185">
        <v>0</v>
      </c>
      <c r="M185">
        <v>138391.22</v>
      </c>
      <c r="N185">
        <v>138391.22</v>
      </c>
      <c r="O185" t="s">
        <v>179</v>
      </c>
    </row>
    <row r="186" spans="1:15" x14ac:dyDescent="0.25">
      <c r="A186" t="s">
        <v>2005</v>
      </c>
      <c r="B186" t="s">
        <v>2006</v>
      </c>
      <c r="C186" t="s">
        <v>2007</v>
      </c>
      <c r="D186" t="s">
        <v>734</v>
      </c>
      <c r="E186" s="2">
        <v>44964</v>
      </c>
      <c r="F186" t="s">
        <v>50</v>
      </c>
      <c r="G186">
        <v>1000000</v>
      </c>
      <c r="H186" s="2">
        <v>45189</v>
      </c>
      <c r="I186">
        <v>2023</v>
      </c>
      <c r="J186">
        <v>2290.5430811526699</v>
      </c>
      <c r="K186">
        <v>9109.5069188473299</v>
      </c>
      <c r="L186">
        <v>40566.57</v>
      </c>
      <c r="M186">
        <v>61048.14</v>
      </c>
      <c r="N186">
        <v>113014.76</v>
      </c>
      <c r="O186" t="s">
        <v>1479</v>
      </c>
    </row>
    <row r="187" spans="1:15" x14ac:dyDescent="0.25">
      <c r="A187" t="s">
        <v>2008</v>
      </c>
      <c r="B187" t="s">
        <v>2009</v>
      </c>
      <c r="C187" t="s">
        <v>2010</v>
      </c>
      <c r="D187" t="s">
        <v>734</v>
      </c>
      <c r="E187" s="2">
        <v>44836</v>
      </c>
      <c r="F187" t="s">
        <v>34</v>
      </c>
      <c r="G187">
        <v>4000000</v>
      </c>
      <c r="H187" s="2">
        <v>45181</v>
      </c>
      <c r="I187">
        <v>2023</v>
      </c>
      <c r="J187">
        <v>0</v>
      </c>
      <c r="K187">
        <v>0</v>
      </c>
      <c r="L187">
        <v>0</v>
      </c>
      <c r="M187">
        <v>85236.36</v>
      </c>
      <c r="N187">
        <v>85236.36</v>
      </c>
      <c r="O187" t="s">
        <v>1496</v>
      </c>
    </row>
    <row r="188" spans="1:15" x14ac:dyDescent="0.25">
      <c r="A188" t="s">
        <v>2011</v>
      </c>
      <c r="B188" t="s">
        <v>2012</v>
      </c>
      <c r="C188" t="s">
        <v>2013</v>
      </c>
      <c r="D188" t="s">
        <v>734</v>
      </c>
      <c r="E188" s="2">
        <v>45021</v>
      </c>
      <c r="F188" t="s">
        <v>13</v>
      </c>
      <c r="G188">
        <v>2000000</v>
      </c>
      <c r="H188" s="2">
        <v>45201</v>
      </c>
      <c r="I188">
        <v>2023</v>
      </c>
      <c r="J188">
        <v>1368.8353712232699</v>
      </c>
      <c r="K188">
        <v>4589.3446287767301</v>
      </c>
      <c r="L188">
        <v>27524.12</v>
      </c>
      <c r="M188">
        <v>66791.600000000006</v>
      </c>
      <c r="N188">
        <v>100273.9</v>
      </c>
      <c r="O188" t="s">
        <v>1479</v>
      </c>
    </row>
    <row r="189" spans="1:15" x14ac:dyDescent="0.25">
      <c r="A189" t="s">
        <v>144</v>
      </c>
      <c r="B189" t="s">
        <v>2014</v>
      </c>
      <c r="C189" t="s">
        <v>2015</v>
      </c>
      <c r="D189" t="s">
        <v>734</v>
      </c>
      <c r="E189" s="2">
        <v>45086</v>
      </c>
      <c r="F189" t="s">
        <v>25</v>
      </c>
      <c r="G189">
        <v>1000000</v>
      </c>
      <c r="H189" s="2">
        <v>45210</v>
      </c>
      <c r="I189">
        <v>2023</v>
      </c>
      <c r="J189">
        <v>581.26707112957899</v>
      </c>
      <c r="K189">
        <v>1512.5629288704199</v>
      </c>
      <c r="L189">
        <v>9012.27</v>
      </c>
      <c r="M189">
        <v>31830.09</v>
      </c>
      <c r="N189">
        <v>42936.19</v>
      </c>
      <c r="O189" t="s">
        <v>1528</v>
      </c>
    </row>
    <row r="190" spans="1:15" x14ac:dyDescent="0.25">
      <c r="A190" t="s">
        <v>2016</v>
      </c>
      <c r="B190" t="s">
        <v>2017</v>
      </c>
      <c r="C190" t="s">
        <v>2018</v>
      </c>
      <c r="D190" t="s">
        <v>734</v>
      </c>
      <c r="E190" s="2">
        <v>44946</v>
      </c>
      <c r="F190" t="s">
        <v>17</v>
      </c>
      <c r="G190">
        <v>1000000</v>
      </c>
      <c r="H190" s="2">
        <v>45011</v>
      </c>
      <c r="I190">
        <v>2023</v>
      </c>
      <c r="J190">
        <v>0</v>
      </c>
      <c r="K190">
        <v>0</v>
      </c>
      <c r="L190">
        <v>0</v>
      </c>
      <c r="M190">
        <v>62173.49</v>
      </c>
      <c r="N190">
        <v>62173.49</v>
      </c>
      <c r="O190" t="s">
        <v>240</v>
      </c>
    </row>
    <row r="191" spans="1:15" x14ac:dyDescent="0.25">
      <c r="A191" t="s">
        <v>154</v>
      </c>
      <c r="B191" t="s">
        <v>2019</v>
      </c>
      <c r="C191" t="s">
        <v>2020</v>
      </c>
      <c r="D191" t="s">
        <v>734</v>
      </c>
      <c r="E191" s="2">
        <v>44820</v>
      </c>
      <c r="F191" t="s">
        <v>12</v>
      </c>
      <c r="G191">
        <v>1000000</v>
      </c>
      <c r="H191" s="2">
        <v>45163</v>
      </c>
      <c r="I191">
        <v>2023</v>
      </c>
      <c r="J191">
        <v>0</v>
      </c>
      <c r="K191">
        <v>0</v>
      </c>
      <c r="L191">
        <v>0</v>
      </c>
      <c r="M191">
        <v>104747.08</v>
      </c>
      <c r="N191">
        <v>104747.08</v>
      </c>
      <c r="O191" t="s">
        <v>1521</v>
      </c>
    </row>
    <row r="192" spans="1:15" x14ac:dyDescent="0.25">
      <c r="A192" t="s">
        <v>2021</v>
      </c>
      <c r="B192" t="s">
        <v>2022</v>
      </c>
      <c r="C192" t="s">
        <v>2023</v>
      </c>
      <c r="D192" t="s">
        <v>734</v>
      </c>
      <c r="E192" s="2">
        <v>44596</v>
      </c>
      <c r="F192" t="s">
        <v>50</v>
      </c>
      <c r="G192">
        <v>2000000</v>
      </c>
      <c r="H192" s="2">
        <v>44872</v>
      </c>
      <c r="I192">
        <v>2022</v>
      </c>
      <c r="J192">
        <v>0</v>
      </c>
      <c r="K192">
        <v>0</v>
      </c>
      <c r="L192">
        <v>0</v>
      </c>
      <c r="M192">
        <v>70069.69</v>
      </c>
      <c r="N192">
        <v>70069.69</v>
      </c>
      <c r="O192" t="s">
        <v>1467</v>
      </c>
    </row>
    <row r="193" spans="1:15" x14ac:dyDescent="0.25">
      <c r="A193" t="s">
        <v>2024</v>
      </c>
      <c r="B193" t="s">
        <v>2025</v>
      </c>
      <c r="C193" t="s">
        <v>2026</v>
      </c>
      <c r="D193" t="s">
        <v>734</v>
      </c>
      <c r="E193" s="2">
        <v>44722</v>
      </c>
      <c r="F193" t="s">
        <v>41</v>
      </c>
      <c r="G193">
        <v>1000000</v>
      </c>
      <c r="H193" s="2">
        <v>45069</v>
      </c>
      <c r="I193">
        <v>2023</v>
      </c>
      <c r="J193">
        <v>0</v>
      </c>
      <c r="K193">
        <v>0</v>
      </c>
      <c r="L193">
        <v>0</v>
      </c>
      <c r="M193">
        <v>134017.51</v>
      </c>
      <c r="N193">
        <v>134017.51</v>
      </c>
      <c r="O193" t="s">
        <v>179</v>
      </c>
    </row>
    <row r="194" spans="1:15" x14ac:dyDescent="0.25">
      <c r="A194" t="s">
        <v>158</v>
      </c>
      <c r="B194" t="s">
        <v>2027</v>
      </c>
      <c r="C194" t="s">
        <v>2028</v>
      </c>
      <c r="D194" t="s">
        <v>734</v>
      </c>
      <c r="E194" s="2">
        <v>44809</v>
      </c>
      <c r="F194" t="s">
        <v>41</v>
      </c>
      <c r="G194">
        <v>10000000</v>
      </c>
      <c r="H194" s="2">
        <v>45124</v>
      </c>
      <c r="I194">
        <v>2023</v>
      </c>
      <c r="J194">
        <v>0</v>
      </c>
      <c r="K194">
        <v>0</v>
      </c>
      <c r="L194">
        <v>0</v>
      </c>
      <c r="M194">
        <v>1432149.23</v>
      </c>
      <c r="N194">
        <v>1432149.23</v>
      </c>
      <c r="O194" t="s">
        <v>131</v>
      </c>
    </row>
    <row r="195" spans="1:15" x14ac:dyDescent="0.25">
      <c r="A195" t="s">
        <v>161</v>
      </c>
      <c r="B195" t="s">
        <v>2029</v>
      </c>
      <c r="C195" t="s">
        <v>2030</v>
      </c>
      <c r="D195" t="s">
        <v>734</v>
      </c>
      <c r="E195" s="2">
        <v>44985</v>
      </c>
      <c r="F195" t="s">
        <v>30</v>
      </c>
      <c r="G195">
        <v>5000000</v>
      </c>
      <c r="H195" s="2">
        <v>45076</v>
      </c>
      <c r="I195">
        <v>2023</v>
      </c>
      <c r="J195">
        <v>0</v>
      </c>
      <c r="K195">
        <v>0</v>
      </c>
      <c r="L195">
        <v>0</v>
      </c>
      <c r="M195">
        <v>326962.52</v>
      </c>
      <c r="N195">
        <v>326962.52</v>
      </c>
      <c r="O195" t="s">
        <v>131</v>
      </c>
    </row>
    <row r="196" spans="1:15" x14ac:dyDescent="0.25">
      <c r="A196" t="s">
        <v>165</v>
      </c>
      <c r="B196" t="s">
        <v>2031</v>
      </c>
      <c r="C196" t="s">
        <v>2032</v>
      </c>
      <c r="D196" t="s">
        <v>734</v>
      </c>
      <c r="E196" s="2">
        <v>44978</v>
      </c>
      <c r="F196" t="s">
        <v>10</v>
      </c>
      <c r="G196">
        <v>1000000</v>
      </c>
      <c r="H196" s="2">
        <v>45202</v>
      </c>
      <c r="I196">
        <v>2023</v>
      </c>
      <c r="J196">
        <v>0</v>
      </c>
      <c r="K196">
        <v>0</v>
      </c>
      <c r="L196">
        <v>0</v>
      </c>
      <c r="M196">
        <v>39503.919999999998</v>
      </c>
      <c r="N196">
        <v>39503.919999999998</v>
      </c>
      <c r="O196" t="s">
        <v>1467</v>
      </c>
    </row>
    <row r="197" spans="1:15" x14ac:dyDescent="0.25">
      <c r="E197" s="2"/>
      <c r="H197" s="2"/>
    </row>
    <row r="198" spans="1:15" x14ac:dyDescent="0.25">
      <c r="E198" s="2"/>
      <c r="H198" s="2"/>
    </row>
    <row r="199" spans="1:15" x14ac:dyDescent="0.25">
      <c r="E199" s="2"/>
      <c r="H199" s="2"/>
    </row>
    <row r="200" spans="1:15" x14ac:dyDescent="0.25">
      <c r="E200" s="2"/>
      <c r="H200" s="2"/>
    </row>
    <row r="201" spans="1:15" x14ac:dyDescent="0.25">
      <c r="E201" s="2"/>
      <c r="H201" s="2"/>
    </row>
    <row r="202" spans="1:15" x14ac:dyDescent="0.25">
      <c r="E202" s="2"/>
      <c r="H202" s="2"/>
    </row>
    <row r="203" spans="1:15" x14ac:dyDescent="0.25">
      <c r="E203" s="2"/>
      <c r="H203" s="2"/>
    </row>
    <row r="204" spans="1:15" x14ac:dyDescent="0.25">
      <c r="E204" s="2"/>
      <c r="H204" s="2"/>
    </row>
    <row r="205" spans="1:15" x14ac:dyDescent="0.25">
      <c r="E205" s="2"/>
      <c r="H205" s="2"/>
    </row>
    <row r="206" spans="1:15" x14ac:dyDescent="0.25">
      <c r="E206" s="2"/>
      <c r="H206" s="2"/>
    </row>
    <row r="207" spans="1:15" x14ac:dyDescent="0.25">
      <c r="E207" s="2"/>
      <c r="H207" s="2"/>
    </row>
    <row r="208" spans="1:15" x14ac:dyDescent="0.25">
      <c r="E208" s="2"/>
      <c r="H208" s="2"/>
    </row>
    <row r="209" spans="5:8" x14ac:dyDescent="0.25">
      <c r="E209" s="2"/>
      <c r="H209" s="2"/>
    </row>
    <row r="210" spans="5:8" x14ac:dyDescent="0.25">
      <c r="E210" s="2"/>
      <c r="H210" s="2"/>
    </row>
    <row r="211" spans="5:8" x14ac:dyDescent="0.25">
      <c r="E211" s="2"/>
      <c r="H211" s="2"/>
    </row>
    <row r="212" spans="5:8" x14ac:dyDescent="0.25">
      <c r="E212" s="2"/>
      <c r="H212" s="2"/>
    </row>
    <row r="213" spans="5:8" x14ac:dyDescent="0.25">
      <c r="E213" s="2"/>
      <c r="H213" s="2"/>
    </row>
    <row r="214" spans="5:8" x14ac:dyDescent="0.25">
      <c r="E214" s="2"/>
      <c r="H214" s="2"/>
    </row>
    <row r="215" spans="5:8" x14ac:dyDescent="0.25">
      <c r="E215" s="2"/>
      <c r="H215" s="2"/>
    </row>
    <row r="216" spans="5:8" x14ac:dyDescent="0.25">
      <c r="E216" s="2"/>
      <c r="H216" s="2"/>
    </row>
    <row r="217" spans="5:8" x14ac:dyDescent="0.25">
      <c r="E217" s="2"/>
      <c r="H217" s="2"/>
    </row>
    <row r="218" spans="5:8" x14ac:dyDescent="0.25">
      <c r="E218" s="2"/>
      <c r="H218" s="2"/>
    </row>
    <row r="219" spans="5:8" x14ac:dyDescent="0.25">
      <c r="E219" s="2"/>
      <c r="H219" s="2"/>
    </row>
    <row r="220" spans="5:8" x14ac:dyDescent="0.25">
      <c r="E220" s="2"/>
      <c r="H220" s="2"/>
    </row>
    <row r="221" spans="5:8" x14ac:dyDescent="0.25">
      <c r="E221" s="2"/>
      <c r="H221" s="2"/>
    </row>
    <row r="222" spans="5:8" x14ac:dyDescent="0.25">
      <c r="E222" s="2"/>
      <c r="H222" s="2"/>
    </row>
    <row r="223" spans="5:8" x14ac:dyDescent="0.25">
      <c r="E223" s="2"/>
      <c r="H223" s="2"/>
    </row>
    <row r="224" spans="5:8" x14ac:dyDescent="0.25">
      <c r="E224" s="2"/>
      <c r="H224" s="2"/>
    </row>
    <row r="225" spans="5:8" x14ac:dyDescent="0.25">
      <c r="E225" s="2"/>
      <c r="H225" s="2"/>
    </row>
    <row r="226" spans="5:8" x14ac:dyDescent="0.25">
      <c r="E226" s="2"/>
      <c r="H226" s="2"/>
    </row>
    <row r="227" spans="5:8" x14ac:dyDescent="0.25">
      <c r="E227" s="2"/>
      <c r="H227" s="2"/>
    </row>
    <row r="228" spans="5:8" x14ac:dyDescent="0.25">
      <c r="E228" s="2"/>
      <c r="H228" s="2"/>
    </row>
    <row r="229" spans="5:8" x14ac:dyDescent="0.25">
      <c r="E229" s="2"/>
      <c r="H229" s="2"/>
    </row>
    <row r="230" spans="5:8" x14ac:dyDescent="0.25">
      <c r="E230" s="2"/>
      <c r="H230" s="2"/>
    </row>
    <row r="231" spans="5:8" x14ac:dyDescent="0.25">
      <c r="E231" s="2"/>
      <c r="H231" s="2"/>
    </row>
    <row r="232" spans="5:8" x14ac:dyDescent="0.25">
      <c r="E232" s="2"/>
      <c r="H232" s="2"/>
    </row>
    <row r="233" spans="5:8" x14ac:dyDescent="0.25">
      <c r="E233" s="2"/>
      <c r="H233" s="2"/>
    </row>
    <row r="234" spans="5:8" x14ac:dyDescent="0.25">
      <c r="E234" s="2"/>
      <c r="H234" s="2"/>
    </row>
    <row r="235" spans="5:8" x14ac:dyDescent="0.25">
      <c r="E235" s="2"/>
      <c r="H235" s="2"/>
    </row>
    <row r="236" spans="5:8" x14ac:dyDescent="0.25">
      <c r="E236" s="2"/>
      <c r="H236" s="2"/>
    </row>
    <row r="237" spans="5:8" x14ac:dyDescent="0.25">
      <c r="E237" s="2"/>
      <c r="H237" s="2"/>
    </row>
    <row r="238" spans="5:8" x14ac:dyDescent="0.25">
      <c r="E238" s="2"/>
      <c r="H238" s="2"/>
    </row>
    <row r="239" spans="5:8" x14ac:dyDescent="0.25">
      <c r="E239" s="2"/>
      <c r="H239" s="2"/>
    </row>
    <row r="240" spans="5:8" x14ac:dyDescent="0.25">
      <c r="E240" s="2"/>
      <c r="H240" s="2"/>
    </row>
    <row r="241" spans="5:8" x14ac:dyDescent="0.25">
      <c r="E241" s="2"/>
      <c r="H241" s="2"/>
    </row>
    <row r="242" spans="5:8" x14ac:dyDescent="0.25">
      <c r="E242" s="2"/>
      <c r="H242" s="2"/>
    </row>
    <row r="243" spans="5:8" x14ac:dyDescent="0.25">
      <c r="E243" s="2"/>
      <c r="H243" s="2"/>
    </row>
    <row r="244" spans="5:8" x14ac:dyDescent="0.25">
      <c r="E244" s="2"/>
      <c r="H244" s="2"/>
    </row>
    <row r="245" spans="5:8" x14ac:dyDescent="0.25">
      <c r="E245" s="2"/>
      <c r="H245" s="2"/>
    </row>
    <row r="246" spans="5:8" x14ac:dyDescent="0.25">
      <c r="E246" s="2"/>
      <c r="H246" s="2"/>
    </row>
    <row r="247" spans="5:8" x14ac:dyDescent="0.25">
      <c r="E247" s="2"/>
      <c r="H247" s="2"/>
    </row>
    <row r="248" spans="5:8" x14ac:dyDescent="0.25">
      <c r="E248" s="2"/>
      <c r="H248" s="2"/>
    </row>
    <row r="249" spans="5:8" x14ac:dyDescent="0.25">
      <c r="E249" s="2"/>
      <c r="H249" s="2"/>
    </row>
    <row r="250" spans="5:8" x14ac:dyDescent="0.25">
      <c r="E250" s="2"/>
      <c r="H250" s="2"/>
    </row>
    <row r="251" spans="5:8" x14ac:dyDescent="0.25">
      <c r="E251" s="2"/>
      <c r="H251" s="2"/>
    </row>
    <row r="252" spans="5:8" x14ac:dyDescent="0.25">
      <c r="E252" s="2"/>
      <c r="H252" s="2"/>
    </row>
    <row r="253" spans="5:8" x14ac:dyDescent="0.25">
      <c r="E253" s="2"/>
      <c r="H253" s="2"/>
    </row>
    <row r="254" spans="5:8" x14ac:dyDescent="0.25">
      <c r="E254" s="2"/>
      <c r="H254" s="2"/>
    </row>
    <row r="255" spans="5:8" x14ac:dyDescent="0.25">
      <c r="E255" s="2"/>
      <c r="H255" s="2"/>
    </row>
    <row r="256" spans="5:8" x14ac:dyDescent="0.25">
      <c r="E256" s="2"/>
      <c r="H256" s="2"/>
    </row>
    <row r="257" spans="5:8" x14ac:dyDescent="0.25">
      <c r="E257" s="2"/>
      <c r="H257" s="2"/>
    </row>
    <row r="258" spans="5:8" x14ac:dyDescent="0.25">
      <c r="E258" s="2"/>
      <c r="H258" s="2"/>
    </row>
    <row r="259" spans="5:8" x14ac:dyDescent="0.25">
      <c r="E259" s="2"/>
      <c r="H259" s="2"/>
    </row>
    <row r="260" spans="5:8" x14ac:dyDescent="0.25">
      <c r="E260" s="2"/>
      <c r="H260" s="2"/>
    </row>
    <row r="261" spans="5:8" x14ac:dyDescent="0.25">
      <c r="E261" s="2"/>
      <c r="H261" s="2"/>
    </row>
    <row r="262" spans="5:8" x14ac:dyDescent="0.25">
      <c r="E262" s="2"/>
      <c r="H262" s="2"/>
    </row>
    <row r="263" spans="5:8" x14ac:dyDescent="0.25">
      <c r="E263" s="2"/>
      <c r="H263" s="2"/>
    </row>
    <row r="264" spans="5:8" x14ac:dyDescent="0.25">
      <c r="E264" s="2"/>
      <c r="H264" s="2"/>
    </row>
    <row r="265" spans="5:8" x14ac:dyDescent="0.25">
      <c r="E265" s="2"/>
      <c r="H265" s="2"/>
    </row>
    <row r="266" spans="5:8" x14ac:dyDescent="0.25">
      <c r="E266" s="2"/>
      <c r="H266" s="2"/>
    </row>
    <row r="267" spans="5:8" x14ac:dyDescent="0.25">
      <c r="E267" s="2"/>
      <c r="H267" s="2"/>
    </row>
    <row r="268" spans="5:8" x14ac:dyDescent="0.25">
      <c r="E268" s="2"/>
      <c r="H268" s="2"/>
    </row>
    <row r="269" spans="5:8" x14ac:dyDescent="0.25">
      <c r="E269" s="2"/>
      <c r="H269" s="2"/>
    </row>
    <row r="270" spans="5:8" x14ac:dyDescent="0.25">
      <c r="E270" s="2"/>
      <c r="H270" s="2"/>
    </row>
    <row r="271" spans="5:8" x14ac:dyDescent="0.25">
      <c r="E271" s="2"/>
      <c r="H271" s="2"/>
    </row>
    <row r="272" spans="5:8" x14ac:dyDescent="0.25">
      <c r="E272" s="2"/>
      <c r="H272" s="2"/>
    </row>
    <row r="273" spans="5:8" x14ac:dyDescent="0.25">
      <c r="E273" s="2"/>
      <c r="H273" s="2"/>
    </row>
    <row r="274" spans="5:8" x14ac:dyDescent="0.25">
      <c r="E274" s="2"/>
      <c r="H274" s="2"/>
    </row>
    <row r="275" spans="5:8" x14ac:dyDescent="0.25">
      <c r="E275" s="2"/>
      <c r="H275" s="2"/>
    </row>
    <row r="276" spans="5:8" x14ac:dyDescent="0.25">
      <c r="E276" s="2"/>
      <c r="H276" s="2"/>
    </row>
    <row r="277" spans="5:8" x14ac:dyDescent="0.25">
      <c r="E277" s="2"/>
      <c r="H277" s="2"/>
    </row>
    <row r="278" spans="5:8" x14ac:dyDescent="0.25">
      <c r="E278" s="2"/>
      <c r="H278" s="2"/>
    </row>
    <row r="279" spans="5:8" x14ac:dyDescent="0.25">
      <c r="E279" s="2"/>
      <c r="H279" s="2"/>
    </row>
    <row r="280" spans="5:8" x14ac:dyDescent="0.25">
      <c r="E280" s="2"/>
      <c r="H280" s="2"/>
    </row>
    <row r="281" spans="5:8" x14ac:dyDescent="0.25">
      <c r="E281" s="2"/>
      <c r="H281" s="2"/>
    </row>
    <row r="282" spans="5:8" x14ac:dyDescent="0.25">
      <c r="E282" s="2"/>
      <c r="H282" s="2"/>
    </row>
    <row r="283" spans="5:8" x14ac:dyDescent="0.25">
      <c r="E283" s="2"/>
      <c r="H283" s="2"/>
    </row>
    <row r="284" spans="5:8" x14ac:dyDescent="0.25">
      <c r="E284" s="2"/>
      <c r="H284" s="2"/>
    </row>
    <row r="285" spans="5:8" x14ac:dyDescent="0.25">
      <c r="E285" s="2"/>
      <c r="H285" s="2"/>
    </row>
    <row r="286" spans="5:8" x14ac:dyDescent="0.25">
      <c r="E286" s="2"/>
      <c r="H286" s="2"/>
    </row>
    <row r="287" spans="5:8" x14ac:dyDescent="0.25">
      <c r="E287" s="2"/>
      <c r="H287" s="2"/>
    </row>
    <row r="288" spans="5:8" x14ac:dyDescent="0.25">
      <c r="E288" s="2"/>
      <c r="H288" s="2"/>
    </row>
    <row r="289" spans="5:8" x14ac:dyDescent="0.25">
      <c r="E289" s="2"/>
      <c r="H289" s="2"/>
    </row>
    <row r="290" spans="5:8" x14ac:dyDescent="0.25">
      <c r="E290" s="2"/>
      <c r="H290" s="2"/>
    </row>
    <row r="291" spans="5:8" x14ac:dyDescent="0.25">
      <c r="E291" s="2"/>
      <c r="H291" s="2"/>
    </row>
    <row r="292" spans="5:8" x14ac:dyDescent="0.25">
      <c r="E292" s="2"/>
      <c r="H292" s="2"/>
    </row>
    <row r="293" spans="5:8" x14ac:dyDescent="0.25">
      <c r="E293" s="2"/>
      <c r="H293" s="2"/>
    </row>
    <row r="294" spans="5:8" x14ac:dyDescent="0.25">
      <c r="E294" s="2"/>
      <c r="H294" s="2"/>
    </row>
    <row r="295" spans="5:8" x14ac:dyDescent="0.25">
      <c r="E295" s="2"/>
      <c r="H295" s="2"/>
    </row>
    <row r="296" spans="5:8" x14ac:dyDescent="0.25">
      <c r="E296" s="2"/>
      <c r="H296" s="2"/>
    </row>
    <row r="297" spans="5:8" x14ac:dyDescent="0.25">
      <c r="E297" s="2"/>
      <c r="H297" s="2"/>
    </row>
    <row r="298" spans="5:8" x14ac:dyDescent="0.25">
      <c r="E298" s="2"/>
      <c r="H298" s="2"/>
    </row>
    <row r="299" spans="5:8" x14ac:dyDescent="0.25">
      <c r="E299" s="2"/>
      <c r="H299" s="2"/>
    </row>
    <row r="300" spans="5:8" x14ac:dyDescent="0.25">
      <c r="E300" s="2"/>
      <c r="H300" s="2"/>
    </row>
    <row r="301" spans="5:8" x14ac:dyDescent="0.25">
      <c r="E301" s="2"/>
      <c r="H301" s="2"/>
    </row>
    <row r="302" spans="5:8" x14ac:dyDescent="0.25">
      <c r="E302" s="2"/>
      <c r="H302" s="2"/>
    </row>
    <row r="303" spans="5:8" x14ac:dyDescent="0.25">
      <c r="E303" s="2"/>
      <c r="H303" s="2"/>
    </row>
    <row r="304" spans="5:8" x14ac:dyDescent="0.25">
      <c r="E304" s="2"/>
      <c r="H304" s="2"/>
    </row>
    <row r="305" spans="5:8" x14ac:dyDescent="0.25">
      <c r="E305" s="2"/>
      <c r="H305" s="2"/>
    </row>
    <row r="306" spans="5:8" x14ac:dyDescent="0.25">
      <c r="E306" s="2"/>
      <c r="H306" s="2"/>
    </row>
    <row r="307" spans="5:8" x14ac:dyDescent="0.25">
      <c r="E307" s="2"/>
      <c r="H307" s="2"/>
    </row>
    <row r="308" spans="5:8" x14ac:dyDescent="0.25">
      <c r="E308" s="2"/>
      <c r="H308" s="2"/>
    </row>
    <row r="309" spans="5:8" x14ac:dyDescent="0.25">
      <c r="E309" s="2"/>
      <c r="H309" s="2"/>
    </row>
    <row r="310" spans="5:8" x14ac:dyDescent="0.25">
      <c r="E310" s="2"/>
      <c r="H310" s="2"/>
    </row>
    <row r="311" spans="5:8" x14ac:dyDescent="0.25">
      <c r="E311" s="2"/>
      <c r="H311" s="2"/>
    </row>
    <row r="312" spans="5:8" x14ac:dyDescent="0.25">
      <c r="E312" s="2"/>
      <c r="H312" s="2"/>
    </row>
    <row r="313" spans="5:8" x14ac:dyDescent="0.25">
      <c r="E313" s="2"/>
      <c r="H313" s="2"/>
    </row>
    <row r="314" spans="5:8" x14ac:dyDescent="0.25">
      <c r="E314" s="2"/>
      <c r="H314" s="2"/>
    </row>
    <row r="315" spans="5:8" x14ac:dyDescent="0.25">
      <c r="E315" s="2"/>
      <c r="H315" s="2"/>
    </row>
    <row r="316" spans="5:8" x14ac:dyDescent="0.25">
      <c r="E316" s="2"/>
      <c r="H316" s="2"/>
    </row>
    <row r="317" spans="5:8" x14ac:dyDescent="0.25">
      <c r="E317" s="2"/>
      <c r="H317" s="2"/>
    </row>
    <row r="318" spans="5:8" x14ac:dyDescent="0.25">
      <c r="E318" s="2"/>
      <c r="H318" s="2"/>
    </row>
    <row r="319" spans="5:8" x14ac:dyDescent="0.25">
      <c r="E319" s="2"/>
      <c r="H319" s="2"/>
    </row>
    <row r="320" spans="5:8" x14ac:dyDescent="0.25">
      <c r="E320" s="2"/>
      <c r="H320" s="2"/>
    </row>
    <row r="321" spans="5:8" x14ac:dyDescent="0.25">
      <c r="E321" s="2"/>
      <c r="H321" s="2"/>
    </row>
    <row r="322" spans="5:8" x14ac:dyDescent="0.25">
      <c r="E322" s="2"/>
      <c r="H322" s="2"/>
    </row>
    <row r="323" spans="5:8" x14ac:dyDescent="0.25">
      <c r="E323" s="2"/>
      <c r="H323" s="2"/>
    </row>
    <row r="324" spans="5:8" x14ac:dyDescent="0.25">
      <c r="E324" s="2"/>
      <c r="H324" s="2"/>
    </row>
    <row r="325" spans="5:8" x14ac:dyDescent="0.25">
      <c r="E325" s="2"/>
      <c r="H325" s="2"/>
    </row>
    <row r="326" spans="5:8" x14ac:dyDescent="0.25">
      <c r="E326" s="2"/>
      <c r="H326" s="2"/>
    </row>
    <row r="327" spans="5:8" x14ac:dyDescent="0.25">
      <c r="E327" s="2"/>
      <c r="H327" s="2"/>
    </row>
    <row r="328" spans="5:8" x14ac:dyDescent="0.25">
      <c r="E328" s="2"/>
      <c r="H328" s="2"/>
    </row>
    <row r="329" spans="5:8" x14ac:dyDescent="0.25">
      <c r="E329" s="2"/>
      <c r="H329" s="2"/>
    </row>
    <row r="330" spans="5:8" x14ac:dyDescent="0.25">
      <c r="E330" s="2"/>
      <c r="H330" s="2"/>
    </row>
    <row r="331" spans="5:8" x14ac:dyDescent="0.25">
      <c r="E331" s="2"/>
      <c r="H331" s="2"/>
    </row>
    <row r="332" spans="5:8" x14ac:dyDescent="0.25">
      <c r="E332" s="2"/>
      <c r="H332" s="2"/>
    </row>
    <row r="333" spans="5:8" x14ac:dyDescent="0.25">
      <c r="E333" s="2"/>
      <c r="H333" s="2"/>
    </row>
    <row r="334" spans="5:8" x14ac:dyDescent="0.25">
      <c r="E334" s="2"/>
      <c r="H334" s="2"/>
    </row>
    <row r="335" spans="5:8" x14ac:dyDescent="0.25">
      <c r="E335" s="2"/>
      <c r="H335" s="2"/>
    </row>
    <row r="336" spans="5:8" x14ac:dyDescent="0.25">
      <c r="E336" s="2"/>
      <c r="H336" s="2"/>
    </row>
    <row r="337" spans="5:8" x14ac:dyDescent="0.25">
      <c r="E337" s="2"/>
      <c r="H337" s="2"/>
    </row>
    <row r="338" spans="5:8" x14ac:dyDescent="0.25">
      <c r="E338" s="2"/>
      <c r="H338" s="2"/>
    </row>
    <row r="339" spans="5:8" x14ac:dyDescent="0.25">
      <c r="E339" s="2"/>
      <c r="H339" s="2"/>
    </row>
    <row r="340" spans="5:8" x14ac:dyDescent="0.25">
      <c r="E340" s="2"/>
      <c r="H340" s="2"/>
    </row>
    <row r="341" spans="5:8" x14ac:dyDescent="0.25">
      <c r="E341" s="2"/>
      <c r="H341" s="2"/>
    </row>
    <row r="342" spans="5:8" x14ac:dyDescent="0.25">
      <c r="E342" s="2"/>
      <c r="H342" s="2"/>
    </row>
    <row r="343" spans="5:8" x14ac:dyDescent="0.25">
      <c r="E343" s="2"/>
      <c r="H343" s="2"/>
    </row>
    <row r="344" spans="5:8" x14ac:dyDescent="0.25">
      <c r="E344" s="2"/>
      <c r="H344" s="2"/>
    </row>
    <row r="345" spans="5:8" x14ac:dyDescent="0.25">
      <c r="E345" s="2"/>
      <c r="H345" s="2"/>
    </row>
    <row r="346" spans="5:8" x14ac:dyDescent="0.25">
      <c r="E346" s="2"/>
      <c r="H346" s="2"/>
    </row>
    <row r="347" spans="5:8" x14ac:dyDescent="0.25">
      <c r="E347" s="2"/>
      <c r="H347" s="2"/>
    </row>
    <row r="348" spans="5:8" x14ac:dyDescent="0.25">
      <c r="E348" s="2"/>
      <c r="H348" s="2"/>
    </row>
    <row r="349" spans="5:8" x14ac:dyDescent="0.25">
      <c r="E349" s="2"/>
      <c r="H349" s="2"/>
    </row>
    <row r="350" spans="5:8" x14ac:dyDescent="0.25">
      <c r="E350" s="2"/>
      <c r="H350" s="2"/>
    </row>
    <row r="351" spans="5:8" x14ac:dyDescent="0.25">
      <c r="E351" s="2"/>
      <c r="H351" s="2"/>
    </row>
    <row r="352" spans="5:8" x14ac:dyDescent="0.25">
      <c r="E352" s="2"/>
      <c r="H352" s="2"/>
    </row>
    <row r="353" spans="5:8" x14ac:dyDescent="0.25">
      <c r="E353" s="2"/>
      <c r="H353" s="2"/>
    </row>
    <row r="354" spans="5:8" x14ac:dyDescent="0.25">
      <c r="E354" s="2"/>
      <c r="H354" s="2"/>
    </row>
    <row r="355" spans="5:8" x14ac:dyDescent="0.25">
      <c r="E355" s="2"/>
      <c r="H355" s="2"/>
    </row>
    <row r="356" spans="5:8" x14ac:dyDescent="0.25">
      <c r="E356" s="2"/>
      <c r="H356" s="2"/>
    </row>
    <row r="357" spans="5:8" x14ac:dyDescent="0.25">
      <c r="E357" s="2"/>
      <c r="H357" s="2"/>
    </row>
    <row r="358" spans="5:8" x14ac:dyDescent="0.25">
      <c r="E358" s="2"/>
      <c r="H358" s="2"/>
    </row>
    <row r="359" spans="5:8" x14ac:dyDescent="0.25">
      <c r="E359" s="2"/>
      <c r="H359" s="2"/>
    </row>
    <row r="360" spans="5:8" x14ac:dyDescent="0.25">
      <c r="E360" s="2"/>
      <c r="H360" s="2"/>
    </row>
    <row r="361" spans="5:8" x14ac:dyDescent="0.25">
      <c r="E361" s="2"/>
      <c r="H361" s="2"/>
    </row>
    <row r="362" spans="5:8" x14ac:dyDescent="0.25">
      <c r="E362" s="2"/>
      <c r="H362" s="2"/>
    </row>
    <row r="363" spans="5:8" x14ac:dyDescent="0.25">
      <c r="E363" s="2"/>
      <c r="H363" s="2"/>
    </row>
    <row r="364" spans="5:8" x14ac:dyDescent="0.25">
      <c r="E364" s="2"/>
      <c r="H364" s="2"/>
    </row>
    <row r="365" spans="5:8" x14ac:dyDescent="0.25">
      <c r="E365" s="2"/>
      <c r="H365" s="2"/>
    </row>
    <row r="366" spans="5:8" x14ac:dyDescent="0.25">
      <c r="E366" s="2"/>
      <c r="H366" s="2"/>
    </row>
    <row r="367" spans="5:8" x14ac:dyDescent="0.25">
      <c r="E367" s="2"/>
      <c r="H367" s="2"/>
    </row>
    <row r="368" spans="5:8" x14ac:dyDescent="0.25">
      <c r="E368" s="2"/>
      <c r="H368" s="2"/>
    </row>
    <row r="369" spans="5:8" x14ac:dyDescent="0.25">
      <c r="E369" s="2"/>
      <c r="H369" s="2"/>
    </row>
    <row r="370" spans="5:8" x14ac:dyDescent="0.25">
      <c r="E370" s="2"/>
      <c r="H370" s="2"/>
    </row>
    <row r="371" spans="5:8" x14ac:dyDescent="0.25">
      <c r="E371" s="2"/>
      <c r="H371" s="2"/>
    </row>
    <row r="372" spans="5:8" x14ac:dyDescent="0.25">
      <c r="E372" s="2"/>
      <c r="H372" s="2"/>
    </row>
    <row r="373" spans="5:8" x14ac:dyDescent="0.25">
      <c r="E373" s="2"/>
      <c r="H373" s="2"/>
    </row>
    <row r="374" spans="5:8" x14ac:dyDescent="0.25">
      <c r="E374" s="2"/>
      <c r="H374" s="2"/>
    </row>
    <row r="375" spans="5:8" x14ac:dyDescent="0.25">
      <c r="E375" s="2"/>
      <c r="H375" s="2"/>
    </row>
    <row r="376" spans="5:8" x14ac:dyDescent="0.25">
      <c r="E376" s="2"/>
      <c r="H376" s="2"/>
    </row>
    <row r="377" spans="5:8" x14ac:dyDescent="0.25">
      <c r="E377" s="2"/>
      <c r="H377" s="2"/>
    </row>
    <row r="378" spans="5:8" x14ac:dyDescent="0.25">
      <c r="E378" s="2"/>
      <c r="H378" s="2"/>
    </row>
    <row r="379" spans="5:8" x14ac:dyDescent="0.25">
      <c r="E379" s="2"/>
      <c r="H379" s="2"/>
    </row>
    <row r="380" spans="5:8" x14ac:dyDescent="0.25">
      <c r="E380" s="2"/>
      <c r="H380" s="2"/>
    </row>
    <row r="381" spans="5:8" x14ac:dyDescent="0.25">
      <c r="E381" s="2"/>
      <c r="H381" s="2"/>
    </row>
    <row r="382" spans="5:8" x14ac:dyDescent="0.25">
      <c r="E382" s="2"/>
      <c r="H382" s="2"/>
    </row>
    <row r="383" spans="5:8" x14ac:dyDescent="0.25">
      <c r="E383" s="2"/>
      <c r="H383" s="2"/>
    </row>
    <row r="384" spans="5:8" x14ac:dyDescent="0.25">
      <c r="E384" s="2"/>
      <c r="H384" s="2"/>
    </row>
    <row r="385" spans="5:8" x14ac:dyDescent="0.25">
      <c r="E385" s="2"/>
      <c r="H385" s="2"/>
    </row>
    <row r="386" spans="5:8" x14ac:dyDescent="0.25">
      <c r="E386" s="2"/>
      <c r="H386" s="2"/>
    </row>
    <row r="387" spans="5:8" x14ac:dyDescent="0.25">
      <c r="E387" s="2"/>
      <c r="H387" s="2"/>
    </row>
    <row r="388" spans="5:8" x14ac:dyDescent="0.25">
      <c r="E388" s="2"/>
      <c r="H388" s="2"/>
    </row>
    <row r="389" spans="5:8" x14ac:dyDescent="0.25">
      <c r="E389" s="2"/>
      <c r="H389" s="2"/>
    </row>
    <row r="390" spans="5:8" x14ac:dyDescent="0.25">
      <c r="E390" s="2"/>
      <c r="H390" s="2"/>
    </row>
    <row r="391" spans="5:8" x14ac:dyDescent="0.25">
      <c r="E391" s="2"/>
      <c r="H391" s="2"/>
    </row>
    <row r="392" spans="5:8" x14ac:dyDescent="0.25">
      <c r="E392" s="2"/>
      <c r="H392" s="2"/>
    </row>
    <row r="393" spans="5:8" x14ac:dyDescent="0.25">
      <c r="E393" s="2"/>
      <c r="H393" s="2"/>
    </row>
    <row r="394" spans="5:8" x14ac:dyDescent="0.25">
      <c r="E394" s="2"/>
      <c r="H394" s="2"/>
    </row>
    <row r="395" spans="5:8" x14ac:dyDescent="0.25">
      <c r="E395" s="2"/>
      <c r="H395" s="2"/>
    </row>
    <row r="396" spans="5:8" x14ac:dyDescent="0.25">
      <c r="E396" s="2"/>
      <c r="H396" s="2"/>
    </row>
    <row r="397" spans="5:8" x14ac:dyDescent="0.25">
      <c r="E397" s="2"/>
      <c r="H397" s="2"/>
    </row>
    <row r="398" spans="5:8" x14ac:dyDescent="0.25">
      <c r="E398" s="2"/>
      <c r="H398" s="2"/>
    </row>
    <row r="399" spans="5:8" x14ac:dyDescent="0.25">
      <c r="E399" s="2"/>
      <c r="H399" s="2"/>
    </row>
    <row r="400" spans="5:8" x14ac:dyDescent="0.25">
      <c r="E400" s="2"/>
      <c r="H400" s="2"/>
    </row>
    <row r="401" spans="5:8" x14ac:dyDescent="0.25">
      <c r="E401" s="2"/>
      <c r="H401" s="2"/>
    </row>
    <row r="402" spans="5:8" x14ac:dyDescent="0.25">
      <c r="E402" s="2"/>
      <c r="H402" s="2"/>
    </row>
    <row r="403" spans="5:8" x14ac:dyDescent="0.25">
      <c r="E403" s="2"/>
      <c r="H403" s="2"/>
    </row>
    <row r="404" spans="5:8" x14ac:dyDescent="0.25">
      <c r="E404" s="2"/>
      <c r="H404" s="2"/>
    </row>
    <row r="405" spans="5:8" x14ac:dyDescent="0.25">
      <c r="E405" s="2"/>
      <c r="H405" s="2"/>
    </row>
    <row r="406" spans="5:8" x14ac:dyDescent="0.25">
      <c r="E406" s="2"/>
      <c r="H406" s="2"/>
    </row>
    <row r="407" spans="5:8" x14ac:dyDescent="0.25">
      <c r="E407" s="2"/>
      <c r="H407" s="2"/>
    </row>
    <row r="408" spans="5:8" x14ac:dyDescent="0.25">
      <c r="E408" s="2"/>
      <c r="H408" s="2"/>
    </row>
    <row r="409" spans="5:8" x14ac:dyDescent="0.25">
      <c r="E409" s="2"/>
      <c r="H409" s="2"/>
    </row>
    <row r="410" spans="5:8" x14ac:dyDescent="0.25">
      <c r="E410" s="2"/>
      <c r="H410" s="2"/>
    </row>
    <row r="411" spans="5:8" x14ac:dyDescent="0.25">
      <c r="E411" s="2"/>
      <c r="H411" s="2"/>
    </row>
    <row r="412" spans="5:8" x14ac:dyDescent="0.25">
      <c r="E412" s="2"/>
      <c r="H412" s="2"/>
    </row>
    <row r="413" spans="5:8" x14ac:dyDescent="0.25">
      <c r="E413" s="2"/>
      <c r="H413" s="2"/>
    </row>
    <row r="414" spans="5:8" x14ac:dyDescent="0.25">
      <c r="E414" s="2"/>
      <c r="H414" s="2"/>
    </row>
    <row r="415" spans="5:8" x14ac:dyDescent="0.25">
      <c r="E415" s="2"/>
      <c r="H415" s="2"/>
    </row>
    <row r="416" spans="5:8" x14ac:dyDescent="0.25">
      <c r="E416" s="2"/>
      <c r="H416" s="2"/>
    </row>
    <row r="417" spans="5:8" x14ac:dyDescent="0.25">
      <c r="E417" s="2"/>
      <c r="H417" s="2"/>
    </row>
    <row r="418" spans="5:8" x14ac:dyDescent="0.25">
      <c r="E418" s="2"/>
      <c r="H418" s="2"/>
    </row>
    <row r="419" spans="5:8" x14ac:dyDescent="0.25">
      <c r="E419" s="2"/>
      <c r="H419" s="2"/>
    </row>
    <row r="420" spans="5:8" x14ac:dyDescent="0.25">
      <c r="E420" s="2"/>
      <c r="H420" s="2"/>
    </row>
    <row r="421" spans="5:8" x14ac:dyDescent="0.25">
      <c r="E421" s="2"/>
      <c r="H421" s="2"/>
    </row>
    <row r="422" spans="5:8" x14ac:dyDescent="0.25">
      <c r="E422" s="2"/>
      <c r="H422" s="2"/>
    </row>
    <row r="423" spans="5:8" x14ac:dyDescent="0.25">
      <c r="E423" s="2"/>
      <c r="H423" s="2"/>
    </row>
    <row r="424" spans="5:8" x14ac:dyDescent="0.25">
      <c r="E424" s="2"/>
      <c r="H424" s="2"/>
    </row>
    <row r="425" spans="5:8" x14ac:dyDescent="0.25">
      <c r="E425" s="2"/>
      <c r="H425" s="2"/>
    </row>
    <row r="426" spans="5:8" x14ac:dyDescent="0.25">
      <c r="E426" s="2"/>
      <c r="H426" s="2"/>
    </row>
    <row r="427" spans="5:8" x14ac:dyDescent="0.25">
      <c r="E427" s="2"/>
      <c r="H427" s="2"/>
    </row>
    <row r="428" spans="5:8" x14ac:dyDescent="0.25">
      <c r="E428" s="2"/>
      <c r="H428" s="2"/>
    </row>
    <row r="429" spans="5:8" x14ac:dyDescent="0.25">
      <c r="E429" s="2"/>
      <c r="H429" s="2"/>
    </row>
    <row r="430" spans="5:8" x14ac:dyDescent="0.25">
      <c r="E430" s="2"/>
      <c r="H430" s="2"/>
    </row>
    <row r="431" spans="5:8" x14ac:dyDescent="0.25">
      <c r="E431" s="2"/>
      <c r="H431" s="2"/>
    </row>
    <row r="432" spans="5:8" x14ac:dyDescent="0.25">
      <c r="E432" s="2"/>
      <c r="H432" s="2"/>
    </row>
    <row r="433" spans="5:8" x14ac:dyDescent="0.25">
      <c r="E433" s="2"/>
      <c r="H433" s="2"/>
    </row>
    <row r="434" spans="5:8" x14ac:dyDescent="0.25">
      <c r="E434" s="2"/>
      <c r="H434" s="2"/>
    </row>
    <row r="435" spans="5:8" x14ac:dyDescent="0.25">
      <c r="E435" s="2"/>
      <c r="H435" s="2"/>
    </row>
    <row r="436" spans="5:8" x14ac:dyDescent="0.25">
      <c r="E436" s="2"/>
      <c r="H436" s="2"/>
    </row>
    <row r="437" spans="5:8" x14ac:dyDescent="0.25">
      <c r="E437" s="2"/>
      <c r="H437" s="2"/>
    </row>
    <row r="438" spans="5:8" x14ac:dyDescent="0.25">
      <c r="E438" s="2"/>
      <c r="H438" s="2"/>
    </row>
    <row r="439" spans="5:8" x14ac:dyDescent="0.25">
      <c r="E439" s="2"/>
      <c r="H439" s="2"/>
    </row>
    <row r="440" spans="5:8" x14ac:dyDescent="0.25">
      <c r="E440" s="2"/>
      <c r="H440" s="2"/>
    </row>
    <row r="441" spans="5:8" x14ac:dyDescent="0.25">
      <c r="E441" s="2"/>
      <c r="H441" s="2"/>
    </row>
    <row r="442" spans="5:8" x14ac:dyDescent="0.25">
      <c r="E442" s="2"/>
      <c r="H442" s="2"/>
    </row>
    <row r="443" spans="5:8" x14ac:dyDescent="0.25">
      <c r="E443" s="2"/>
      <c r="H443" s="2"/>
    </row>
    <row r="444" spans="5:8" x14ac:dyDescent="0.25">
      <c r="E444" s="2"/>
      <c r="H444" s="2"/>
    </row>
    <row r="445" spans="5:8" x14ac:dyDescent="0.25">
      <c r="E445" s="2"/>
      <c r="H445" s="2"/>
    </row>
    <row r="446" spans="5:8" x14ac:dyDescent="0.25">
      <c r="E446" s="2"/>
      <c r="H446" s="2"/>
    </row>
    <row r="447" spans="5:8" x14ac:dyDescent="0.25">
      <c r="E447" s="2"/>
      <c r="H447" s="2"/>
    </row>
    <row r="448" spans="5:8" x14ac:dyDescent="0.25">
      <c r="E448" s="2"/>
      <c r="H448" s="2"/>
    </row>
    <row r="449" spans="5:8" x14ac:dyDescent="0.25">
      <c r="E449" s="2"/>
      <c r="H449" s="2"/>
    </row>
    <row r="450" spans="5:8" x14ac:dyDescent="0.25">
      <c r="E450" s="2"/>
      <c r="H450" s="2"/>
    </row>
    <row r="451" spans="5:8" x14ac:dyDescent="0.25">
      <c r="E451" s="2"/>
      <c r="H451" s="2"/>
    </row>
    <row r="452" spans="5:8" x14ac:dyDescent="0.25">
      <c r="E452" s="2"/>
      <c r="H452" s="2"/>
    </row>
    <row r="453" spans="5:8" x14ac:dyDescent="0.25">
      <c r="E453" s="2"/>
      <c r="H453" s="2"/>
    </row>
    <row r="454" spans="5:8" x14ac:dyDescent="0.25">
      <c r="E454" s="2"/>
      <c r="H454" s="2"/>
    </row>
    <row r="455" spans="5:8" x14ac:dyDescent="0.25">
      <c r="E455" s="2"/>
      <c r="H455" s="2"/>
    </row>
    <row r="456" spans="5:8" x14ac:dyDescent="0.25">
      <c r="E456" s="2"/>
      <c r="H456" s="2"/>
    </row>
    <row r="457" spans="5:8" x14ac:dyDescent="0.25">
      <c r="E457" s="2"/>
      <c r="H457" s="2"/>
    </row>
    <row r="458" spans="5:8" x14ac:dyDescent="0.25">
      <c r="E458" s="2"/>
      <c r="H458" s="2"/>
    </row>
    <row r="459" spans="5:8" x14ac:dyDescent="0.25">
      <c r="E459" s="2"/>
      <c r="H459" s="2"/>
    </row>
    <row r="460" spans="5:8" x14ac:dyDescent="0.25">
      <c r="E460" s="2"/>
      <c r="H460" s="2"/>
    </row>
    <row r="461" spans="5:8" x14ac:dyDescent="0.25">
      <c r="E461" s="2"/>
      <c r="H461" s="2"/>
    </row>
    <row r="462" spans="5:8" x14ac:dyDescent="0.25">
      <c r="E462" s="2"/>
      <c r="H462" s="2"/>
    </row>
    <row r="463" spans="5:8" x14ac:dyDescent="0.25">
      <c r="E463" s="2"/>
      <c r="H463" s="2"/>
    </row>
    <row r="464" spans="5:8" x14ac:dyDescent="0.25">
      <c r="E464" s="2"/>
      <c r="H464" s="2"/>
    </row>
    <row r="465" spans="5:8" x14ac:dyDescent="0.25">
      <c r="E465" s="2"/>
      <c r="H465" s="2"/>
    </row>
    <row r="466" spans="5:8" x14ac:dyDescent="0.25">
      <c r="E466" s="2"/>
      <c r="H466" s="2"/>
    </row>
    <row r="467" spans="5:8" x14ac:dyDescent="0.25">
      <c r="E467" s="2"/>
      <c r="H467" s="2"/>
    </row>
    <row r="468" spans="5:8" x14ac:dyDescent="0.25">
      <c r="E468" s="2"/>
      <c r="H468" s="2"/>
    </row>
    <row r="469" spans="5:8" x14ac:dyDescent="0.25">
      <c r="E469" s="2"/>
      <c r="H469" s="2"/>
    </row>
    <row r="470" spans="5:8" x14ac:dyDescent="0.25">
      <c r="E470" s="2"/>
      <c r="H470" s="2"/>
    </row>
    <row r="471" spans="5:8" x14ac:dyDescent="0.25">
      <c r="E471" s="2"/>
      <c r="H471" s="2"/>
    </row>
    <row r="472" spans="5:8" x14ac:dyDescent="0.25">
      <c r="E472" s="2"/>
      <c r="H472" s="2"/>
    </row>
    <row r="473" spans="5:8" x14ac:dyDescent="0.25">
      <c r="E473" s="2"/>
      <c r="H473" s="2"/>
    </row>
    <row r="474" spans="5:8" x14ac:dyDescent="0.25">
      <c r="E474" s="2"/>
      <c r="H474" s="2"/>
    </row>
    <row r="475" spans="5:8" x14ac:dyDescent="0.25">
      <c r="E475" s="2"/>
      <c r="H475" s="2"/>
    </row>
    <row r="476" spans="5:8" x14ac:dyDescent="0.25">
      <c r="E476" s="2"/>
      <c r="H476" s="2"/>
    </row>
    <row r="477" spans="5:8" x14ac:dyDescent="0.25">
      <c r="E477" s="2"/>
      <c r="H477" s="2"/>
    </row>
    <row r="478" spans="5:8" x14ac:dyDescent="0.25">
      <c r="E478" s="2"/>
      <c r="H478" s="2"/>
    </row>
    <row r="479" spans="5:8" x14ac:dyDescent="0.25">
      <c r="E479" s="2"/>
      <c r="H479" s="2"/>
    </row>
    <row r="480" spans="5:8" x14ac:dyDescent="0.25">
      <c r="E480" s="2"/>
      <c r="H480" s="2"/>
    </row>
    <row r="481" spans="5:8" x14ac:dyDescent="0.25">
      <c r="E481" s="2"/>
      <c r="H481" s="2"/>
    </row>
    <row r="482" spans="5:8" x14ac:dyDescent="0.25">
      <c r="E482" s="2"/>
      <c r="H482" s="2"/>
    </row>
    <row r="483" spans="5:8" x14ac:dyDescent="0.25">
      <c r="E483" s="2"/>
      <c r="H483" s="2"/>
    </row>
    <row r="484" spans="5:8" x14ac:dyDescent="0.25">
      <c r="E484" s="2"/>
      <c r="H484" s="2"/>
    </row>
    <row r="485" spans="5:8" x14ac:dyDescent="0.25">
      <c r="E485" s="2"/>
      <c r="H485" s="2"/>
    </row>
    <row r="486" spans="5:8" x14ac:dyDescent="0.25">
      <c r="E486" s="2"/>
      <c r="H486" s="2"/>
    </row>
    <row r="487" spans="5:8" x14ac:dyDescent="0.25">
      <c r="E487" s="2"/>
      <c r="H487" s="2"/>
    </row>
    <row r="488" spans="5:8" x14ac:dyDescent="0.25">
      <c r="E488" s="2"/>
      <c r="H488" s="2"/>
    </row>
    <row r="489" spans="5:8" x14ac:dyDescent="0.25">
      <c r="E489" s="2"/>
      <c r="H489" s="2"/>
    </row>
    <row r="490" spans="5:8" x14ac:dyDescent="0.25">
      <c r="E490" s="2"/>
      <c r="H490" s="2"/>
    </row>
    <row r="491" spans="5:8" x14ac:dyDescent="0.25">
      <c r="E491" s="2"/>
      <c r="H491" s="2"/>
    </row>
    <row r="492" spans="5:8" x14ac:dyDescent="0.25">
      <c r="E492" s="2"/>
      <c r="H492" s="2"/>
    </row>
    <row r="493" spans="5:8" x14ac:dyDescent="0.25">
      <c r="E493" s="2"/>
      <c r="H493" s="2"/>
    </row>
    <row r="494" spans="5:8" x14ac:dyDescent="0.25">
      <c r="E494" s="2"/>
      <c r="H494" s="2"/>
    </row>
    <row r="495" spans="5:8" x14ac:dyDescent="0.25">
      <c r="E495" s="2"/>
      <c r="H495" s="2"/>
    </row>
    <row r="496" spans="5:8" x14ac:dyDescent="0.25">
      <c r="E496" s="2"/>
      <c r="H496" s="2"/>
    </row>
    <row r="497" spans="5:8" x14ac:dyDescent="0.25">
      <c r="E497" s="2"/>
      <c r="H497" s="2"/>
    </row>
    <row r="498" spans="5:8" x14ac:dyDescent="0.25">
      <c r="E498" s="2"/>
      <c r="H498" s="2"/>
    </row>
    <row r="499" spans="5:8" x14ac:dyDescent="0.25">
      <c r="E499" s="2"/>
      <c r="H499" s="2"/>
    </row>
    <row r="500" spans="5:8" x14ac:dyDescent="0.25">
      <c r="E500" s="2"/>
      <c r="H500" s="2"/>
    </row>
    <row r="501" spans="5:8" x14ac:dyDescent="0.25">
      <c r="E501" s="2"/>
      <c r="H501" s="2"/>
    </row>
    <row r="502" spans="5:8" x14ac:dyDescent="0.25">
      <c r="E502" s="2"/>
      <c r="H502" s="2"/>
    </row>
    <row r="503" spans="5:8" x14ac:dyDescent="0.25">
      <c r="E503" s="2"/>
      <c r="H503" s="2"/>
    </row>
    <row r="504" spans="5:8" x14ac:dyDescent="0.25">
      <c r="E504" s="2"/>
      <c r="H504" s="2"/>
    </row>
    <row r="505" spans="5:8" x14ac:dyDescent="0.25">
      <c r="E505" s="2"/>
      <c r="H505" s="2"/>
    </row>
    <row r="506" spans="5:8" x14ac:dyDescent="0.25">
      <c r="E506" s="2"/>
      <c r="H506" s="2"/>
    </row>
    <row r="507" spans="5:8" x14ac:dyDescent="0.25">
      <c r="E507" s="2"/>
      <c r="H507" s="2"/>
    </row>
    <row r="508" spans="5:8" x14ac:dyDescent="0.25">
      <c r="E508" s="2"/>
      <c r="H508" s="2"/>
    </row>
    <row r="509" spans="5:8" x14ac:dyDescent="0.25">
      <c r="E509" s="2"/>
      <c r="H509" s="2"/>
    </row>
    <row r="510" spans="5:8" x14ac:dyDescent="0.25">
      <c r="E510" s="2"/>
      <c r="H510" s="2"/>
    </row>
    <row r="511" spans="5:8" x14ac:dyDescent="0.25">
      <c r="E511" s="2"/>
      <c r="H511" s="2"/>
    </row>
    <row r="512" spans="5:8" x14ac:dyDescent="0.25">
      <c r="E512" s="2"/>
      <c r="H512" s="2"/>
    </row>
    <row r="513" spans="5:8" x14ac:dyDescent="0.25">
      <c r="E513" s="2"/>
      <c r="H513" s="2"/>
    </row>
    <row r="514" spans="5:8" x14ac:dyDescent="0.25">
      <c r="E514" s="2"/>
      <c r="H514" s="2"/>
    </row>
    <row r="515" spans="5:8" x14ac:dyDescent="0.25">
      <c r="E515" s="2"/>
      <c r="H515" s="2"/>
    </row>
    <row r="516" spans="5:8" x14ac:dyDescent="0.25">
      <c r="E516" s="2"/>
      <c r="H516" s="2"/>
    </row>
    <row r="517" spans="5:8" x14ac:dyDescent="0.25">
      <c r="E517" s="2"/>
      <c r="H517" s="2"/>
    </row>
    <row r="518" spans="5:8" x14ac:dyDescent="0.25">
      <c r="E518" s="2"/>
      <c r="H518" s="2"/>
    </row>
    <row r="519" spans="5:8" x14ac:dyDescent="0.25">
      <c r="E519" s="2"/>
      <c r="H519" s="2"/>
    </row>
    <row r="520" spans="5:8" x14ac:dyDescent="0.25">
      <c r="E520" s="2"/>
      <c r="H520" s="2"/>
    </row>
    <row r="521" spans="5:8" x14ac:dyDescent="0.25">
      <c r="E521" s="2"/>
      <c r="H521" s="2"/>
    </row>
    <row r="522" spans="5:8" x14ac:dyDescent="0.25">
      <c r="E522" s="2"/>
      <c r="H522" s="2"/>
    </row>
    <row r="523" spans="5:8" x14ac:dyDescent="0.25">
      <c r="E523" s="2"/>
      <c r="H523" s="2"/>
    </row>
    <row r="524" spans="5:8" x14ac:dyDescent="0.25">
      <c r="E524" s="2"/>
      <c r="H524" s="2"/>
    </row>
    <row r="525" spans="5:8" x14ac:dyDescent="0.25">
      <c r="E525" s="2"/>
      <c r="H525" s="2"/>
    </row>
    <row r="526" spans="5:8" x14ac:dyDescent="0.25">
      <c r="E526" s="2"/>
      <c r="H526" s="2"/>
    </row>
    <row r="527" spans="5:8" x14ac:dyDescent="0.25">
      <c r="E527" s="2"/>
      <c r="H527" s="2"/>
    </row>
    <row r="528" spans="5:8" x14ac:dyDescent="0.25">
      <c r="E528" s="2"/>
      <c r="H528" s="2"/>
    </row>
    <row r="529" spans="5:8" x14ac:dyDescent="0.25">
      <c r="E529" s="2"/>
      <c r="H529" s="2"/>
    </row>
    <row r="530" spans="5:8" x14ac:dyDescent="0.25">
      <c r="E530" s="2"/>
      <c r="H530" s="2"/>
    </row>
    <row r="531" spans="5:8" x14ac:dyDescent="0.25">
      <c r="E531" s="2"/>
      <c r="H531" s="2"/>
    </row>
    <row r="532" spans="5:8" x14ac:dyDescent="0.25">
      <c r="E532" s="2"/>
      <c r="H532" s="2"/>
    </row>
    <row r="533" spans="5:8" x14ac:dyDescent="0.25">
      <c r="E533" s="2"/>
      <c r="H533" s="2"/>
    </row>
    <row r="534" spans="5:8" x14ac:dyDescent="0.25">
      <c r="E534" s="2"/>
      <c r="H534" s="2"/>
    </row>
    <row r="535" spans="5:8" x14ac:dyDescent="0.25">
      <c r="E535" s="2"/>
      <c r="H535" s="2"/>
    </row>
    <row r="536" spans="5:8" x14ac:dyDescent="0.25">
      <c r="E536" s="2"/>
      <c r="H536" s="2"/>
    </row>
    <row r="537" spans="5:8" x14ac:dyDescent="0.25">
      <c r="E537" s="2"/>
      <c r="H537" s="2"/>
    </row>
    <row r="538" spans="5:8" x14ac:dyDescent="0.25">
      <c r="E538" s="2"/>
      <c r="H538" s="2"/>
    </row>
    <row r="539" spans="5:8" x14ac:dyDescent="0.25">
      <c r="E539" s="2"/>
      <c r="H539" s="2"/>
    </row>
    <row r="540" spans="5:8" x14ac:dyDescent="0.25">
      <c r="E540" s="2"/>
      <c r="H540" s="2"/>
    </row>
    <row r="541" spans="5:8" x14ac:dyDescent="0.25">
      <c r="E541" s="2"/>
      <c r="H541" s="2"/>
    </row>
    <row r="542" spans="5:8" x14ac:dyDescent="0.25">
      <c r="E542" s="2"/>
      <c r="H542" s="2"/>
    </row>
    <row r="543" spans="5:8" x14ac:dyDescent="0.25">
      <c r="E543" s="2"/>
      <c r="H543" s="2"/>
    </row>
    <row r="544" spans="5:8" x14ac:dyDescent="0.25">
      <c r="E544" s="2"/>
      <c r="H544" s="2"/>
    </row>
    <row r="545" spans="5:8" x14ac:dyDescent="0.25">
      <c r="E545" s="2"/>
      <c r="H545" s="2"/>
    </row>
    <row r="546" spans="5:8" x14ac:dyDescent="0.25">
      <c r="E546" s="2"/>
      <c r="H546" s="2"/>
    </row>
    <row r="547" spans="5:8" x14ac:dyDescent="0.25">
      <c r="E547" s="2"/>
      <c r="H547" s="2"/>
    </row>
    <row r="548" spans="5:8" x14ac:dyDescent="0.25">
      <c r="E548" s="2"/>
      <c r="H548" s="2"/>
    </row>
    <row r="549" spans="5:8" x14ac:dyDescent="0.25">
      <c r="E549" s="2"/>
      <c r="H549" s="2"/>
    </row>
    <row r="550" spans="5:8" x14ac:dyDescent="0.25">
      <c r="E550" s="2"/>
      <c r="H550" s="2"/>
    </row>
    <row r="551" spans="5:8" x14ac:dyDescent="0.25">
      <c r="E551" s="2"/>
      <c r="H551" s="2"/>
    </row>
    <row r="552" spans="5:8" x14ac:dyDescent="0.25">
      <c r="E552" s="2"/>
      <c r="H552" s="2"/>
    </row>
    <row r="553" spans="5:8" x14ac:dyDescent="0.25">
      <c r="E553" s="2"/>
      <c r="H553" s="2"/>
    </row>
    <row r="554" spans="5:8" x14ac:dyDescent="0.25">
      <c r="E554" s="2"/>
      <c r="H554" s="2"/>
    </row>
    <row r="555" spans="5:8" x14ac:dyDescent="0.25">
      <c r="E555" s="2"/>
      <c r="H555" s="2"/>
    </row>
    <row r="556" spans="5:8" x14ac:dyDescent="0.25">
      <c r="E556" s="2"/>
      <c r="H556" s="2"/>
    </row>
    <row r="557" spans="5:8" x14ac:dyDescent="0.25">
      <c r="E557" s="2"/>
      <c r="H557" s="2"/>
    </row>
    <row r="558" spans="5:8" x14ac:dyDescent="0.25">
      <c r="E558" s="2"/>
      <c r="H558" s="2"/>
    </row>
    <row r="559" spans="5:8" x14ac:dyDescent="0.25">
      <c r="E559" s="2"/>
      <c r="H559" s="2"/>
    </row>
    <row r="560" spans="5:8" x14ac:dyDescent="0.25">
      <c r="E560" s="2"/>
      <c r="H560" s="2"/>
    </row>
    <row r="561" spans="5:8" x14ac:dyDescent="0.25">
      <c r="E561" s="2"/>
      <c r="H561" s="2"/>
    </row>
    <row r="562" spans="5:8" x14ac:dyDescent="0.25">
      <c r="E562" s="2"/>
      <c r="H562" s="2"/>
    </row>
    <row r="563" spans="5:8" x14ac:dyDescent="0.25">
      <c r="E563" s="2"/>
      <c r="H563" s="2"/>
    </row>
    <row r="564" spans="5:8" x14ac:dyDescent="0.25">
      <c r="E564" s="2"/>
      <c r="H564" s="2"/>
    </row>
    <row r="565" spans="5:8" x14ac:dyDescent="0.25">
      <c r="E565" s="2"/>
      <c r="H565" s="2"/>
    </row>
    <row r="566" spans="5:8" x14ac:dyDescent="0.25">
      <c r="E566" s="2"/>
      <c r="H566" s="2"/>
    </row>
    <row r="567" spans="5:8" x14ac:dyDescent="0.25">
      <c r="E567" s="2"/>
      <c r="H567" s="2"/>
    </row>
    <row r="568" spans="5:8" x14ac:dyDescent="0.25">
      <c r="E568" s="2"/>
      <c r="H568" s="2"/>
    </row>
    <row r="569" spans="5:8" x14ac:dyDescent="0.25">
      <c r="E569" s="2"/>
      <c r="H569" s="2"/>
    </row>
    <row r="570" spans="5:8" x14ac:dyDescent="0.25">
      <c r="E570" s="2"/>
      <c r="H570" s="2"/>
    </row>
    <row r="571" spans="5:8" x14ac:dyDescent="0.25">
      <c r="E571" s="2"/>
      <c r="H571" s="2"/>
    </row>
    <row r="572" spans="5:8" x14ac:dyDescent="0.25">
      <c r="E572" s="2"/>
      <c r="H572" s="2"/>
    </row>
    <row r="573" spans="5:8" x14ac:dyDescent="0.25">
      <c r="E573" s="2"/>
      <c r="H573" s="2"/>
    </row>
    <row r="574" spans="5:8" x14ac:dyDescent="0.25">
      <c r="E574" s="2"/>
      <c r="H574" s="2"/>
    </row>
    <row r="575" spans="5:8" x14ac:dyDescent="0.25">
      <c r="E575" s="2"/>
      <c r="H575" s="2"/>
    </row>
    <row r="576" spans="5:8" x14ac:dyDescent="0.25">
      <c r="E576" s="2"/>
      <c r="H576" s="2"/>
    </row>
    <row r="577" spans="5:8" x14ac:dyDescent="0.25">
      <c r="E577" s="2"/>
      <c r="H577" s="2"/>
    </row>
    <row r="578" spans="5:8" x14ac:dyDescent="0.25">
      <c r="E578" s="2"/>
      <c r="H578" s="2"/>
    </row>
    <row r="579" spans="5:8" x14ac:dyDescent="0.25">
      <c r="E579" s="2"/>
      <c r="H579" s="2"/>
    </row>
    <row r="580" spans="5:8" x14ac:dyDescent="0.25">
      <c r="E580" s="2"/>
      <c r="H580" s="2"/>
    </row>
    <row r="581" spans="5:8" x14ac:dyDescent="0.25">
      <c r="E581" s="2"/>
      <c r="H581" s="2"/>
    </row>
    <row r="582" spans="5:8" x14ac:dyDescent="0.25">
      <c r="E582" s="2"/>
      <c r="H582" s="2"/>
    </row>
    <row r="583" spans="5:8" x14ac:dyDescent="0.25">
      <c r="E583" s="2"/>
      <c r="H583" s="2"/>
    </row>
    <row r="584" spans="5:8" x14ac:dyDescent="0.25">
      <c r="E584" s="2"/>
      <c r="H584" s="2"/>
    </row>
    <row r="585" spans="5:8" x14ac:dyDescent="0.25">
      <c r="E585" s="2"/>
      <c r="H585" s="2"/>
    </row>
    <row r="586" spans="5:8" x14ac:dyDescent="0.25">
      <c r="E586" s="2"/>
      <c r="H586" s="2"/>
    </row>
    <row r="587" spans="5:8" x14ac:dyDescent="0.25">
      <c r="E587" s="2"/>
      <c r="H587" s="2"/>
    </row>
    <row r="588" spans="5:8" x14ac:dyDescent="0.25">
      <c r="E588" s="2"/>
      <c r="H588" s="2"/>
    </row>
    <row r="589" spans="5:8" x14ac:dyDescent="0.25">
      <c r="E589" s="2"/>
      <c r="H589" s="2"/>
    </row>
    <row r="590" spans="5:8" x14ac:dyDescent="0.25">
      <c r="E590" s="2"/>
      <c r="H590" s="2"/>
    </row>
    <row r="591" spans="5:8" x14ac:dyDescent="0.25">
      <c r="E591" s="2"/>
      <c r="H591" s="2"/>
    </row>
    <row r="592" spans="5:8" x14ac:dyDescent="0.25">
      <c r="E592" s="2"/>
      <c r="H592" s="2"/>
    </row>
    <row r="593" spans="5:8" x14ac:dyDescent="0.25">
      <c r="E593" s="2"/>
      <c r="H593" s="2"/>
    </row>
    <row r="594" spans="5:8" x14ac:dyDescent="0.25">
      <c r="E594" s="2"/>
      <c r="H594" s="2"/>
    </row>
    <row r="595" spans="5:8" x14ac:dyDescent="0.25">
      <c r="E595" s="2"/>
      <c r="H595" s="2"/>
    </row>
    <row r="596" spans="5:8" x14ac:dyDescent="0.25">
      <c r="E596" s="2"/>
      <c r="H596" s="2"/>
    </row>
    <row r="597" spans="5:8" x14ac:dyDescent="0.25">
      <c r="E597" s="2"/>
      <c r="H597" s="2"/>
    </row>
    <row r="598" spans="5:8" x14ac:dyDescent="0.25">
      <c r="E598" s="2"/>
      <c r="H598" s="2"/>
    </row>
    <row r="599" spans="5:8" x14ac:dyDescent="0.25">
      <c r="E599" s="2"/>
      <c r="H599" s="2"/>
    </row>
    <row r="600" spans="5:8" x14ac:dyDescent="0.25">
      <c r="E600" s="2"/>
      <c r="H600" s="2"/>
    </row>
    <row r="601" spans="5:8" x14ac:dyDescent="0.25">
      <c r="E601" s="2"/>
      <c r="H601" s="2"/>
    </row>
    <row r="602" spans="5:8" x14ac:dyDescent="0.25">
      <c r="E602" s="2"/>
      <c r="H602" s="2"/>
    </row>
    <row r="603" spans="5:8" x14ac:dyDescent="0.25">
      <c r="E603" s="2"/>
      <c r="H603" s="2"/>
    </row>
    <row r="604" spans="5:8" x14ac:dyDescent="0.25">
      <c r="E604" s="2"/>
      <c r="H604" s="2"/>
    </row>
    <row r="605" spans="5:8" x14ac:dyDescent="0.25">
      <c r="E605" s="2"/>
      <c r="H605" s="2"/>
    </row>
    <row r="606" spans="5:8" x14ac:dyDescent="0.25">
      <c r="E606" s="2"/>
      <c r="H606" s="2"/>
    </row>
    <row r="607" spans="5:8" x14ac:dyDescent="0.25">
      <c r="E607" s="2"/>
      <c r="H607" s="2"/>
    </row>
    <row r="608" spans="5:8" x14ac:dyDescent="0.25">
      <c r="E608" s="2"/>
      <c r="H608" s="2"/>
    </row>
    <row r="609" spans="5:8" x14ac:dyDescent="0.25">
      <c r="E609" s="2"/>
      <c r="H609" s="2"/>
    </row>
    <row r="610" spans="5:8" x14ac:dyDescent="0.25">
      <c r="E610" s="2"/>
      <c r="H610" s="2"/>
    </row>
    <row r="611" spans="5:8" x14ac:dyDescent="0.25">
      <c r="E611" s="2"/>
      <c r="H611" s="2"/>
    </row>
    <row r="612" spans="5:8" x14ac:dyDescent="0.25">
      <c r="E612" s="2"/>
      <c r="H612" s="2"/>
    </row>
    <row r="613" spans="5:8" x14ac:dyDescent="0.25">
      <c r="E613" s="2"/>
      <c r="H613" s="2"/>
    </row>
    <row r="614" spans="5:8" x14ac:dyDescent="0.25">
      <c r="E614" s="2"/>
      <c r="H614" s="2"/>
    </row>
    <row r="615" spans="5:8" x14ac:dyDescent="0.25">
      <c r="E615" s="2"/>
      <c r="H615" s="2"/>
    </row>
    <row r="616" spans="5:8" x14ac:dyDescent="0.25">
      <c r="E616" s="2"/>
      <c r="H616" s="2"/>
    </row>
    <row r="617" spans="5:8" x14ac:dyDescent="0.25">
      <c r="E617" s="2"/>
      <c r="H617" s="2"/>
    </row>
    <row r="618" spans="5:8" x14ac:dyDescent="0.25">
      <c r="E618" s="2"/>
      <c r="H618" s="2"/>
    </row>
    <row r="619" spans="5:8" x14ac:dyDescent="0.25">
      <c r="E619" s="2"/>
      <c r="H619" s="2"/>
    </row>
    <row r="620" spans="5:8" x14ac:dyDescent="0.25">
      <c r="E620" s="2"/>
      <c r="H620" s="2"/>
    </row>
    <row r="621" spans="5:8" x14ac:dyDescent="0.25">
      <c r="E621" s="2"/>
      <c r="H621" s="2"/>
    </row>
    <row r="622" spans="5:8" x14ac:dyDescent="0.25">
      <c r="E622" s="2"/>
      <c r="H622" s="2"/>
    </row>
    <row r="623" spans="5:8" x14ac:dyDescent="0.25">
      <c r="E623" s="2"/>
      <c r="H623" s="2"/>
    </row>
    <row r="624" spans="5:8" x14ac:dyDescent="0.25">
      <c r="E624" s="2"/>
      <c r="H624" s="2"/>
    </row>
    <row r="625" spans="5:8" x14ac:dyDescent="0.25">
      <c r="E625" s="2"/>
      <c r="H625" s="2"/>
    </row>
    <row r="626" spans="5:8" x14ac:dyDescent="0.25">
      <c r="E626" s="2"/>
      <c r="H626" s="2"/>
    </row>
    <row r="627" spans="5:8" x14ac:dyDescent="0.25">
      <c r="E627" s="2"/>
      <c r="H627" s="2"/>
    </row>
    <row r="628" spans="5:8" x14ac:dyDescent="0.25">
      <c r="E628" s="2"/>
      <c r="H628" s="2"/>
    </row>
    <row r="629" spans="5:8" x14ac:dyDescent="0.25">
      <c r="E629" s="2"/>
      <c r="H629" s="2"/>
    </row>
    <row r="630" spans="5:8" x14ac:dyDescent="0.25">
      <c r="E630" s="2"/>
      <c r="H630" s="2"/>
    </row>
    <row r="631" spans="5:8" x14ac:dyDescent="0.25">
      <c r="E631" s="2"/>
      <c r="H631" s="2"/>
    </row>
    <row r="632" spans="5:8" x14ac:dyDescent="0.25">
      <c r="E632" s="2"/>
      <c r="H632" s="2"/>
    </row>
    <row r="633" spans="5:8" x14ac:dyDescent="0.25">
      <c r="E633" s="2"/>
      <c r="H633" s="2"/>
    </row>
    <row r="634" spans="5:8" x14ac:dyDescent="0.25">
      <c r="E634" s="2"/>
      <c r="H634" s="2"/>
    </row>
    <row r="635" spans="5:8" x14ac:dyDescent="0.25">
      <c r="E635" s="2"/>
      <c r="H635" s="2"/>
    </row>
    <row r="636" spans="5:8" x14ac:dyDescent="0.25">
      <c r="E636" s="2"/>
      <c r="H636" s="2"/>
    </row>
    <row r="637" spans="5:8" x14ac:dyDescent="0.25">
      <c r="E637" s="2"/>
      <c r="H637" s="2"/>
    </row>
    <row r="638" spans="5:8" x14ac:dyDescent="0.25">
      <c r="E638" s="2"/>
      <c r="H638" s="2"/>
    </row>
    <row r="639" spans="5:8" x14ac:dyDescent="0.25">
      <c r="E639" s="2"/>
      <c r="H639" s="2"/>
    </row>
    <row r="640" spans="5:8" x14ac:dyDescent="0.25">
      <c r="E640" s="2"/>
      <c r="H640" s="2"/>
    </row>
    <row r="641" spans="5:8" x14ac:dyDescent="0.25">
      <c r="E641" s="2"/>
      <c r="H641" s="2"/>
    </row>
    <row r="642" spans="5:8" x14ac:dyDescent="0.25">
      <c r="E642" s="2"/>
      <c r="H642" s="2"/>
    </row>
    <row r="643" spans="5:8" x14ac:dyDescent="0.25">
      <c r="E643" s="2"/>
      <c r="H643" s="2"/>
    </row>
    <row r="644" spans="5:8" x14ac:dyDescent="0.25">
      <c r="E644" s="2"/>
      <c r="H644" s="2"/>
    </row>
    <row r="645" spans="5:8" x14ac:dyDescent="0.25">
      <c r="E645" s="2"/>
      <c r="H645" s="2"/>
    </row>
    <row r="646" spans="5:8" x14ac:dyDescent="0.25">
      <c r="E646" s="2"/>
      <c r="H646" s="2"/>
    </row>
    <row r="647" spans="5:8" x14ac:dyDescent="0.25">
      <c r="E647" s="2"/>
      <c r="H647" s="2"/>
    </row>
    <row r="648" spans="5:8" x14ac:dyDescent="0.25">
      <c r="E648" s="2"/>
      <c r="H648" s="2"/>
    </row>
    <row r="649" spans="5:8" x14ac:dyDescent="0.25">
      <c r="E649" s="2"/>
      <c r="H649" s="2"/>
    </row>
    <row r="650" spans="5:8" x14ac:dyDescent="0.25">
      <c r="E650" s="2"/>
      <c r="H650" s="2"/>
    </row>
    <row r="651" spans="5:8" x14ac:dyDescent="0.25">
      <c r="E651" s="2"/>
      <c r="H651" s="2"/>
    </row>
    <row r="652" spans="5:8" x14ac:dyDescent="0.25">
      <c r="E652" s="2"/>
      <c r="H652" s="2"/>
    </row>
    <row r="653" spans="5:8" x14ac:dyDescent="0.25">
      <c r="E653" s="2"/>
      <c r="H653" s="2"/>
    </row>
    <row r="654" spans="5:8" x14ac:dyDescent="0.25">
      <c r="E654" s="2"/>
      <c r="H654" s="2"/>
    </row>
    <row r="655" spans="5:8" x14ac:dyDescent="0.25">
      <c r="E655" s="2"/>
      <c r="H655" s="2"/>
    </row>
    <row r="656" spans="5:8" x14ac:dyDescent="0.25">
      <c r="E656" s="2"/>
      <c r="H656" s="2"/>
    </row>
    <row r="657" spans="5:8" x14ac:dyDescent="0.25">
      <c r="E657" s="2"/>
      <c r="H657" s="2"/>
    </row>
    <row r="658" spans="5:8" x14ac:dyDescent="0.25">
      <c r="E658" s="2"/>
      <c r="H658" s="2"/>
    </row>
    <row r="659" spans="5:8" x14ac:dyDescent="0.25">
      <c r="E659" s="2"/>
      <c r="H659" s="2"/>
    </row>
    <row r="660" spans="5:8" x14ac:dyDescent="0.25">
      <c r="E660" s="2"/>
      <c r="H660" s="2"/>
    </row>
    <row r="661" spans="5:8" x14ac:dyDescent="0.25">
      <c r="E661" s="2"/>
      <c r="H661" s="2"/>
    </row>
    <row r="662" spans="5:8" x14ac:dyDescent="0.25">
      <c r="E662" s="2"/>
      <c r="H662" s="2"/>
    </row>
    <row r="663" spans="5:8" x14ac:dyDescent="0.25">
      <c r="E663" s="2"/>
      <c r="H663" s="2"/>
    </row>
    <row r="664" spans="5:8" x14ac:dyDescent="0.25">
      <c r="E664" s="2"/>
      <c r="H664" s="2"/>
    </row>
    <row r="665" spans="5:8" x14ac:dyDescent="0.25">
      <c r="E665" s="2"/>
      <c r="H665" s="2"/>
    </row>
    <row r="666" spans="5:8" x14ac:dyDescent="0.25">
      <c r="E666" s="2"/>
      <c r="H666" s="2"/>
    </row>
    <row r="667" spans="5:8" x14ac:dyDescent="0.25">
      <c r="E667" s="2"/>
      <c r="H667" s="2"/>
    </row>
    <row r="668" spans="5:8" x14ac:dyDescent="0.25">
      <c r="E668" s="2"/>
      <c r="H668" s="2"/>
    </row>
    <row r="669" spans="5:8" x14ac:dyDescent="0.25">
      <c r="E669" s="2"/>
      <c r="H669" s="2"/>
    </row>
    <row r="670" spans="5:8" x14ac:dyDescent="0.25">
      <c r="E670" s="2"/>
      <c r="H670" s="2"/>
    </row>
    <row r="671" spans="5:8" x14ac:dyDescent="0.25">
      <c r="E671" s="2"/>
      <c r="H671" s="2"/>
    </row>
    <row r="672" spans="5:8" x14ac:dyDescent="0.25">
      <c r="E672" s="2"/>
      <c r="H672" s="2"/>
    </row>
    <row r="673" spans="5:8" x14ac:dyDescent="0.25">
      <c r="E673" s="2"/>
      <c r="H673" s="2"/>
    </row>
    <row r="674" spans="5:8" x14ac:dyDescent="0.25">
      <c r="E674" s="2"/>
      <c r="H674" s="2"/>
    </row>
    <row r="675" spans="5:8" x14ac:dyDescent="0.25">
      <c r="E675" s="2"/>
      <c r="H675" s="2"/>
    </row>
    <row r="676" spans="5:8" x14ac:dyDescent="0.25">
      <c r="E676" s="2"/>
      <c r="H676" s="2"/>
    </row>
    <row r="677" spans="5:8" x14ac:dyDescent="0.25">
      <c r="E677" s="2"/>
      <c r="H677" s="2"/>
    </row>
    <row r="678" spans="5:8" x14ac:dyDescent="0.25">
      <c r="E678" s="2"/>
      <c r="H678" s="2"/>
    </row>
    <row r="679" spans="5:8" x14ac:dyDescent="0.25">
      <c r="E679" s="2"/>
      <c r="H679" s="2"/>
    </row>
    <row r="680" spans="5:8" x14ac:dyDescent="0.25">
      <c r="E680" s="2"/>
      <c r="H680" s="2"/>
    </row>
    <row r="681" spans="5:8" x14ac:dyDescent="0.25">
      <c r="E681" s="2"/>
      <c r="H681" s="2"/>
    </row>
    <row r="682" spans="5:8" x14ac:dyDescent="0.25">
      <c r="E682" s="2"/>
      <c r="H682" s="2"/>
    </row>
    <row r="683" spans="5:8" x14ac:dyDescent="0.25">
      <c r="E683" s="2"/>
      <c r="H683" s="2"/>
    </row>
    <row r="684" spans="5:8" x14ac:dyDescent="0.25">
      <c r="E684" s="2"/>
      <c r="H684" s="2"/>
    </row>
    <row r="685" spans="5:8" x14ac:dyDescent="0.25">
      <c r="E685" s="2"/>
      <c r="H685" s="2"/>
    </row>
    <row r="686" spans="5:8" x14ac:dyDescent="0.25">
      <c r="E686" s="2"/>
      <c r="H686" s="2"/>
    </row>
    <row r="687" spans="5:8" x14ac:dyDescent="0.25">
      <c r="E687" s="2"/>
      <c r="H687" s="2"/>
    </row>
    <row r="688" spans="5:8" x14ac:dyDescent="0.25">
      <c r="E688" s="2"/>
      <c r="H688" s="2"/>
    </row>
    <row r="689" spans="5:8" x14ac:dyDescent="0.25">
      <c r="E689" s="2"/>
      <c r="H689" s="2"/>
    </row>
    <row r="690" spans="5:8" x14ac:dyDescent="0.25">
      <c r="E690" s="2"/>
      <c r="H690" s="2"/>
    </row>
    <row r="691" spans="5:8" x14ac:dyDescent="0.25">
      <c r="E691" s="2"/>
      <c r="H691" s="2"/>
    </row>
    <row r="692" spans="5:8" x14ac:dyDescent="0.25">
      <c r="E692" s="2"/>
      <c r="H692" s="2"/>
    </row>
    <row r="693" spans="5:8" x14ac:dyDescent="0.25">
      <c r="E693" s="2"/>
      <c r="H693" s="2"/>
    </row>
    <row r="694" spans="5:8" x14ac:dyDescent="0.25">
      <c r="E694" s="2"/>
      <c r="H694" s="2"/>
    </row>
    <row r="695" spans="5:8" x14ac:dyDescent="0.25">
      <c r="E695" s="2"/>
      <c r="H695" s="2"/>
    </row>
    <row r="696" spans="5:8" x14ac:dyDescent="0.25">
      <c r="E696" s="2"/>
      <c r="H696" s="2"/>
    </row>
    <row r="697" spans="5:8" x14ac:dyDescent="0.25">
      <c r="E697" s="2"/>
      <c r="H697" s="2"/>
    </row>
    <row r="698" spans="5:8" x14ac:dyDescent="0.25">
      <c r="E698" s="2"/>
      <c r="H698" s="2"/>
    </row>
    <row r="699" spans="5:8" x14ac:dyDescent="0.25">
      <c r="E699" s="2"/>
      <c r="H699" s="2"/>
    </row>
    <row r="700" spans="5:8" x14ac:dyDescent="0.25">
      <c r="E700" s="2"/>
      <c r="H700" s="2"/>
    </row>
    <row r="701" spans="5:8" x14ac:dyDescent="0.25">
      <c r="E701" s="2"/>
      <c r="H701" s="2"/>
    </row>
    <row r="702" spans="5:8" x14ac:dyDescent="0.25">
      <c r="E702" s="2"/>
      <c r="H702" s="2"/>
    </row>
    <row r="703" spans="5:8" x14ac:dyDescent="0.25">
      <c r="E703" s="2"/>
      <c r="H703" s="2"/>
    </row>
    <row r="704" spans="5:8" x14ac:dyDescent="0.25">
      <c r="E704" s="2"/>
      <c r="H704" s="2"/>
    </row>
    <row r="705" spans="5:8" x14ac:dyDescent="0.25">
      <c r="E705" s="2"/>
      <c r="H705" s="2"/>
    </row>
    <row r="706" spans="5:8" x14ac:dyDescent="0.25">
      <c r="E706" s="2"/>
      <c r="H706" s="2"/>
    </row>
    <row r="707" spans="5:8" x14ac:dyDescent="0.25">
      <c r="E707" s="2"/>
      <c r="H707" s="2"/>
    </row>
    <row r="708" spans="5:8" x14ac:dyDescent="0.25">
      <c r="E708" s="2"/>
      <c r="H708" s="2"/>
    </row>
    <row r="709" spans="5:8" x14ac:dyDescent="0.25">
      <c r="E709" s="2"/>
      <c r="H709" s="2"/>
    </row>
    <row r="710" spans="5:8" x14ac:dyDescent="0.25">
      <c r="E710" s="2"/>
      <c r="H710" s="2"/>
    </row>
    <row r="711" spans="5:8" x14ac:dyDescent="0.25">
      <c r="E711" s="2"/>
      <c r="H711" s="2"/>
    </row>
    <row r="712" spans="5:8" x14ac:dyDescent="0.25">
      <c r="E712" s="2"/>
      <c r="H712" s="2"/>
    </row>
    <row r="713" spans="5:8" x14ac:dyDescent="0.25">
      <c r="E713" s="2"/>
      <c r="H713" s="2"/>
    </row>
    <row r="714" spans="5:8" x14ac:dyDescent="0.25">
      <c r="E714" s="2"/>
      <c r="H714" s="2"/>
    </row>
    <row r="715" spans="5:8" x14ac:dyDescent="0.25">
      <c r="E715" s="2"/>
      <c r="H715" s="2"/>
    </row>
    <row r="716" spans="5:8" x14ac:dyDescent="0.25">
      <c r="E716" s="2"/>
      <c r="H716" s="2"/>
    </row>
    <row r="717" spans="5:8" x14ac:dyDescent="0.25">
      <c r="E717" s="2"/>
      <c r="H717" s="2"/>
    </row>
    <row r="718" spans="5:8" x14ac:dyDescent="0.25">
      <c r="E718" s="2"/>
      <c r="H718" s="2"/>
    </row>
    <row r="719" spans="5:8" x14ac:dyDescent="0.25">
      <c r="E719" s="2"/>
      <c r="H719" s="2"/>
    </row>
    <row r="720" spans="5:8" x14ac:dyDescent="0.25">
      <c r="E720" s="2"/>
      <c r="H720" s="2"/>
    </row>
    <row r="721" spans="5:8" x14ac:dyDescent="0.25">
      <c r="E721" s="2"/>
      <c r="H721" s="2"/>
    </row>
    <row r="722" spans="5:8" x14ac:dyDescent="0.25">
      <c r="E722" s="2"/>
      <c r="H722" s="2"/>
    </row>
    <row r="723" spans="5:8" x14ac:dyDescent="0.25">
      <c r="E723" s="2"/>
      <c r="H723" s="2"/>
    </row>
    <row r="724" spans="5:8" x14ac:dyDescent="0.25">
      <c r="E724" s="2"/>
      <c r="H724" s="2"/>
    </row>
    <row r="725" spans="5:8" x14ac:dyDescent="0.25">
      <c r="E725" s="2"/>
      <c r="H725" s="2"/>
    </row>
    <row r="726" spans="5:8" x14ac:dyDescent="0.25">
      <c r="E726" s="2"/>
      <c r="H726" s="2"/>
    </row>
    <row r="727" spans="5:8" x14ac:dyDescent="0.25">
      <c r="E727" s="2"/>
      <c r="H727" s="2"/>
    </row>
    <row r="728" spans="5:8" x14ac:dyDescent="0.25">
      <c r="E728" s="2"/>
      <c r="H728" s="2"/>
    </row>
    <row r="729" spans="5:8" x14ac:dyDescent="0.25">
      <c r="E729" s="2"/>
      <c r="H729" s="2"/>
    </row>
    <row r="730" spans="5:8" x14ac:dyDescent="0.25">
      <c r="E730" s="2"/>
      <c r="H730" s="2"/>
    </row>
    <row r="731" spans="5:8" x14ac:dyDescent="0.25">
      <c r="E731" s="2"/>
      <c r="H731" s="2"/>
    </row>
    <row r="732" spans="5:8" x14ac:dyDescent="0.25">
      <c r="E732" s="2"/>
      <c r="H732" s="2"/>
    </row>
    <row r="733" spans="5:8" x14ac:dyDescent="0.25">
      <c r="E733" s="2"/>
      <c r="H733" s="2"/>
    </row>
    <row r="734" spans="5:8" x14ac:dyDescent="0.25">
      <c r="E734" s="2"/>
      <c r="H734" s="2"/>
    </row>
    <row r="735" spans="5:8" x14ac:dyDescent="0.25">
      <c r="E735" s="2"/>
      <c r="H735" s="2"/>
    </row>
    <row r="736" spans="5:8" x14ac:dyDescent="0.25">
      <c r="E736" s="2"/>
      <c r="H736" s="2"/>
    </row>
    <row r="737" spans="5:8" x14ac:dyDescent="0.25">
      <c r="E737" s="2"/>
      <c r="H737" s="2"/>
    </row>
    <row r="738" spans="5:8" x14ac:dyDescent="0.25">
      <c r="E738" s="2"/>
      <c r="H738" s="2"/>
    </row>
    <row r="739" spans="5:8" x14ac:dyDescent="0.25">
      <c r="E739" s="2"/>
      <c r="H739" s="2"/>
    </row>
    <row r="740" spans="5:8" x14ac:dyDescent="0.25">
      <c r="E740" s="2"/>
      <c r="H740" s="2"/>
    </row>
    <row r="741" spans="5:8" x14ac:dyDescent="0.25">
      <c r="E741" s="2"/>
      <c r="H741" s="2"/>
    </row>
    <row r="742" spans="5:8" x14ac:dyDescent="0.25">
      <c r="E742" s="2"/>
      <c r="H742" s="2"/>
    </row>
    <row r="743" spans="5:8" x14ac:dyDescent="0.25">
      <c r="E743" s="2"/>
      <c r="H743" s="2"/>
    </row>
    <row r="744" spans="5:8" x14ac:dyDescent="0.25">
      <c r="E744" s="2"/>
      <c r="H744" s="2"/>
    </row>
    <row r="745" spans="5:8" x14ac:dyDescent="0.25">
      <c r="E745" s="2"/>
      <c r="H745" s="2"/>
    </row>
    <row r="746" spans="5:8" x14ac:dyDescent="0.25">
      <c r="E746" s="2"/>
      <c r="H746" s="2"/>
    </row>
    <row r="747" spans="5:8" x14ac:dyDescent="0.25">
      <c r="E747" s="2"/>
      <c r="H747" s="2"/>
    </row>
    <row r="748" spans="5:8" x14ac:dyDescent="0.25">
      <c r="E748" s="2"/>
      <c r="H748" s="2"/>
    </row>
    <row r="749" spans="5:8" x14ac:dyDescent="0.25">
      <c r="E749" s="2"/>
      <c r="H749" s="2"/>
    </row>
    <row r="750" spans="5:8" x14ac:dyDescent="0.25">
      <c r="E750" s="2"/>
      <c r="H750" s="2"/>
    </row>
    <row r="751" spans="5:8" x14ac:dyDescent="0.25">
      <c r="E751" s="2"/>
      <c r="H751" s="2"/>
    </row>
    <row r="752" spans="5:8" x14ac:dyDescent="0.25">
      <c r="E752" s="2"/>
      <c r="H752" s="2"/>
    </row>
    <row r="753" spans="5:8" x14ac:dyDescent="0.25">
      <c r="E753" s="2"/>
      <c r="H753" s="2"/>
    </row>
    <row r="754" spans="5:8" x14ac:dyDescent="0.25">
      <c r="E754" s="2"/>
      <c r="H754" s="2"/>
    </row>
    <row r="755" spans="5:8" x14ac:dyDescent="0.25">
      <c r="E755" s="2"/>
      <c r="H755" s="2"/>
    </row>
    <row r="756" spans="5:8" x14ac:dyDescent="0.25">
      <c r="E756" s="2"/>
      <c r="H756" s="2"/>
    </row>
    <row r="757" spans="5:8" x14ac:dyDescent="0.25">
      <c r="E757" s="2"/>
      <c r="H757" s="2"/>
    </row>
    <row r="758" spans="5:8" x14ac:dyDescent="0.25">
      <c r="E758" s="2"/>
      <c r="H758" s="2"/>
    </row>
    <row r="759" spans="5:8" x14ac:dyDescent="0.25">
      <c r="E759" s="2"/>
      <c r="H759" s="2"/>
    </row>
    <row r="760" spans="5:8" x14ac:dyDescent="0.25">
      <c r="E760" s="2"/>
      <c r="H760" s="2"/>
    </row>
    <row r="761" spans="5:8" x14ac:dyDescent="0.25">
      <c r="E761" s="2"/>
      <c r="H761" s="2"/>
    </row>
    <row r="762" spans="5:8" x14ac:dyDescent="0.25">
      <c r="E762" s="2"/>
      <c r="H762" s="2"/>
    </row>
    <row r="763" spans="5:8" x14ac:dyDescent="0.25">
      <c r="E763" s="2"/>
      <c r="H763" s="2"/>
    </row>
    <row r="764" spans="5:8" x14ac:dyDescent="0.25">
      <c r="E764" s="2"/>
      <c r="H764" s="2"/>
    </row>
    <row r="765" spans="5:8" x14ac:dyDescent="0.25">
      <c r="E765" s="2"/>
      <c r="H765" s="2"/>
    </row>
    <row r="766" spans="5:8" x14ac:dyDescent="0.25">
      <c r="E766" s="2"/>
      <c r="H766" s="2"/>
    </row>
    <row r="767" spans="5:8" x14ac:dyDescent="0.25">
      <c r="E767" s="2"/>
      <c r="H767" s="2"/>
    </row>
    <row r="768" spans="5:8" x14ac:dyDescent="0.25">
      <c r="E768" s="2"/>
      <c r="H768" s="2"/>
    </row>
    <row r="769" spans="5:8" x14ac:dyDescent="0.25">
      <c r="E769" s="2"/>
      <c r="H769" s="2"/>
    </row>
    <row r="770" spans="5:8" x14ac:dyDescent="0.25">
      <c r="E770" s="2"/>
      <c r="H770" s="2"/>
    </row>
    <row r="771" spans="5:8" x14ac:dyDescent="0.25">
      <c r="E771" s="2"/>
      <c r="H771" s="2"/>
    </row>
    <row r="772" spans="5:8" x14ac:dyDescent="0.25">
      <c r="E772" s="2"/>
      <c r="H772" s="2"/>
    </row>
    <row r="773" spans="5:8" x14ac:dyDescent="0.25">
      <c r="E773" s="2"/>
      <c r="H773" s="2"/>
    </row>
    <row r="774" spans="5:8" x14ac:dyDescent="0.25">
      <c r="E774" s="2"/>
      <c r="H774" s="2"/>
    </row>
    <row r="775" spans="5:8" x14ac:dyDescent="0.25">
      <c r="E775" s="2"/>
      <c r="H775" s="2"/>
    </row>
    <row r="776" spans="5:8" x14ac:dyDescent="0.25">
      <c r="E776" s="2"/>
      <c r="H776" s="2"/>
    </row>
    <row r="777" spans="5:8" x14ac:dyDescent="0.25">
      <c r="E777" s="2"/>
      <c r="H777" s="2"/>
    </row>
    <row r="778" spans="5:8" x14ac:dyDescent="0.25">
      <c r="E778" s="2"/>
      <c r="H778" s="2"/>
    </row>
    <row r="779" spans="5:8" x14ac:dyDescent="0.25">
      <c r="E779" s="2"/>
      <c r="H779" s="2"/>
    </row>
    <row r="780" spans="5:8" x14ac:dyDescent="0.25">
      <c r="E780" s="2"/>
      <c r="H780" s="2"/>
    </row>
    <row r="781" spans="5:8" x14ac:dyDescent="0.25">
      <c r="E781" s="2"/>
      <c r="H781" s="2"/>
    </row>
    <row r="782" spans="5:8" x14ac:dyDescent="0.25">
      <c r="E782" s="2"/>
      <c r="H782" s="2"/>
    </row>
    <row r="783" spans="5:8" x14ac:dyDescent="0.25">
      <c r="E783" s="2"/>
      <c r="H783" s="2"/>
    </row>
    <row r="784" spans="5:8" x14ac:dyDescent="0.25">
      <c r="E784" s="2"/>
      <c r="H784" s="2"/>
    </row>
    <row r="785" spans="5:8" x14ac:dyDescent="0.25">
      <c r="E785" s="2"/>
      <c r="H785" s="2"/>
    </row>
    <row r="786" spans="5:8" x14ac:dyDescent="0.25">
      <c r="E786" s="2"/>
      <c r="H786" s="2"/>
    </row>
    <row r="787" spans="5:8" x14ac:dyDescent="0.25">
      <c r="E787" s="2"/>
      <c r="H787" s="2"/>
    </row>
    <row r="788" spans="5:8" x14ac:dyDescent="0.25">
      <c r="E788" s="2"/>
      <c r="H788" s="2"/>
    </row>
    <row r="789" spans="5:8" x14ac:dyDescent="0.25">
      <c r="E789" s="2"/>
      <c r="H789" s="2"/>
    </row>
    <row r="790" spans="5:8" x14ac:dyDescent="0.25">
      <c r="E790" s="2"/>
      <c r="H790" s="2"/>
    </row>
    <row r="791" spans="5:8" x14ac:dyDescent="0.25">
      <c r="E791" s="2"/>
      <c r="H791" s="2"/>
    </row>
    <row r="792" spans="5:8" x14ac:dyDescent="0.25">
      <c r="E792" s="2"/>
      <c r="H792" s="2"/>
    </row>
    <row r="793" spans="5:8" x14ac:dyDescent="0.25">
      <c r="E793" s="2"/>
      <c r="H793" s="2"/>
    </row>
    <row r="794" spans="5:8" x14ac:dyDescent="0.25">
      <c r="E794" s="2"/>
      <c r="H794" s="2"/>
    </row>
    <row r="795" spans="5:8" x14ac:dyDescent="0.25">
      <c r="E795" s="2"/>
      <c r="H795" s="2"/>
    </row>
    <row r="796" spans="5:8" x14ac:dyDescent="0.25">
      <c r="E796" s="2"/>
      <c r="H796" s="2"/>
    </row>
    <row r="797" spans="5:8" x14ac:dyDescent="0.25">
      <c r="E797" s="2"/>
      <c r="H797" s="2"/>
    </row>
    <row r="798" spans="5:8" x14ac:dyDescent="0.25">
      <c r="E798" s="2"/>
      <c r="H798" s="2"/>
    </row>
    <row r="799" spans="5:8" x14ac:dyDescent="0.25">
      <c r="E799" s="2"/>
      <c r="H799" s="2"/>
    </row>
    <row r="800" spans="5:8" x14ac:dyDescent="0.25">
      <c r="E800" s="2"/>
      <c r="H800" s="2"/>
    </row>
    <row r="801" spans="5:8" x14ac:dyDescent="0.25">
      <c r="E801" s="2"/>
      <c r="H801" s="2"/>
    </row>
    <row r="802" spans="5:8" x14ac:dyDescent="0.25">
      <c r="E802" s="2"/>
      <c r="H802" s="2"/>
    </row>
    <row r="803" spans="5:8" x14ac:dyDescent="0.25">
      <c r="E803" s="2"/>
      <c r="H803" s="2"/>
    </row>
    <row r="804" spans="5:8" x14ac:dyDescent="0.25">
      <c r="E804" s="2"/>
      <c r="H804" s="2"/>
    </row>
    <row r="805" spans="5:8" x14ac:dyDescent="0.25">
      <c r="E805" s="2"/>
      <c r="H805" s="2"/>
    </row>
    <row r="806" spans="5:8" x14ac:dyDescent="0.25">
      <c r="E806" s="2"/>
      <c r="H806" s="2"/>
    </row>
    <row r="807" spans="5:8" x14ac:dyDescent="0.25">
      <c r="E807" s="2"/>
      <c r="H807" s="2"/>
    </row>
    <row r="808" spans="5:8" x14ac:dyDescent="0.25">
      <c r="E808" s="2"/>
      <c r="H808" s="2"/>
    </row>
    <row r="809" spans="5:8" x14ac:dyDescent="0.25">
      <c r="E809" s="2"/>
      <c r="H809" s="2"/>
    </row>
    <row r="810" spans="5:8" x14ac:dyDescent="0.25">
      <c r="E810" s="2"/>
      <c r="H810" s="2"/>
    </row>
    <row r="811" spans="5:8" x14ac:dyDescent="0.25">
      <c r="E811" s="2"/>
      <c r="H811" s="2"/>
    </row>
    <row r="812" spans="5:8" x14ac:dyDescent="0.25">
      <c r="E812" s="2"/>
      <c r="H812" s="2"/>
    </row>
    <row r="813" spans="5:8" x14ac:dyDescent="0.25">
      <c r="E813" s="2"/>
      <c r="H813" s="2"/>
    </row>
    <row r="814" spans="5:8" x14ac:dyDescent="0.25">
      <c r="E814" s="2"/>
      <c r="H814" s="2"/>
    </row>
    <row r="815" spans="5:8" x14ac:dyDescent="0.25">
      <c r="E815" s="2"/>
      <c r="H815" s="2"/>
    </row>
    <row r="816" spans="5:8" x14ac:dyDescent="0.25">
      <c r="E816" s="2"/>
      <c r="H816" s="2"/>
    </row>
    <row r="817" spans="5:8" x14ac:dyDescent="0.25">
      <c r="E817" s="2"/>
      <c r="H817" s="2"/>
    </row>
    <row r="818" spans="5:8" x14ac:dyDescent="0.25">
      <c r="E818" s="2"/>
      <c r="H818" s="2"/>
    </row>
    <row r="819" spans="5:8" x14ac:dyDescent="0.25">
      <c r="E819" s="2"/>
      <c r="H819" s="2"/>
    </row>
    <row r="820" spans="5:8" x14ac:dyDescent="0.25">
      <c r="E820" s="2"/>
      <c r="H820" s="2"/>
    </row>
    <row r="821" spans="5:8" x14ac:dyDescent="0.25">
      <c r="E821" s="2"/>
      <c r="H821" s="2"/>
    </row>
    <row r="822" spans="5:8" x14ac:dyDescent="0.25">
      <c r="E822" s="2"/>
      <c r="H822" s="2"/>
    </row>
    <row r="823" spans="5:8" x14ac:dyDescent="0.25">
      <c r="E823" s="2"/>
      <c r="H823" s="2"/>
    </row>
    <row r="824" spans="5:8" x14ac:dyDescent="0.25">
      <c r="E824" s="2"/>
      <c r="H824" s="2"/>
    </row>
    <row r="825" spans="5:8" x14ac:dyDescent="0.25">
      <c r="E825" s="2"/>
      <c r="H825" s="2"/>
    </row>
    <row r="826" spans="5:8" x14ac:dyDescent="0.25">
      <c r="E826" s="2"/>
      <c r="H826" s="2"/>
    </row>
    <row r="827" spans="5:8" x14ac:dyDescent="0.25">
      <c r="E827" s="2"/>
      <c r="H827" s="2"/>
    </row>
    <row r="828" spans="5:8" x14ac:dyDescent="0.25">
      <c r="E828" s="2"/>
      <c r="H828" s="2"/>
    </row>
    <row r="829" spans="5:8" x14ac:dyDescent="0.25">
      <c r="E829" s="2"/>
      <c r="H829" s="2"/>
    </row>
    <row r="830" spans="5:8" x14ac:dyDescent="0.25">
      <c r="E830" s="2"/>
      <c r="H830" s="2"/>
    </row>
    <row r="831" spans="5:8" x14ac:dyDescent="0.25">
      <c r="E831" s="2"/>
      <c r="H831" s="2"/>
    </row>
    <row r="832" spans="5:8" x14ac:dyDescent="0.25">
      <c r="E832" s="2"/>
      <c r="H832" s="2"/>
    </row>
    <row r="833" spans="5:8" x14ac:dyDescent="0.25">
      <c r="E833" s="2"/>
      <c r="H833" s="2"/>
    </row>
    <row r="834" spans="5:8" x14ac:dyDescent="0.25">
      <c r="E834" s="2"/>
      <c r="H834" s="2"/>
    </row>
    <row r="835" spans="5:8" x14ac:dyDescent="0.25">
      <c r="E835" s="2"/>
      <c r="H835" s="2"/>
    </row>
    <row r="836" spans="5:8" x14ac:dyDescent="0.25">
      <c r="E836" s="2"/>
      <c r="H836" s="2"/>
    </row>
    <row r="837" spans="5:8" x14ac:dyDescent="0.25">
      <c r="E837" s="2"/>
      <c r="H837" s="2"/>
    </row>
    <row r="838" spans="5:8" x14ac:dyDescent="0.25">
      <c r="E838" s="2"/>
      <c r="H838" s="2"/>
    </row>
    <row r="839" spans="5:8" x14ac:dyDescent="0.25">
      <c r="E839" s="2"/>
      <c r="H839" s="2"/>
    </row>
    <row r="840" spans="5:8" x14ac:dyDescent="0.25">
      <c r="E840" s="2"/>
      <c r="H840" s="2"/>
    </row>
    <row r="841" spans="5:8" x14ac:dyDescent="0.25">
      <c r="E841" s="2"/>
      <c r="H841" s="2"/>
    </row>
    <row r="842" spans="5:8" x14ac:dyDescent="0.25">
      <c r="E842" s="2"/>
      <c r="H842" s="2"/>
    </row>
    <row r="843" spans="5:8" x14ac:dyDescent="0.25">
      <c r="E843" s="2"/>
      <c r="H843" s="2"/>
    </row>
    <row r="844" spans="5:8" x14ac:dyDescent="0.25">
      <c r="E844" s="2"/>
      <c r="H844" s="2"/>
    </row>
    <row r="845" spans="5:8" x14ac:dyDescent="0.25">
      <c r="E845" s="2"/>
      <c r="H845" s="2"/>
    </row>
    <row r="846" spans="5:8" x14ac:dyDescent="0.25">
      <c r="E846" s="2"/>
      <c r="H846" s="2"/>
    </row>
    <row r="847" spans="5:8" x14ac:dyDescent="0.25">
      <c r="E847" s="2"/>
      <c r="H847" s="2"/>
    </row>
    <row r="848" spans="5:8" x14ac:dyDescent="0.25">
      <c r="E848" s="2"/>
      <c r="H848" s="2"/>
    </row>
    <row r="849" spans="5:8" x14ac:dyDescent="0.25">
      <c r="E849" s="2"/>
      <c r="H849" s="2"/>
    </row>
    <row r="850" spans="5:8" x14ac:dyDescent="0.25">
      <c r="E850" s="2"/>
      <c r="H850" s="2"/>
    </row>
    <row r="851" spans="5:8" x14ac:dyDescent="0.25">
      <c r="E851" s="2"/>
      <c r="H851" s="2"/>
    </row>
    <row r="852" spans="5:8" x14ac:dyDescent="0.25">
      <c r="E852" s="2"/>
      <c r="H852" s="2"/>
    </row>
    <row r="853" spans="5:8" x14ac:dyDescent="0.25">
      <c r="E853" s="2"/>
      <c r="H853" s="2"/>
    </row>
    <row r="854" spans="5:8" x14ac:dyDescent="0.25">
      <c r="E854" s="2"/>
      <c r="H854" s="2"/>
    </row>
    <row r="855" spans="5:8" x14ac:dyDescent="0.25">
      <c r="E855" s="2"/>
      <c r="H855" s="2"/>
    </row>
    <row r="856" spans="5:8" x14ac:dyDescent="0.25">
      <c r="E856" s="2"/>
      <c r="H856" s="2"/>
    </row>
    <row r="857" spans="5:8" x14ac:dyDescent="0.25">
      <c r="E857" s="2"/>
      <c r="H857" s="2"/>
    </row>
    <row r="858" spans="5:8" x14ac:dyDescent="0.25">
      <c r="E858" s="2"/>
      <c r="H858" s="2"/>
    </row>
    <row r="859" spans="5:8" x14ac:dyDescent="0.25">
      <c r="E859" s="2"/>
      <c r="H859" s="2"/>
    </row>
    <row r="860" spans="5:8" x14ac:dyDescent="0.25">
      <c r="E860" s="2"/>
      <c r="H860" s="2"/>
    </row>
    <row r="861" spans="5:8" x14ac:dyDescent="0.25">
      <c r="E861" s="2"/>
      <c r="H861" s="2"/>
    </row>
    <row r="862" spans="5:8" x14ac:dyDescent="0.25">
      <c r="E862" s="2"/>
      <c r="H862" s="2"/>
    </row>
    <row r="863" spans="5:8" x14ac:dyDescent="0.25">
      <c r="E863" s="2"/>
      <c r="H863" s="2"/>
    </row>
    <row r="864" spans="5:8" x14ac:dyDescent="0.25">
      <c r="E864" s="2"/>
      <c r="H864" s="2"/>
    </row>
    <row r="865" spans="5:8" x14ac:dyDescent="0.25">
      <c r="E865" s="2"/>
      <c r="H865" s="2"/>
    </row>
    <row r="866" spans="5:8" x14ac:dyDescent="0.25">
      <c r="E866" s="2"/>
      <c r="H866" s="2"/>
    </row>
    <row r="867" spans="5:8" x14ac:dyDescent="0.25">
      <c r="E867" s="2"/>
      <c r="H867" s="2"/>
    </row>
    <row r="868" spans="5:8" x14ac:dyDescent="0.25">
      <c r="E868" s="2"/>
      <c r="H868" s="2"/>
    </row>
    <row r="869" spans="5:8" x14ac:dyDescent="0.25">
      <c r="E869" s="2"/>
      <c r="H869" s="2"/>
    </row>
    <row r="870" spans="5:8" x14ac:dyDescent="0.25">
      <c r="E870" s="2"/>
      <c r="H870" s="2"/>
    </row>
    <row r="871" spans="5:8" x14ac:dyDescent="0.25">
      <c r="E871" s="2"/>
      <c r="H871" s="2"/>
    </row>
    <row r="872" spans="5:8" x14ac:dyDescent="0.25">
      <c r="E872" s="2"/>
      <c r="H872" s="2"/>
    </row>
    <row r="873" spans="5:8" x14ac:dyDescent="0.25">
      <c r="E873" s="2"/>
      <c r="H873" s="2"/>
    </row>
    <row r="874" spans="5:8" x14ac:dyDescent="0.25">
      <c r="E874" s="2"/>
      <c r="H874" s="2"/>
    </row>
    <row r="875" spans="5:8" x14ac:dyDescent="0.25">
      <c r="E875" s="2"/>
      <c r="H875" s="2"/>
    </row>
    <row r="876" spans="5:8" x14ac:dyDescent="0.25">
      <c r="E876" s="2"/>
      <c r="H876" s="2"/>
    </row>
    <row r="877" spans="5:8" x14ac:dyDescent="0.25">
      <c r="E877" s="2"/>
      <c r="H877" s="2"/>
    </row>
    <row r="878" spans="5:8" x14ac:dyDescent="0.25">
      <c r="E878" s="2"/>
      <c r="H878" s="2"/>
    </row>
    <row r="879" spans="5:8" x14ac:dyDescent="0.25">
      <c r="E879" s="2"/>
      <c r="H879" s="2"/>
    </row>
    <row r="880" spans="5:8" x14ac:dyDescent="0.25">
      <c r="E880" s="2"/>
      <c r="H880" s="2"/>
    </row>
    <row r="881" spans="5:8" x14ac:dyDescent="0.25">
      <c r="E881" s="2"/>
      <c r="H881" s="2"/>
    </row>
    <row r="882" spans="5:8" x14ac:dyDescent="0.25">
      <c r="E882" s="2"/>
      <c r="H882" s="2"/>
    </row>
    <row r="883" spans="5:8" x14ac:dyDescent="0.25">
      <c r="E883" s="2"/>
      <c r="H883" s="2"/>
    </row>
    <row r="884" spans="5:8" x14ac:dyDescent="0.25">
      <c r="E884" s="2"/>
      <c r="H884" s="2"/>
    </row>
    <row r="885" spans="5:8" x14ac:dyDescent="0.25">
      <c r="E885" s="2"/>
      <c r="H885" s="2"/>
    </row>
    <row r="886" spans="5:8" x14ac:dyDescent="0.25">
      <c r="E886" s="2"/>
      <c r="H886" s="2"/>
    </row>
    <row r="887" spans="5:8" x14ac:dyDescent="0.25">
      <c r="E887" s="2"/>
      <c r="H887" s="2"/>
    </row>
    <row r="888" spans="5:8" x14ac:dyDescent="0.25">
      <c r="E888" s="2"/>
      <c r="H888" s="2"/>
    </row>
    <row r="889" spans="5:8" x14ac:dyDescent="0.25">
      <c r="E889" s="2"/>
      <c r="H889" s="2"/>
    </row>
    <row r="890" spans="5:8" x14ac:dyDescent="0.25">
      <c r="E890" s="2"/>
      <c r="H890" s="2"/>
    </row>
    <row r="891" spans="5:8" x14ac:dyDescent="0.25">
      <c r="E891" s="2"/>
      <c r="H891" s="2"/>
    </row>
    <row r="892" spans="5:8" x14ac:dyDescent="0.25">
      <c r="E892" s="2"/>
      <c r="H892" s="2"/>
    </row>
    <row r="893" spans="5:8" x14ac:dyDescent="0.25">
      <c r="E893" s="2"/>
      <c r="H893" s="2"/>
    </row>
    <row r="894" spans="5:8" x14ac:dyDescent="0.25">
      <c r="E894" s="2"/>
      <c r="H894" s="2"/>
    </row>
    <row r="895" spans="5:8" x14ac:dyDescent="0.25">
      <c r="E895" s="2"/>
      <c r="H895" s="2"/>
    </row>
    <row r="896" spans="5:8" x14ac:dyDescent="0.25">
      <c r="E896" s="2"/>
      <c r="H896" s="2"/>
    </row>
    <row r="897" spans="5:8" x14ac:dyDescent="0.25">
      <c r="E897" s="2"/>
      <c r="H897" s="2"/>
    </row>
    <row r="898" spans="5:8" x14ac:dyDescent="0.25">
      <c r="E898" s="2"/>
      <c r="H898" s="2"/>
    </row>
    <row r="899" spans="5:8" x14ac:dyDescent="0.25">
      <c r="E899" s="2"/>
      <c r="H899" s="2"/>
    </row>
    <row r="900" spans="5:8" x14ac:dyDescent="0.25">
      <c r="E900" s="2"/>
      <c r="H900" s="2"/>
    </row>
    <row r="901" spans="5:8" x14ac:dyDescent="0.25">
      <c r="E901" s="2"/>
      <c r="H901" s="2"/>
    </row>
    <row r="902" spans="5:8" x14ac:dyDescent="0.25">
      <c r="E902" s="2"/>
      <c r="H902" s="2"/>
    </row>
    <row r="903" spans="5:8" x14ac:dyDescent="0.25">
      <c r="E903" s="2"/>
      <c r="H903" s="2"/>
    </row>
    <row r="904" spans="5:8" x14ac:dyDescent="0.25">
      <c r="E904" s="2"/>
      <c r="H904" s="2"/>
    </row>
    <row r="905" spans="5:8" x14ac:dyDescent="0.25">
      <c r="E905" s="2"/>
      <c r="H905" s="2"/>
    </row>
    <row r="906" spans="5:8" x14ac:dyDescent="0.25">
      <c r="E906" s="2"/>
      <c r="H906" s="2"/>
    </row>
    <row r="907" spans="5:8" x14ac:dyDescent="0.25">
      <c r="E907" s="2"/>
      <c r="H907" s="2"/>
    </row>
    <row r="908" spans="5:8" x14ac:dyDescent="0.25">
      <c r="E908" s="2"/>
      <c r="H908" s="2"/>
    </row>
    <row r="909" spans="5:8" x14ac:dyDescent="0.25">
      <c r="E909" s="2"/>
      <c r="H909" s="2"/>
    </row>
    <row r="910" spans="5:8" x14ac:dyDescent="0.25">
      <c r="E910" s="2"/>
      <c r="H910" s="2"/>
    </row>
    <row r="911" spans="5:8" x14ac:dyDescent="0.25">
      <c r="E911" s="2"/>
      <c r="H911" s="2"/>
    </row>
    <row r="912" spans="5:8" x14ac:dyDescent="0.25">
      <c r="E912" s="2"/>
      <c r="H912" s="2"/>
    </row>
    <row r="913" spans="5:8" x14ac:dyDescent="0.25">
      <c r="E913" s="2"/>
      <c r="H913" s="2"/>
    </row>
    <row r="914" spans="5:8" x14ac:dyDescent="0.25">
      <c r="E914" s="2"/>
      <c r="H914" s="2"/>
    </row>
    <row r="915" spans="5:8" x14ac:dyDescent="0.25">
      <c r="E915" s="2"/>
      <c r="H915" s="2"/>
    </row>
    <row r="916" spans="5:8" x14ac:dyDescent="0.25">
      <c r="E916" s="2"/>
      <c r="H916" s="2"/>
    </row>
    <row r="917" spans="5:8" x14ac:dyDescent="0.25">
      <c r="E917" s="2"/>
      <c r="H917" s="2"/>
    </row>
    <row r="918" spans="5:8" x14ac:dyDescent="0.25">
      <c r="E918" s="2"/>
      <c r="H918" s="2"/>
    </row>
    <row r="919" spans="5:8" x14ac:dyDescent="0.25">
      <c r="E919" s="2"/>
      <c r="H919" s="2"/>
    </row>
    <row r="920" spans="5:8" x14ac:dyDescent="0.25">
      <c r="E920" s="2"/>
      <c r="H920" s="2"/>
    </row>
    <row r="921" spans="5:8" x14ac:dyDescent="0.25">
      <c r="E921" s="2"/>
      <c r="H921" s="2"/>
    </row>
    <row r="922" spans="5:8" x14ac:dyDescent="0.25">
      <c r="E922" s="2"/>
      <c r="H922" s="2"/>
    </row>
    <row r="923" spans="5:8" x14ac:dyDescent="0.25">
      <c r="E923" s="2"/>
      <c r="H923" s="2"/>
    </row>
    <row r="924" spans="5:8" x14ac:dyDescent="0.25">
      <c r="E924" s="2"/>
      <c r="H924" s="2"/>
    </row>
    <row r="925" spans="5:8" x14ac:dyDescent="0.25">
      <c r="E925" s="2"/>
      <c r="H925" s="2"/>
    </row>
    <row r="926" spans="5:8" x14ac:dyDescent="0.25">
      <c r="E926" s="2"/>
      <c r="H926" s="2"/>
    </row>
    <row r="927" spans="5:8" x14ac:dyDescent="0.25">
      <c r="E927" s="2"/>
      <c r="H927" s="2"/>
    </row>
    <row r="928" spans="5:8" x14ac:dyDescent="0.25">
      <c r="E928" s="2"/>
      <c r="H928" s="2"/>
    </row>
    <row r="929" spans="5:8" x14ac:dyDescent="0.25">
      <c r="E929" s="2"/>
      <c r="H929" s="2"/>
    </row>
    <row r="930" spans="5:8" x14ac:dyDescent="0.25">
      <c r="E930" s="2"/>
      <c r="H930" s="2"/>
    </row>
    <row r="931" spans="5:8" x14ac:dyDescent="0.25">
      <c r="E931" s="2"/>
      <c r="H931" s="2"/>
    </row>
    <row r="932" spans="5:8" x14ac:dyDescent="0.25">
      <c r="E932" s="2"/>
      <c r="H932" s="2"/>
    </row>
    <row r="933" spans="5:8" x14ac:dyDescent="0.25">
      <c r="E933" s="2"/>
      <c r="H933" s="2"/>
    </row>
    <row r="934" spans="5:8" x14ac:dyDescent="0.25">
      <c r="E934" s="2"/>
      <c r="H934" s="2"/>
    </row>
    <row r="935" spans="5:8" x14ac:dyDescent="0.25">
      <c r="E935" s="2"/>
      <c r="H935" s="2"/>
    </row>
    <row r="936" spans="5:8" x14ac:dyDescent="0.25">
      <c r="E936" s="2"/>
      <c r="H936" s="2"/>
    </row>
    <row r="937" spans="5:8" x14ac:dyDescent="0.25">
      <c r="E937" s="2"/>
      <c r="H937" s="2"/>
    </row>
    <row r="938" spans="5:8" x14ac:dyDescent="0.25">
      <c r="E938" s="2"/>
      <c r="H938" s="2"/>
    </row>
    <row r="939" spans="5:8" x14ac:dyDescent="0.25">
      <c r="E939" s="2"/>
      <c r="H939" s="2"/>
    </row>
    <row r="940" spans="5:8" x14ac:dyDescent="0.25">
      <c r="E940" s="2"/>
      <c r="H940" s="2"/>
    </row>
    <row r="941" spans="5:8" x14ac:dyDescent="0.25">
      <c r="E941" s="2"/>
      <c r="H941" s="2"/>
    </row>
    <row r="942" spans="5:8" x14ac:dyDescent="0.25">
      <c r="E942" s="2"/>
      <c r="H942" s="2"/>
    </row>
    <row r="943" spans="5:8" x14ac:dyDescent="0.25">
      <c r="E943" s="2"/>
      <c r="H943" s="2"/>
    </row>
    <row r="944" spans="5:8" x14ac:dyDescent="0.25">
      <c r="E944" s="2"/>
      <c r="H944" s="2"/>
    </row>
    <row r="945" spans="5:8" x14ac:dyDescent="0.25">
      <c r="E945" s="2"/>
      <c r="H945" s="2"/>
    </row>
    <row r="946" spans="5:8" x14ac:dyDescent="0.25">
      <c r="E946" s="2"/>
      <c r="H946" s="2"/>
    </row>
    <row r="947" spans="5:8" x14ac:dyDescent="0.25">
      <c r="E947" s="2"/>
      <c r="H947" s="2"/>
    </row>
    <row r="948" spans="5:8" x14ac:dyDescent="0.25">
      <c r="E948" s="2"/>
      <c r="H948" s="2"/>
    </row>
    <row r="949" spans="5:8" x14ac:dyDescent="0.25">
      <c r="E949" s="2"/>
      <c r="H949" s="2"/>
    </row>
    <row r="950" spans="5:8" x14ac:dyDescent="0.25">
      <c r="E950" s="2"/>
      <c r="H950" s="2"/>
    </row>
    <row r="951" spans="5:8" x14ac:dyDescent="0.25">
      <c r="E951" s="2"/>
      <c r="H951" s="2"/>
    </row>
    <row r="952" spans="5:8" x14ac:dyDescent="0.25">
      <c r="E952" s="2"/>
      <c r="H952" s="2"/>
    </row>
    <row r="953" spans="5:8" x14ac:dyDescent="0.25">
      <c r="E953" s="2"/>
      <c r="H953" s="2"/>
    </row>
    <row r="954" spans="5:8" x14ac:dyDescent="0.25">
      <c r="E954" s="2"/>
      <c r="H954" s="2"/>
    </row>
    <row r="955" spans="5:8" x14ac:dyDescent="0.25">
      <c r="E955" s="2"/>
      <c r="H955" s="2"/>
    </row>
    <row r="956" spans="5:8" x14ac:dyDescent="0.25">
      <c r="E956" s="2"/>
      <c r="H956" s="2"/>
    </row>
    <row r="957" spans="5:8" x14ac:dyDescent="0.25">
      <c r="E957" s="2"/>
      <c r="H957" s="2"/>
    </row>
    <row r="958" spans="5:8" x14ac:dyDescent="0.25">
      <c r="E958" s="2"/>
      <c r="H958" s="2"/>
    </row>
    <row r="959" spans="5:8" x14ac:dyDescent="0.25">
      <c r="E959" s="2"/>
      <c r="H959" s="2"/>
    </row>
    <row r="960" spans="5:8" x14ac:dyDescent="0.25">
      <c r="E960" s="2"/>
      <c r="H960" s="2"/>
    </row>
    <row r="961" spans="5:8" x14ac:dyDescent="0.25">
      <c r="E961" s="2"/>
      <c r="H961" s="2"/>
    </row>
    <row r="962" spans="5:8" x14ac:dyDescent="0.25">
      <c r="E962" s="2"/>
      <c r="H962" s="2"/>
    </row>
    <row r="963" spans="5:8" x14ac:dyDescent="0.25">
      <c r="E963" s="2"/>
      <c r="H963" s="2"/>
    </row>
    <row r="964" spans="5:8" x14ac:dyDescent="0.25">
      <c r="E964" s="2"/>
      <c r="H964" s="2"/>
    </row>
    <row r="965" spans="5:8" x14ac:dyDescent="0.25">
      <c r="E965" s="2"/>
      <c r="H965" s="2"/>
    </row>
    <row r="966" spans="5:8" x14ac:dyDescent="0.25">
      <c r="E966" s="2"/>
      <c r="H966" s="2"/>
    </row>
    <row r="967" spans="5:8" x14ac:dyDescent="0.25">
      <c r="E967" s="2"/>
      <c r="H967" s="2"/>
    </row>
    <row r="968" spans="5:8" x14ac:dyDescent="0.25">
      <c r="E968" s="2"/>
      <c r="H968" s="2"/>
    </row>
    <row r="969" spans="5:8" x14ac:dyDescent="0.25">
      <c r="E969" s="2"/>
      <c r="H969" s="2"/>
    </row>
    <row r="970" spans="5:8" x14ac:dyDescent="0.25">
      <c r="E970" s="2"/>
      <c r="H970" s="2"/>
    </row>
    <row r="971" spans="5:8" x14ac:dyDescent="0.25">
      <c r="E971" s="2"/>
      <c r="H971" s="2"/>
    </row>
    <row r="972" spans="5:8" x14ac:dyDescent="0.25">
      <c r="E972" s="2"/>
      <c r="H972" s="2"/>
    </row>
    <row r="973" spans="5:8" x14ac:dyDescent="0.25">
      <c r="E973" s="2"/>
      <c r="H973" s="2"/>
    </row>
    <row r="974" spans="5:8" x14ac:dyDescent="0.25">
      <c r="E974" s="2"/>
      <c r="H974" s="2"/>
    </row>
    <row r="975" spans="5:8" x14ac:dyDescent="0.25">
      <c r="E975" s="2"/>
      <c r="H975" s="2"/>
    </row>
    <row r="976" spans="5:8" x14ac:dyDescent="0.25">
      <c r="E976" s="2"/>
      <c r="H976" s="2"/>
    </row>
    <row r="977" spans="5:8" x14ac:dyDescent="0.25">
      <c r="E977" s="2"/>
      <c r="H977" s="2"/>
    </row>
    <row r="978" spans="5:8" x14ac:dyDescent="0.25">
      <c r="E978" s="2"/>
      <c r="H978" s="2"/>
    </row>
    <row r="979" spans="5:8" x14ac:dyDescent="0.25">
      <c r="E979" s="2"/>
      <c r="H979" s="2"/>
    </row>
    <row r="980" spans="5:8" x14ac:dyDescent="0.25">
      <c r="E980" s="2"/>
      <c r="H980" s="2"/>
    </row>
    <row r="981" spans="5:8" x14ac:dyDescent="0.25">
      <c r="E981" s="2"/>
      <c r="H981" s="2"/>
    </row>
    <row r="982" spans="5:8" x14ac:dyDescent="0.25">
      <c r="E982" s="2"/>
      <c r="H982" s="2"/>
    </row>
    <row r="983" spans="5:8" x14ac:dyDescent="0.25">
      <c r="E983" s="2"/>
      <c r="H983" s="2"/>
    </row>
    <row r="984" spans="5:8" x14ac:dyDescent="0.25">
      <c r="E984" s="2"/>
      <c r="H984" s="2"/>
    </row>
    <row r="985" spans="5:8" x14ac:dyDescent="0.25">
      <c r="E985" s="2"/>
      <c r="H985" s="2"/>
    </row>
    <row r="986" spans="5:8" x14ac:dyDescent="0.25">
      <c r="E986" s="2"/>
      <c r="H986" s="2"/>
    </row>
    <row r="987" spans="5:8" x14ac:dyDescent="0.25">
      <c r="E987" s="2"/>
      <c r="H987" s="2"/>
    </row>
    <row r="988" spans="5:8" x14ac:dyDescent="0.25">
      <c r="E988" s="2"/>
      <c r="H988" s="2"/>
    </row>
    <row r="989" spans="5:8" x14ac:dyDescent="0.25">
      <c r="E989" s="2"/>
      <c r="H989" s="2"/>
    </row>
    <row r="990" spans="5:8" x14ac:dyDescent="0.25">
      <c r="E990" s="2"/>
      <c r="H990" s="2"/>
    </row>
    <row r="991" spans="5:8" x14ac:dyDescent="0.25">
      <c r="E991" s="2"/>
      <c r="H991" s="2"/>
    </row>
    <row r="992" spans="5:8" x14ac:dyDescent="0.25">
      <c r="E992" s="2"/>
      <c r="H992" s="2"/>
    </row>
    <row r="993" spans="5:8" x14ac:dyDescent="0.25">
      <c r="E993" s="2"/>
      <c r="H993" s="2"/>
    </row>
    <row r="994" spans="5:8" x14ac:dyDescent="0.25">
      <c r="E994" s="2"/>
      <c r="H994" s="2"/>
    </row>
    <row r="995" spans="5:8" x14ac:dyDescent="0.25">
      <c r="E995" s="2"/>
      <c r="H995" s="2"/>
    </row>
    <row r="996" spans="5:8" x14ac:dyDescent="0.25">
      <c r="E996" s="2"/>
      <c r="H996" s="2"/>
    </row>
    <row r="997" spans="5:8" x14ac:dyDescent="0.25">
      <c r="E997" s="2"/>
      <c r="H997" s="2"/>
    </row>
    <row r="998" spans="5:8" x14ac:dyDescent="0.25">
      <c r="E998" s="2"/>
      <c r="H998" s="2"/>
    </row>
    <row r="999" spans="5:8" x14ac:dyDescent="0.25">
      <c r="E999" s="2"/>
      <c r="H999" s="2"/>
    </row>
    <row r="1000" spans="5:8" x14ac:dyDescent="0.25">
      <c r="E1000" s="2"/>
      <c r="H1000" s="2"/>
    </row>
    <row r="1001" spans="5:8" x14ac:dyDescent="0.25">
      <c r="E1001" s="2"/>
      <c r="H1001" s="2"/>
    </row>
    <row r="1002" spans="5:8" x14ac:dyDescent="0.25">
      <c r="E1002" s="2"/>
      <c r="H1002" s="2"/>
    </row>
    <row r="1003" spans="5:8" x14ac:dyDescent="0.25">
      <c r="E1003" s="2"/>
      <c r="H1003" s="2"/>
    </row>
    <row r="1004" spans="5:8" x14ac:dyDescent="0.25">
      <c r="E1004" s="2"/>
      <c r="H1004" s="2"/>
    </row>
    <row r="1005" spans="5:8" x14ac:dyDescent="0.25">
      <c r="E1005" s="2"/>
      <c r="H1005" s="2"/>
    </row>
    <row r="1006" spans="5:8" x14ac:dyDescent="0.25">
      <c r="E1006" s="2"/>
      <c r="H1006" s="2"/>
    </row>
    <row r="1007" spans="5:8" x14ac:dyDescent="0.25">
      <c r="E1007" s="2"/>
      <c r="H1007" s="2"/>
    </row>
    <row r="1008" spans="5:8" x14ac:dyDescent="0.25">
      <c r="E1008" s="2"/>
      <c r="H1008" s="2"/>
    </row>
    <row r="1009" spans="5:8" x14ac:dyDescent="0.25">
      <c r="E1009" s="2"/>
      <c r="H1009" s="2"/>
    </row>
    <row r="1010" spans="5:8" x14ac:dyDescent="0.25">
      <c r="E1010" s="2"/>
      <c r="H1010" s="2"/>
    </row>
    <row r="1011" spans="5:8" x14ac:dyDescent="0.25">
      <c r="E1011" s="2"/>
      <c r="H1011" s="2"/>
    </row>
    <row r="1012" spans="5:8" x14ac:dyDescent="0.25">
      <c r="E1012" s="2"/>
      <c r="H1012" s="2"/>
    </row>
    <row r="1013" spans="5:8" x14ac:dyDescent="0.25">
      <c r="E1013" s="2"/>
      <c r="H1013" s="2"/>
    </row>
    <row r="1014" spans="5:8" x14ac:dyDescent="0.25">
      <c r="E1014" s="2"/>
      <c r="H1014" s="2"/>
    </row>
    <row r="1015" spans="5:8" x14ac:dyDescent="0.25">
      <c r="E1015" s="2"/>
      <c r="H1015" s="2"/>
    </row>
    <row r="1016" spans="5:8" x14ac:dyDescent="0.25">
      <c r="E1016" s="2"/>
      <c r="H1016" s="2"/>
    </row>
    <row r="1017" spans="5:8" x14ac:dyDescent="0.25">
      <c r="E1017" s="2"/>
      <c r="H1017" s="2"/>
    </row>
    <row r="1018" spans="5:8" x14ac:dyDescent="0.25">
      <c r="E1018" s="2"/>
      <c r="H1018" s="2"/>
    </row>
    <row r="1019" spans="5:8" x14ac:dyDescent="0.25">
      <c r="E1019" s="2"/>
      <c r="H1019" s="2"/>
    </row>
    <row r="1020" spans="5:8" x14ac:dyDescent="0.25">
      <c r="E1020" s="2"/>
      <c r="H1020" s="2"/>
    </row>
    <row r="1021" spans="5:8" x14ac:dyDescent="0.25">
      <c r="E1021" s="2"/>
      <c r="H1021" s="2"/>
    </row>
    <row r="1022" spans="5:8" x14ac:dyDescent="0.25">
      <c r="E1022" s="2"/>
      <c r="H1022" s="2"/>
    </row>
    <row r="1023" spans="5:8" x14ac:dyDescent="0.25">
      <c r="E1023" s="2"/>
      <c r="H1023" s="2"/>
    </row>
    <row r="1024" spans="5:8" x14ac:dyDescent="0.25">
      <c r="E1024" s="2"/>
      <c r="H1024" s="2"/>
    </row>
    <row r="1025" spans="5:8" x14ac:dyDescent="0.25">
      <c r="E1025" s="2"/>
      <c r="H1025" s="2"/>
    </row>
    <row r="1026" spans="5:8" x14ac:dyDescent="0.25">
      <c r="E1026" s="2"/>
      <c r="H1026" s="2"/>
    </row>
    <row r="1027" spans="5:8" x14ac:dyDescent="0.25">
      <c r="E1027" s="2"/>
      <c r="H1027" s="2"/>
    </row>
    <row r="1028" spans="5:8" x14ac:dyDescent="0.25">
      <c r="E1028" s="2"/>
      <c r="H1028" s="2"/>
    </row>
    <row r="1029" spans="5:8" x14ac:dyDescent="0.25">
      <c r="E1029" s="2"/>
      <c r="H1029" s="2"/>
    </row>
    <row r="1030" spans="5:8" x14ac:dyDescent="0.25">
      <c r="E1030" s="2"/>
      <c r="H1030" s="2"/>
    </row>
    <row r="1031" spans="5:8" x14ac:dyDescent="0.25">
      <c r="E1031" s="2"/>
      <c r="H1031" s="2"/>
    </row>
    <row r="1032" spans="5:8" x14ac:dyDescent="0.25">
      <c r="E1032" s="2"/>
      <c r="H1032" s="2"/>
    </row>
    <row r="1033" spans="5:8" x14ac:dyDescent="0.25">
      <c r="E1033" s="2"/>
      <c r="H1033" s="2"/>
    </row>
    <row r="1034" spans="5:8" x14ac:dyDescent="0.25">
      <c r="E1034" s="2"/>
      <c r="H1034" s="2"/>
    </row>
    <row r="1035" spans="5:8" x14ac:dyDescent="0.25">
      <c r="E1035" s="2"/>
      <c r="H1035" s="2"/>
    </row>
    <row r="1036" spans="5:8" x14ac:dyDescent="0.25">
      <c r="E1036" s="2"/>
      <c r="H1036" s="2"/>
    </row>
    <row r="1037" spans="5:8" x14ac:dyDescent="0.25">
      <c r="E1037" s="2"/>
      <c r="H1037" s="2"/>
    </row>
    <row r="1038" spans="5:8" x14ac:dyDescent="0.25">
      <c r="E1038" s="2"/>
      <c r="H1038" s="2"/>
    </row>
    <row r="1039" spans="5:8" x14ac:dyDescent="0.25">
      <c r="E1039" s="2"/>
      <c r="H1039" s="2"/>
    </row>
    <row r="1040" spans="5:8" x14ac:dyDescent="0.25">
      <c r="E1040" s="2"/>
      <c r="H1040" s="2"/>
    </row>
    <row r="1041" spans="5:8" x14ac:dyDescent="0.25">
      <c r="E1041" s="2"/>
      <c r="H1041" s="2"/>
    </row>
    <row r="1042" spans="5:8" x14ac:dyDescent="0.25">
      <c r="E1042" s="2"/>
      <c r="H1042" s="2"/>
    </row>
    <row r="1043" spans="5:8" x14ac:dyDescent="0.25">
      <c r="E1043" s="2"/>
      <c r="H1043" s="2"/>
    </row>
    <row r="1044" spans="5:8" x14ac:dyDescent="0.25">
      <c r="E1044" s="2"/>
      <c r="H1044" s="2"/>
    </row>
    <row r="1045" spans="5:8" x14ac:dyDescent="0.25">
      <c r="E1045" s="2"/>
      <c r="H1045" s="2"/>
    </row>
    <row r="1046" spans="5:8" x14ac:dyDescent="0.25">
      <c r="E1046" s="2"/>
      <c r="H1046" s="2"/>
    </row>
    <row r="1047" spans="5:8" x14ac:dyDescent="0.25">
      <c r="E1047" s="2"/>
      <c r="H1047" s="2"/>
    </row>
    <row r="1048" spans="5:8" x14ac:dyDescent="0.25">
      <c r="E1048" s="2"/>
      <c r="H1048" s="2"/>
    </row>
    <row r="1049" spans="5:8" x14ac:dyDescent="0.25">
      <c r="E1049" s="2"/>
      <c r="H1049" s="2"/>
    </row>
    <row r="1050" spans="5:8" x14ac:dyDescent="0.25">
      <c r="E1050" s="2"/>
      <c r="H1050" s="2"/>
    </row>
    <row r="1051" spans="5:8" x14ac:dyDescent="0.25">
      <c r="E1051" s="2"/>
      <c r="H1051" s="2"/>
    </row>
    <row r="1052" spans="5:8" x14ac:dyDescent="0.25">
      <c r="E1052" s="2"/>
      <c r="H1052" s="2"/>
    </row>
    <row r="1053" spans="5:8" x14ac:dyDescent="0.25">
      <c r="E1053" s="2"/>
      <c r="H1053" s="2"/>
    </row>
    <row r="1054" spans="5:8" x14ac:dyDescent="0.25">
      <c r="E1054" s="2"/>
      <c r="H1054" s="2"/>
    </row>
    <row r="1055" spans="5:8" x14ac:dyDescent="0.25">
      <c r="E1055" s="2"/>
      <c r="H1055" s="2"/>
    </row>
    <row r="1056" spans="5:8" x14ac:dyDescent="0.25">
      <c r="E1056" s="2"/>
      <c r="H1056" s="2"/>
    </row>
    <row r="1057" spans="5:8" x14ac:dyDescent="0.25">
      <c r="E1057" s="2"/>
      <c r="H1057" s="2"/>
    </row>
    <row r="1058" spans="5:8" x14ac:dyDescent="0.25">
      <c r="E1058" s="2"/>
      <c r="H1058" s="2"/>
    </row>
    <row r="1059" spans="5:8" x14ac:dyDescent="0.25">
      <c r="E1059" s="2"/>
      <c r="H1059" s="2"/>
    </row>
    <row r="1060" spans="5:8" x14ac:dyDescent="0.25">
      <c r="E1060" s="2"/>
      <c r="H1060" s="2"/>
    </row>
    <row r="1061" spans="5:8" x14ac:dyDescent="0.25">
      <c r="E1061" s="2"/>
      <c r="H1061" s="2"/>
    </row>
    <row r="1062" spans="5:8" x14ac:dyDescent="0.25">
      <c r="E1062" s="2"/>
      <c r="H1062" s="2"/>
    </row>
    <row r="1063" spans="5:8" x14ac:dyDescent="0.25">
      <c r="E1063" s="2"/>
      <c r="H1063" s="2"/>
    </row>
    <row r="1064" spans="5:8" x14ac:dyDescent="0.25">
      <c r="E1064" s="2"/>
      <c r="H1064" s="2"/>
    </row>
    <row r="1065" spans="5:8" x14ac:dyDescent="0.25">
      <c r="E1065" s="2"/>
      <c r="H1065" s="2"/>
    </row>
    <row r="1066" spans="5:8" x14ac:dyDescent="0.25">
      <c r="E1066" s="2"/>
      <c r="H1066" s="2"/>
    </row>
    <row r="1067" spans="5:8" x14ac:dyDescent="0.25">
      <c r="E1067" s="2"/>
      <c r="H1067" s="2"/>
    </row>
    <row r="1068" spans="5:8" x14ac:dyDescent="0.25">
      <c r="E1068" s="2"/>
      <c r="H1068" s="2"/>
    </row>
    <row r="1069" spans="5:8" x14ac:dyDescent="0.25">
      <c r="E1069" s="2"/>
      <c r="H1069" s="2"/>
    </row>
    <row r="1070" spans="5:8" x14ac:dyDescent="0.25">
      <c r="E1070" s="2"/>
      <c r="H1070" s="2"/>
    </row>
    <row r="1071" spans="5:8" x14ac:dyDescent="0.25">
      <c r="E1071" s="2"/>
      <c r="H1071" s="2"/>
    </row>
    <row r="1072" spans="5:8" x14ac:dyDescent="0.25">
      <c r="E1072" s="2"/>
      <c r="H1072" s="2"/>
    </row>
    <row r="1073" spans="5:8" x14ac:dyDescent="0.25">
      <c r="E1073" s="2"/>
      <c r="H1073" s="2"/>
    </row>
    <row r="1074" spans="5:8" x14ac:dyDescent="0.25">
      <c r="E1074" s="2"/>
      <c r="H1074" s="2"/>
    </row>
    <row r="1075" spans="5:8" x14ac:dyDescent="0.25">
      <c r="E1075" s="2"/>
      <c r="H1075" s="2"/>
    </row>
    <row r="1076" spans="5:8" x14ac:dyDescent="0.25">
      <c r="E1076" s="2"/>
      <c r="H1076" s="2"/>
    </row>
    <row r="1077" spans="5:8" x14ac:dyDescent="0.25">
      <c r="E1077" s="2"/>
      <c r="H1077" s="2"/>
    </row>
    <row r="1078" spans="5:8" x14ac:dyDescent="0.25">
      <c r="E1078" s="2"/>
      <c r="H1078" s="2"/>
    </row>
    <row r="1079" spans="5:8" x14ac:dyDescent="0.25">
      <c r="E1079" s="2"/>
      <c r="H1079" s="2"/>
    </row>
    <row r="1080" spans="5:8" x14ac:dyDescent="0.25">
      <c r="E1080" s="2"/>
      <c r="H1080" s="2"/>
    </row>
    <row r="1081" spans="5:8" x14ac:dyDescent="0.25">
      <c r="E1081" s="2"/>
      <c r="H1081" s="2"/>
    </row>
    <row r="1082" spans="5:8" x14ac:dyDescent="0.25">
      <c r="E1082" s="2"/>
      <c r="H1082" s="2"/>
    </row>
    <row r="1083" spans="5:8" x14ac:dyDescent="0.25">
      <c r="E1083" s="2"/>
      <c r="H1083" s="2"/>
    </row>
    <row r="1084" spans="5:8" x14ac:dyDescent="0.25">
      <c r="E1084" s="2"/>
      <c r="H1084" s="2"/>
    </row>
    <row r="1085" spans="5:8" x14ac:dyDescent="0.25">
      <c r="E1085" s="2"/>
      <c r="H1085" s="2"/>
    </row>
    <row r="1086" spans="5:8" x14ac:dyDescent="0.25">
      <c r="E1086" s="2"/>
      <c r="H1086" s="2"/>
    </row>
    <row r="1087" spans="5:8" x14ac:dyDescent="0.25">
      <c r="E1087" s="2"/>
      <c r="H1087" s="2"/>
    </row>
    <row r="1088" spans="5:8" x14ac:dyDescent="0.25">
      <c r="E1088" s="2"/>
      <c r="H1088" s="2"/>
    </row>
    <row r="1089" spans="5:8" x14ac:dyDescent="0.25">
      <c r="E1089" s="2"/>
      <c r="H1089" s="2"/>
    </row>
    <row r="1090" spans="5:8" x14ac:dyDescent="0.25">
      <c r="E1090" s="2"/>
      <c r="H1090" s="2"/>
    </row>
    <row r="1091" spans="5:8" x14ac:dyDescent="0.25">
      <c r="E1091" s="2"/>
      <c r="H1091" s="2"/>
    </row>
    <row r="1092" spans="5:8" x14ac:dyDescent="0.25">
      <c r="E1092" s="2"/>
      <c r="H1092" s="2"/>
    </row>
    <row r="1093" spans="5:8" x14ac:dyDescent="0.25">
      <c r="E1093" s="2"/>
      <c r="H1093" s="2"/>
    </row>
    <row r="1094" spans="5:8" x14ac:dyDescent="0.25">
      <c r="E1094" s="2"/>
      <c r="H1094" s="2"/>
    </row>
    <row r="1095" spans="5:8" x14ac:dyDescent="0.25">
      <c r="E1095" s="2"/>
      <c r="H1095" s="2"/>
    </row>
    <row r="1096" spans="5:8" x14ac:dyDescent="0.25">
      <c r="E1096" s="2"/>
      <c r="H1096" s="2"/>
    </row>
    <row r="1097" spans="5:8" x14ac:dyDescent="0.25">
      <c r="E1097" s="2"/>
      <c r="H1097" s="2"/>
    </row>
    <row r="1098" spans="5:8" x14ac:dyDescent="0.25">
      <c r="E1098" s="2"/>
      <c r="H1098" s="2"/>
    </row>
    <row r="1099" spans="5:8" x14ac:dyDescent="0.25">
      <c r="E1099" s="2"/>
      <c r="H1099" s="2"/>
    </row>
    <row r="1100" spans="5:8" x14ac:dyDescent="0.25">
      <c r="E1100" s="2"/>
      <c r="H1100" s="2"/>
    </row>
    <row r="1101" spans="5:8" x14ac:dyDescent="0.25">
      <c r="E1101" s="2"/>
      <c r="H1101" s="2"/>
    </row>
    <row r="1102" spans="5:8" x14ac:dyDescent="0.25">
      <c r="E1102" s="2"/>
      <c r="H1102" s="2"/>
    </row>
    <row r="1103" spans="5:8" x14ac:dyDescent="0.25">
      <c r="E1103" s="2"/>
      <c r="H1103" s="2"/>
    </row>
    <row r="1104" spans="5:8" x14ac:dyDescent="0.25">
      <c r="E1104" s="2"/>
      <c r="H1104" s="2"/>
    </row>
    <row r="1105" spans="5:8" x14ac:dyDescent="0.25">
      <c r="E1105" s="2"/>
      <c r="H1105" s="2"/>
    </row>
    <row r="1106" spans="5:8" x14ac:dyDescent="0.25">
      <c r="E1106" s="2"/>
      <c r="H1106" s="2"/>
    </row>
    <row r="1107" spans="5:8" x14ac:dyDescent="0.25">
      <c r="E1107" s="2"/>
      <c r="H1107" s="2"/>
    </row>
    <row r="1108" spans="5:8" x14ac:dyDescent="0.25">
      <c r="E1108" s="2"/>
      <c r="H1108" s="2"/>
    </row>
    <row r="1109" spans="5:8" x14ac:dyDescent="0.25">
      <c r="E1109" s="2"/>
      <c r="H1109" s="2"/>
    </row>
    <row r="1110" spans="5:8" x14ac:dyDescent="0.25">
      <c r="E1110" s="2"/>
      <c r="H1110" s="2"/>
    </row>
    <row r="1111" spans="5:8" x14ac:dyDescent="0.25">
      <c r="E1111" s="2"/>
      <c r="H1111" s="2"/>
    </row>
    <row r="1112" spans="5:8" x14ac:dyDescent="0.25">
      <c r="E1112" s="2"/>
      <c r="H1112" s="2"/>
    </row>
    <row r="1113" spans="5:8" x14ac:dyDescent="0.25">
      <c r="E1113" s="2"/>
      <c r="H1113" s="2"/>
    </row>
    <row r="1114" spans="5:8" x14ac:dyDescent="0.25">
      <c r="E1114" s="2"/>
      <c r="H1114" s="2"/>
    </row>
    <row r="1115" spans="5:8" x14ac:dyDescent="0.25">
      <c r="E1115" s="2"/>
      <c r="H1115" s="2"/>
    </row>
    <row r="1116" spans="5:8" x14ac:dyDescent="0.25">
      <c r="E1116" s="2"/>
      <c r="H1116" s="2"/>
    </row>
    <row r="1117" spans="5:8" x14ac:dyDescent="0.25">
      <c r="E1117" s="2"/>
      <c r="H1117" s="2"/>
    </row>
    <row r="1118" spans="5:8" x14ac:dyDescent="0.25">
      <c r="E1118" s="2"/>
      <c r="H1118" s="2"/>
    </row>
    <row r="1119" spans="5:8" x14ac:dyDescent="0.25">
      <c r="E1119" s="2"/>
      <c r="H1119" s="2"/>
    </row>
    <row r="1120" spans="5:8" x14ac:dyDescent="0.25">
      <c r="E1120" s="2"/>
      <c r="H1120" s="2"/>
    </row>
    <row r="1121" spans="5:8" x14ac:dyDescent="0.25">
      <c r="E1121" s="2"/>
      <c r="H1121" s="2"/>
    </row>
    <row r="1122" spans="5:8" x14ac:dyDescent="0.25">
      <c r="E1122" s="2"/>
      <c r="H1122" s="2"/>
    </row>
    <row r="1123" spans="5:8" x14ac:dyDescent="0.25">
      <c r="E1123" s="2"/>
      <c r="H1123" s="2"/>
    </row>
    <row r="1124" spans="5:8" x14ac:dyDescent="0.25">
      <c r="E1124" s="2"/>
      <c r="H1124" s="2"/>
    </row>
    <row r="1125" spans="5:8" x14ac:dyDescent="0.25">
      <c r="E1125" s="2"/>
      <c r="H1125" s="2"/>
    </row>
    <row r="1126" spans="5:8" x14ac:dyDescent="0.25">
      <c r="E1126" s="2"/>
      <c r="H1126" s="2"/>
    </row>
    <row r="1127" spans="5:8" x14ac:dyDescent="0.25">
      <c r="E1127" s="2"/>
      <c r="H1127" s="2"/>
    </row>
    <row r="1128" spans="5:8" x14ac:dyDescent="0.25">
      <c r="E1128" s="2"/>
      <c r="H1128" s="2"/>
    </row>
    <row r="1129" spans="5:8" x14ac:dyDescent="0.25">
      <c r="E1129" s="2"/>
      <c r="H1129" s="2"/>
    </row>
    <row r="1130" spans="5:8" x14ac:dyDescent="0.25">
      <c r="E1130" s="2"/>
      <c r="H1130" s="2"/>
    </row>
    <row r="1131" spans="5:8" x14ac:dyDescent="0.25">
      <c r="E1131" s="2"/>
      <c r="H1131" s="2"/>
    </row>
    <row r="1132" spans="5:8" x14ac:dyDescent="0.25">
      <c r="E1132" s="2"/>
      <c r="H1132" s="2"/>
    </row>
    <row r="1133" spans="5:8" x14ac:dyDescent="0.25">
      <c r="E1133" s="2"/>
      <c r="H1133" s="2"/>
    </row>
    <row r="1134" spans="5:8" x14ac:dyDescent="0.25">
      <c r="E1134" s="2"/>
      <c r="H1134" s="2"/>
    </row>
    <row r="1135" spans="5:8" x14ac:dyDescent="0.25">
      <c r="E1135" s="2"/>
      <c r="H1135" s="2"/>
    </row>
    <row r="1136" spans="5:8" x14ac:dyDescent="0.25">
      <c r="E1136" s="2"/>
      <c r="H1136" s="2"/>
    </row>
    <row r="1137" spans="5:8" x14ac:dyDescent="0.25">
      <c r="E1137" s="2"/>
      <c r="H1137" s="2"/>
    </row>
    <row r="1138" spans="5:8" x14ac:dyDescent="0.25">
      <c r="E1138" s="2"/>
      <c r="H1138" s="2"/>
    </row>
    <row r="1139" spans="5:8" x14ac:dyDescent="0.25">
      <c r="E1139" s="2"/>
      <c r="H1139" s="2"/>
    </row>
    <row r="1140" spans="5:8" x14ac:dyDescent="0.25">
      <c r="E1140" s="2"/>
      <c r="H1140" s="2"/>
    </row>
    <row r="1141" spans="5:8" x14ac:dyDescent="0.25">
      <c r="E1141" s="2"/>
      <c r="H1141" s="2"/>
    </row>
    <row r="1142" spans="5:8" x14ac:dyDescent="0.25">
      <c r="E1142" s="2"/>
      <c r="H1142" s="2"/>
    </row>
    <row r="1143" spans="5:8" x14ac:dyDescent="0.25">
      <c r="E1143" s="2"/>
      <c r="H1143" s="2"/>
    </row>
    <row r="1144" spans="5:8" x14ac:dyDescent="0.25">
      <c r="E1144" s="2"/>
      <c r="H1144" s="2"/>
    </row>
    <row r="1145" spans="5:8" x14ac:dyDescent="0.25">
      <c r="E1145" s="2"/>
      <c r="H1145" s="2"/>
    </row>
    <row r="1146" spans="5:8" x14ac:dyDescent="0.25">
      <c r="E1146" s="2"/>
      <c r="H1146" s="2"/>
    </row>
    <row r="1147" spans="5:8" x14ac:dyDescent="0.25">
      <c r="E1147" s="2"/>
      <c r="H1147" s="2"/>
    </row>
    <row r="1148" spans="5:8" x14ac:dyDescent="0.25">
      <c r="E1148" s="2"/>
      <c r="H1148" s="2"/>
    </row>
    <row r="1149" spans="5:8" x14ac:dyDescent="0.25">
      <c r="E1149" s="2"/>
      <c r="H1149" s="2"/>
    </row>
    <row r="1150" spans="5:8" x14ac:dyDescent="0.25">
      <c r="E1150" s="2"/>
      <c r="H1150" s="2"/>
    </row>
    <row r="1151" spans="5:8" x14ac:dyDescent="0.25">
      <c r="E1151" s="2"/>
      <c r="H1151" s="2"/>
    </row>
    <row r="1152" spans="5:8" x14ac:dyDescent="0.25">
      <c r="E1152" s="2"/>
      <c r="H1152" s="2"/>
    </row>
    <row r="1153" spans="5:8" x14ac:dyDescent="0.25">
      <c r="E1153" s="2"/>
      <c r="H1153" s="2"/>
    </row>
    <row r="1154" spans="5:8" x14ac:dyDescent="0.25">
      <c r="E1154" s="2"/>
      <c r="H1154" s="2"/>
    </row>
    <row r="1155" spans="5:8" x14ac:dyDescent="0.25">
      <c r="E1155" s="2"/>
      <c r="H1155" s="2"/>
    </row>
    <row r="1156" spans="5:8" x14ac:dyDescent="0.25">
      <c r="E1156" s="2"/>
      <c r="H1156" s="2"/>
    </row>
    <row r="1157" spans="5:8" x14ac:dyDescent="0.25">
      <c r="E1157" s="2"/>
      <c r="H1157" s="2"/>
    </row>
    <row r="1158" spans="5:8" x14ac:dyDescent="0.25">
      <c r="E1158" s="2"/>
      <c r="H1158" s="2"/>
    </row>
    <row r="1159" spans="5:8" x14ac:dyDescent="0.25">
      <c r="E1159" s="2"/>
      <c r="H1159" s="2"/>
    </row>
    <row r="1160" spans="5:8" x14ac:dyDescent="0.25">
      <c r="E1160" s="2"/>
      <c r="H1160" s="2"/>
    </row>
    <row r="1161" spans="5:8" x14ac:dyDescent="0.25">
      <c r="E1161" s="2"/>
      <c r="H1161" s="2"/>
    </row>
    <row r="1162" spans="5:8" x14ac:dyDescent="0.25">
      <c r="E1162" s="2"/>
      <c r="H1162" s="2"/>
    </row>
    <row r="1163" spans="5:8" x14ac:dyDescent="0.25">
      <c r="E1163" s="2"/>
      <c r="H1163" s="2"/>
    </row>
    <row r="1164" spans="5:8" x14ac:dyDescent="0.25">
      <c r="E1164" s="2"/>
      <c r="H1164" s="2"/>
    </row>
    <row r="1165" spans="5:8" x14ac:dyDescent="0.25">
      <c r="E1165" s="2"/>
      <c r="H1165" s="2"/>
    </row>
    <row r="1166" spans="5:8" x14ac:dyDescent="0.25">
      <c r="E1166" s="2"/>
      <c r="H1166" s="2"/>
    </row>
    <row r="1167" spans="5:8" x14ac:dyDescent="0.25">
      <c r="E1167" s="2"/>
      <c r="H1167" s="2"/>
    </row>
    <row r="1168" spans="5:8" x14ac:dyDescent="0.25">
      <c r="E1168" s="2"/>
      <c r="H1168" s="2"/>
    </row>
    <row r="1169" spans="5:8" x14ac:dyDescent="0.25">
      <c r="E1169" s="2"/>
      <c r="H1169" s="2"/>
    </row>
    <row r="1170" spans="5:8" x14ac:dyDescent="0.25">
      <c r="E1170" s="2"/>
      <c r="H1170" s="2"/>
    </row>
    <row r="1171" spans="5:8" x14ac:dyDescent="0.25">
      <c r="E1171" s="2"/>
      <c r="H1171" s="2"/>
    </row>
    <row r="1172" spans="5:8" x14ac:dyDescent="0.25">
      <c r="E1172" s="2"/>
      <c r="H1172" s="2"/>
    </row>
    <row r="1173" spans="5:8" x14ac:dyDescent="0.25">
      <c r="E1173" s="2"/>
      <c r="H1173" s="2"/>
    </row>
    <row r="1174" spans="5:8" x14ac:dyDescent="0.25">
      <c r="E1174" s="2"/>
      <c r="H1174" s="2"/>
    </row>
    <row r="1175" spans="5:8" x14ac:dyDescent="0.25">
      <c r="E1175" s="2"/>
      <c r="H1175" s="2"/>
    </row>
    <row r="1176" spans="5:8" x14ac:dyDescent="0.25">
      <c r="E1176" s="2"/>
      <c r="H1176" s="2"/>
    </row>
    <row r="1177" spans="5:8" x14ac:dyDescent="0.25">
      <c r="E1177" s="2"/>
      <c r="H1177" s="2"/>
    </row>
    <row r="1178" spans="5:8" x14ac:dyDescent="0.25">
      <c r="E1178" s="2"/>
      <c r="H1178" s="2"/>
    </row>
    <row r="1179" spans="5:8" x14ac:dyDescent="0.25">
      <c r="E1179" s="2"/>
      <c r="H1179" s="2"/>
    </row>
    <row r="1180" spans="5:8" x14ac:dyDescent="0.25">
      <c r="E1180" s="2"/>
      <c r="H1180" s="2"/>
    </row>
    <row r="1181" spans="5:8" x14ac:dyDescent="0.25">
      <c r="E1181" s="2"/>
      <c r="H1181" s="2"/>
    </row>
    <row r="1182" spans="5:8" x14ac:dyDescent="0.25">
      <c r="E1182" s="2"/>
      <c r="H1182" s="2"/>
    </row>
    <row r="1183" spans="5:8" x14ac:dyDescent="0.25">
      <c r="E1183" s="2"/>
      <c r="H1183" s="2"/>
    </row>
    <row r="1184" spans="5:8" x14ac:dyDescent="0.25">
      <c r="E1184" s="2"/>
      <c r="H1184" s="2"/>
    </row>
    <row r="1185" spans="5:8" x14ac:dyDescent="0.25">
      <c r="E1185" s="2"/>
      <c r="H1185" s="2"/>
    </row>
    <row r="1186" spans="5:8" x14ac:dyDescent="0.25">
      <c r="E1186" s="2"/>
      <c r="H1186" s="2"/>
    </row>
    <row r="1187" spans="5:8" x14ac:dyDescent="0.25">
      <c r="E1187" s="2"/>
      <c r="H1187" s="2"/>
    </row>
    <row r="1188" spans="5:8" x14ac:dyDescent="0.25">
      <c r="E1188" s="2"/>
      <c r="H1188" s="2"/>
    </row>
    <row r="1189" spans="5:8" x14ac:dyDescent="0.25">
      <c r="E1189" s="2"/>
      <c r="H1189" s="2"/>
    </row>
    <row r="1190" spans="5:8" x14ac:dyDescent="0.25">
      <c r="E1190" s="2"/>
      <c r="H1190" s="2"/>
    </row>
    <row r="1191" spans="5:8" x14ac:dyDescent="0.25">
      <c r="E1191" s="2"/>
      <c r="H1191" s="2"/>
    </row>
    <row r="1192" spans="5:8" x14ac:dyDescent="0.25">
      <c r="E1192" s="2"/>
      <c r="H1192" s="2"/>
    </row>
    <row r="1193" spans="5:8" x14ac:dyDescent="0.25">
      <c r="E1193" s="2"/>
      <c r="H1193" s="2"/>
    </row>
    <row r="1194" spans="5:8" x14ac:dyDescent="0.25">
      <c r="E1194" s="2"/>
      <c r="H1194" s="2"/>
    </row>
    <row r="1195" spans="5:8" x14ac:dyDescent="0.25">
      <c r="E1195" s="2"/>
      <c r="H1195" s="2"/>
    </row>
    <row r="1196" spans="5:8" x14ac:dyDescent="0.25">
      <c r="E1196" s="2"/>
      <c r="H1196" s="2"/>
    </row>
    <row r="1197" spans="5:8" x14ac:dyDescent="0.25">
      <c r="E1197" s="2"/>
      <c r="H1197" s="2"/>
    </row>
    <row r="1198" spans="5:8" x14ac:dyDescent="0.25">
      <c r="E1198" s="2"/>
      <c r="H1198" s="2"/>
    </row>
    <row r="1199" spans="5:8" x14ac:dyDescent="0.25">
      <c r="E1199" s="2"/>
      <c r="H1199" s="2"/>
    </row>
    <row r="1200" spans="5:8" x14ac:dyDescent="0.25">
      <c r="E1200" s="2"/>
      <c r="H12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2BDD-BF4F-452D-B10D-1675542D31A4}">
  <dimension ref="A1:O1200"/>
  <sheetViews>
    <sheetView workbookViewId="0">
      <selection activeCell="A8" sqref="A8:O243"/>
    </sheetView>
  </sheetViews>
  <sheetFormatPr defaultRowHeight="15" x14ac:dyDescent="0.25"/>
  <cols>
    <col min="14" max="14" width="13.28515625" customWidth="1"/>
  </cols>
  <sheetData>
    <row r="1" spans="1:15" x14ac:dyDescent="0.25">
      <c r="A1" t="str">
        <f>'WP by State &amp; Segment'!A1</f>
        <v>Insurer NJ Umbrella</v>
      </c>
    </row>
    <row r="2" spans="1:15" x14ac:dyDescent="0.25">
      <c r="A2" t="str">
        <f>'WP by State &amp; Segment'!A2</f>
        <v>Umbrella Excess of Loss reinsurance program</v>
      </c>
    </row>
    <row r="3" spans="1:15" x14ac:dyDescent="0.25">
      <c r="A3" t="str">
        <f>'WP by State &amp; Segment'!A3</f>
        <v>Effective: 04/01/2024</v>
      </c>
    </row>
    <row r="4" spans="1:15" x14ac:dyDescent="0.25">
      <c r="A4" t="str">
        <f>'WP by State &amp; Segment'!A4</f>
        <v>Data as of: 11/30/2023</v>
      </c>
    </row>
    <row r="6" spans="1:15" x14ac:dyDescent="0.25">
      <c r="A6" t="s">
        <v>94</v>
      </c>
    </row>
    <row r="7" spans="1:15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77</v>
      </c>
    </row>
    <row r="8" spans="1:15" x14ac:dyDescent="0.25">
      <c r="A8" t="s">
        <v>2033</v>
      </c>
      <c r="B8" t="s">
        <v>2034</v>
      </c>
      <c r="C8" t="s">
        <v>2035</v>
      </c>
      <c r="D8" t="s">
        <v>110</v>
      </c>
      <c r="E8" s="2">
        <v>43899</v>
      </c>
      <c r="F8" t="s">
        <v>16</v>
      </c>
      <c r="G8">
        <v>1000000</v>
      </c>
      <c r="H8" s="2">
        <v>43907</v>
      </c>
      <c r="I8">
        <v>2020</v>
      </c>
      <c r="J8">
        <v>10096.956034098699</v>
      </c>
      <c r="K8">
        <v>29868.913965901302</v>
      </c>
      <c r="L8">
        <v>159638.97</v>
      </c>
      <c r="M8">
        <v>0</v>
      </c>
      <c r="N8">
        <v>199604.84</v>
      </c>
      <c r="O8" t="s">
        <v>2036</v>
      </c>
    </row>
    <row r="9" spans="1:15" x14ac:dyDescent="0.25">
      <c r="A9" t="s">
        <v>2037</v>
      </c>
      <c r="B9" t="s">
        <v>2038</v>
      </c>
      <c r="C9" t="s">
        <v>2039</v>
      </c>
      <c r="D9" t="s">
        <v>110</v>
      </c>
      <c r="E9" s="2">
        <v>43886</v>
      </c>
      <c r="F9" t="s">
        <v>10</v>
      </c>
      <c r="G9">
        <v>5000000</v>
      </c>
      <c r="H9" s="2">
        <v>43912</v>
      </c>
      <c r="I9">
        <v>2020</v>
      </c>
      <c r="J9">
        <v>30636.644809039801</v>
      </c>
      <c r="K9">
        <v>88198.255190960204</v>
      </c>
      <c r="L9">
        <v>430255.59</v>
      </c>
      <c r="M9">
        <v>0</v>
      </c>
      <c r="N9">
        <v>549090.49</v>
      </c>
      <c r="O9" t="s">
        <v>2040</v>
      </c>
    </row>
    <row r="10" spans="1:15" x14ac:dyDescent="0.25">
      <c r="A10" t="s">
        <v>1476</v>
      </c>
      <c r="B10" t="s">
        <v>2041</v>
      </c>
      <c r="C10" t="s">
        <v>2042</v>
      </c>
      <c r="D10" t="s">
        <v>110</v>
      </c>
      <c r="E10" s="2">
        <v>43908</v>
      </c>
      <c r="F10" t="s">
        <v>54</v>
      </c>
      <c r="G10">
        <v>5000000</v>
      </c>
      <c r="H10" s="2">
        <v>43948</v>
      </c>
      <c r="I10">
        <v>2020</v>
      </c>
      <c r="J10">
        <v>16810.592376327801</v>
      </c>
      <c r="K10">
        <v>66003.637623672199</v>
      </c>
      <c r="L10">
        <v>386366.12</v>
      </c>
      <c r="M10">
        <v>0</v>
      </c>
      <c r="N10">
        <v>469180.35</v>
      </c>
      <c r="O10" t="s">
        <v>2040</v>
      </c>
    </row>
    <row r="11" spans="1:15" x14ac:dyDescent="0.25">
      <c r="A11" t="s">
        <v>1480</v>
      </c>
      <c r="B11" t="s">
        <v>2043</v>
      </c>
      <c r="C11" t="s">
        <v>2044</v>
      </c>
      <c r="D11" t="s">
        <v>110</v>
      </c>
      <c r="E11" s="2">
        <v>43924</v>
      </c>
      <c r="F11" t="s">
        <v>12</v>
      </c>
      <c r="G11">
        <v>5000000</v>
      </c>
      <c r="H11" s="2">
        <v>44017</v>
      </c>
      <c r="I11">
        <v>2020</v>
      </c>
      <c r="J11">
        <v>12802.0583614713</v>
      </c>
      <c r="K11">
        <v>39406.211638528701</v>
      </c>
      <c r="L11">
        <v>324112.21000000002</v>
      </c>
      <c r="M11">
        <v>0</v>
      </c>
      <c r="N11">
        <v>376320.48</v>
      </c>
      <c r="O11" t="s">
        <v>143</v>
      </c>
    </row>
    <row r="12" spans="1:15" x14ac:dyDescent="0.25">
      <c r="A12" t="s">
        <v>2045</v>
      </c>
      <c r="B12" t="s">
        <v>2046</v>
      </c>
      <c r="C12" t="s">
        <v>2047</v>
      </c>
      <c r="D12" t="s">
        <v>110</v>
      </c>
      <c r="E12" s="2">
        <v>44033</v>
      </c>
      <c r="F12" t="s">
        <v>12</v>
      </c>
      <c r="G12">
        <v>10000000</v>
      </c>
      <c r="H12" s="2">
        <v>44041</v>
      </c>
      <c r="I12">
        <v>2020</v>
      </c>
      <c r="J12">
        <v>15267.0335492984</v>
      </c>
      <c r="K12">
        <v>56796.146450701497</v>
      </c>
      <c r="L12">
        <v>270099.24</v>
      </c>
      <c r="M12">
        <v>0</v>
      </c>
      <c r="N12">
        <v>342162.42</v>
      </c>
      <c r="O12" t="s">
        <v>179</v>
      </c>
    </row>
    <row r="13" spans="1:15" x14ac:dyDescent="0.25">
      <c r="A13" t="s">
        <v>2048</v>
      </c>
      <c r="B13" t="s">
        <v>2049</v>
      </c>
      <c r="C13" t="s">
        <v>2050</v>
      </c>
      <c r="D13" t="s">
        <v>110</v>
      </c>
      <c r="E13" s="2">
        <v>44034</v>
      </c>
      <c r="F13" t="s">
        <v>38</v>
      </c>
      <c r="G13">
        <v>4000000</v>
      </c>
      <c r="H13" s="2">
        <v>44036</v>
      </c>
      <c r="I13">
        <v>2020</v>
      </c>
      <c r="J13">
        <v>6290.4679024989</v>
      </c>
      <c r="K13">
        <v>17933.142097501099</v>
      </c>
      <c r="L13">
        <v>227146.3</v>
      </c>
      <c r="M13">
        <v>0</v>
      </c>
      <c r="N13">
        <v>251369.91</v>
      </c>
      <c r="O13" t="s">
        <v>2051</v>
      </c>
    </row>
    <row r="14" spans="1:15" x14ac:dyDescent="0.25">
      <c r="A14" t="s">
        <v>2052</v>
      </c>
      <c r="B14" t="s">
        <v>2053</v>
      </c>
      <c r="C14" t="s">
        <v>2054</v>
      </c>
      <c r="D14" t="s">
        <v>110</v>
      </c>
      <c r="E14" s="2">
        <v>43936</v>
      </c>
      <c r="F14" t="s">
        <v>50</v>
      </c>
      <c r="G14">
        <v>5000000</v>
      </c>
      <c r="H14" s="2">
        <v>44077</v>
      </c>
      <c r="I14">
        <v>2020</v>
      </c>
      <c r="J14">
        <v>6008.4775139345502</v>
      </c>
      <c r="K14">
        <v>19198.562486065399</v>
      </c>
      <c r="L14">
        <v>92216.3</v>
      </c>
      <c r="M14">
        <v>0</v>
      </c>
      <c r="N14">
        <v>117423.34</v>
      </c>
      <c r="O14" t="s">
        <v>2055</v>
      </c>
    </row>
    <row r="15" spans="1:15" x14ac:dyDescent="0.25">
      <c r="A15" t="s">
        <v>2056</v>
      </c>
      <c r="B15" t="s">
        <v>2057</v>
      </c>
      <c r="C15" t="s">
        <v>2058</v>
      </c>
      <c r="D15" t="s">
        <v>110</v>
      </c>
      <c r="E15" s="2">
        <v>44015</v>
      </c>
      <c r="F15" t="s">
        <v>54</v>
      </c>
      <c r="G15">
        <v>4000000</v>
      </c>
      <c r="H15" s="2">
        <v>44116</v>
      </c>
      <c r="I15">
        <v>2020</v>
      </c>
      <c r="J15">
        <v>7257.7600663595704</v>
      </c>
      <c r="K15">
        <v>21027.119933640399</v>
      </c>
      <c r="L15">
        <v>97967.47</v>
      </c>
      <c r="M15">
        <v>0</v>
      </c>
      <c r="N15">
        <v>126252.35</v>
      </c>
      <c r="O15" t="s">
        <v>2059</v>
      </c>
    </row>
    <row r="16" spans="1:15" x14ac:dyDescent="0.25">
      <c r="A16" t="s">
        <v>2060</v>
      </c>
      <c r="B16" t="s">
        <v>2061</v>
      </c>
      <c r="C16" t="s">
        <v>2062</v>
      </c>
      <c r="D16" t="s">
        <v>110</v>
      </c>
      <c r="E16" s="2">
        <v>43854</v>
      </c>
      <c r="F16" t="s">
        <v>18</v>
      </c>
      <c r="G16">
        <v>2000000</v>
      </c>
      <c r="H16" s="2">
        <v>44143</v>
      </c>
      <c r="I16">
        <v>2020</v>
      </c>
      <c r="J16">
        <v>12422.744535961099</v>
      </c>
      <c r="K16">
        <v>34560.995464038897</v>
      </c>
      <c r="L16">
        <v>285938.93</v>
      </c>
      <c r="M16">
        <v>0</v>
      </c>
      <c r="N16">
        <v>332922.67</v>
      </c>
      <c r="O16" t="s">
        <v>179</v>
      </c>
    </row>
    <row r="17" spans="1:15" x14ac:dyDescent="0.25">
      <c r="A17" t="s">
        <v>1508</v>
      </c>
      <c r="B17" t="s">
        <v>2063</v>
      </c>
      <c r="C17" t="s">
        <v>2064</v>
      </c>
      <c r="D17" t="s">
        <v>110</v>
      </c>
      <c r="E17" s="2">
        <v>44143</v>
      </c>
      <c r="F17" t="s">
        <v>12</v>
      </c>
      <c r="G17">
        <v>2000000</v>
      </c>
      <c r="H17" s="2">
        <v>44156</v>
      </c>
      <c r="I17">
        <v>2020</v>
      </c>
      <c r="J17">
        <v>2635.0158981795798</v>
      </c>
      <c r="K17">
        <v>9547.7541018204192</v>
      </c>
      <c r="L17">
        <v>115145.07</v>
      </c>
      <c r="M17">
        <v>0</v>
      </c>
      <c r="N17">
        <v>127327.84</v>
      </c>
      <c r="O17" t="s">
        <v>2065</v>
      </c>
    </row>
    <row r="18" spans="1:15" x14ac:dyDescent="0.25">
      <c r="A18" t="s">
        <v>2066</v>
      </c>
      <c r="B18" t="s">
        <v>2067</v>
      </c>
      <c r="C18" t="s">
        <v>2068</v>
      </c>
      <c r="D18" t="s">
        <v>110</v>
      </c>
      <c r="E18" s="2">
        <v>44075</v>
      </c>
      <c r="F18" t="s">
        <v>12</v>
      </c>
      <c r="G18">
        <v>2000000</v>
      </c>
      <c r="H18" s="2">
        <v>44175</v>
      </c>
      <c r="I18">
        <v>2020</v>
      </c>
      <c r="J18">
        <v>6612.1141201564496</v>
      </c>
      <c r="K18">
        <v>21342.955879843601</v>
      </c>
      <c r="L18">
        <v>123902.58</v>
      </c>
      <c r="M18">
        <v>0</v>
      </c>
      <c r="N18">
        <v>151857.65</v>
      </c>
      <c r="O18" t="s">
        <v>1496</v>
      </c>
    </row>
    <row r="19" spans="1:15" x14ac:dyDescent="0.25">
      <c r="A19" t="s">
        <v>2069</v>
      </c>
      <c r="B19" t="s">
        <v>2070</v>
      </c>
      <c r="C19" t="s">
        <v>2071</v>
      </c>
      <c r="D19" t="s">
        <v>110</v>
      </c>
      <c r="E19" s="2">
        <v>44036</v>
      </c>
      <c r="F19" t="s">
        <v>22</v>
      </c>
      <c r="G19">
        <v>1000000</v>
      </c>
      <c r="H19" s="2">
        <v>44073</v>
      </c>
      <c r="I19">
        <v>2020</v>
      </c>
      <c r="J19">
        <v>22613.211066079199</v>
      </c>
      <c r="K19">
        <v>61668.708933920803</v>
      </c>
      <c r="L19">
        <v>364109.46</v>
      </c>
      <c r="M19">
        <v>0</v>
      </c>
      <c r="N19">
        <v>448391.38</v>
      </c>
      <c r="O19" t="s">
        <v>2040</v>
      </c>
    </row>
    <row r="20" spans="1:15" x14ac:dyDescent="0.25">
      <c r="A20" t="s">
        <v>1511</v>
      </c>
      <c r="B20" t="s">
        <v>2072</v>
      </c>
      <c r="C20" t="s">
        <v>2073</v>
      </c>
      <c r="D20" t="s">
        <v>110</v>
      </c>
      <c r="E20" s="2">
        <v>44021</v>
      </c>
      <c r="F20" t="s">
        <v>34</v>
      </c>
      <c r="G20">
        <v>5000000</v>
      </c>
      <c r="H20" s="2">
        <v>44225</v>
      </c>
      <c r="I20">
        <v>2021</v>
      </c>
      <c r="J20">
        <v>10971.6940994304</v>
      </c>
      <c r="K20">
        <v>27791.195900569601</v>
      </c>
      <c r="L20">
        <v>252210.89</v>
      </c>
      <c r="M20">
        <v>0</v>
      </c>
      <c r="N20">
        <v>290973.78000000003</v>
      </c>
      <c r="O20" t="s">
        <v>2074</v>
      </c>
    </row>
    <row r="21" spans="1:15" x14ac:dyDescent="0.25">
      <c r="A21" t="s">
        <v>2075</v>
      </c>
      <c r="B21" t="s">
        <v>2076</v>
      </c>
      <c r="C21" t="s">
        <v>2077</v>
      </c>
      <c r="D21" t="s">
        <v>110</v>
      </c>
      <c r="E21" s="2">
        <v>43992</v>
      </c>
      <c r="F21" t="s">
        <v>25</v>
      </c>
      <c r="G21">
        <v>10000000</v>
      </c>
      <c r="H21" s="2">
        <v>44242</v>
      </c>
      <c r="I21">
        <v>2021</v>
      </c>
      <c r="J21">
        <v>2467.55621375896</v>
      </c>
      <c r="K21">
        <v>7417.5737862410397</v>
      </c>
      <c r="L21">
        <v>75902.559999999998</v>
      </c>
      <c r="M21">
        <v>0</v>
      </c>
      <c r="N21">
        <v>85787.69</v>
      </c>
      <c r="O21" t="s">
        <v>2078</v>
      </c>
    </row>
    <row r="22" spans="1:15" x14ac:dyDescent="0.25">
      <c r="A22" t="s">
        <v>2079</v>
      </c>
      <c r="B22" t="s">
        <v>2080</v>
      </c>
      <c r="C22" t="s">
        <v>2081</v>
      </c>
      <c r="D22" t="s">
        <v>110</v>
      </c>
      <c r="E22" s="2">
        <v>44097</v>
      </c>
      <c r="F22" t="s">
        <v>21</v>
      </c>
      <c r="G22">
        <v>1000000</v>
      </c>
      <c r="H22" s="2">
        <v>44233</v>
      </c>
      <c r="I22">
        <v>2021</v>
      </c>
      <c r="J22">
        <v>5863.5388640995798</v>
      </c>
      <c r="K22">
        <v>15280.1411359004</v>
      </c>
      <c r="L22">
        <v>76277.789999999994</v>
      </c>
      <c r="M22">
        <v>0</v>
      </c>
      <c r="N22">
        <v>97421.47</v>
      </c>
      <c r="O22" t="s">
        <v>2078</v>
      </c>
    </row>
    <row r="23" spans="1:15" x14ac:dyDescent="0.25">
      <c r="A23" t="s">
        <v>1522</v>
      </c>
      <c r="B23" t="s">
        <v>2082</v>
      </c>
      <c r="C23" t="s">
        <v>2083</v>
      </c>
      <c r="D23" t="s">
        <v>110</v>
      </c>
      <c r="E23" s="2">
        <v>43949</v>
      </c>
      <c r="F23" t="s">
        <v>12</v>
      </c>
      <c r="G23">
        <v>5000000</v>
      </c>
      <c r="H23" s="2">
        <v>44234</v>
      </c>
      <c r="I23">
        <v>2021</v>
      </c>
      <c r="J23">
        <v>4351.2800536882496</v>
      </c>
      <c r="K23">
        <v>15092.949946311701</v>
      </c>
      <c r="L23">
        <v>104405.8</v>
      </c>
      <c r="M23">
        <v>0</v>
      </c>
      <c r="N23">
        <v>123850.03</v>
      </c>
      <c r="O23" t="s">
        <v>2059</v>
      </c>
    </row>
    <row r="24" spans="1:15" x14ac:dyDescent="0.25">
      <c r="A24" t="s">
        <v>1529</v>
      </c>
      <c r="B24" t="s">
        <v>2084</v>
      </c>
      <c r="C24" t="s">
        <v>2085</v>
      </c>
      <c r="D24" t="s">
        <v>110</v>
      </c>
      <c r="E24" s="2">
        <v>44053</v>
      </c>
      <c r="F24" t="s">
        <v>42</v>
      </c>
      <c r="G24">
        <v>5000000</v>
      </c>
      <c r="H24" s="2">
        <v>44228</v>
      </c>
      <c r="I24">
        <v>2021</v>
      </c>
      <c r="J24">
        <v>2602.0151346253201</v>
      </c>
      <c r="K24">
        <v>6575.2548653746799</v>
      </c>
      <c r="L24">
        <v>65769.55</v>
      </c>
      <c r="M24">
        <v>0</v>
      </c>
      <c r="N24">
        <v>74946.820000000007</v>
      </c>
      <c r="O24" t="s">
        <v>2086</v>
      </c>
    </row>
    <row r="25" spans="1:15" x14ac:dyDescent="0.25">
      <c r="A25" t="s">
        <v>2087</v>
      </c>
      <c r="B25" t="s">
        <v>2088</v>
      </c>
      <c r="C25" t="s">
        <v>2089</v>
      </c>
      <c r="D25" t="s">
        <v>110</v>
      </c>
      <c r="E25" s="2">
        <v>44003</v>
      </c>
      <c r="F25" t="s">
        <v>44</v>
      </c>
      <c r="G25">
        <v>5000000</v>
      </c>
      <c r="H25" s="2">
        <v>44230</v>
      </c>
      <c r="I25">
        <v>2021</v>
      </c>
      <c r="J25">
        <v>5039.0872467877398</v>
      </c>
      <c r="K25">
        <v>11985.5527532123</v>
      </c>
      <c r="L25">
        <v>63915.72</v>
      </c>
      <c r="M25">
        <v>0</v>
      </c>
      <c r="N25">
        <v>80940.36</v>
      </c>
      <c r="O25" t="s">
        <v>2090</v>
      </c>
    </row>
    <row r="26" spans="1:15" x14ac:dyDescent="0.25">
      <c r="A26" t="s">
        <v>2091</v>
      </c>
      <c r="B26" t="s">
        <v>2092</v>
      </c>
      <c r="C26" t="s">
        <v>2093</v>
      </c>
      <c r="D26" t="s">
        <v>110</v>
      </c>
      <c r="E26" s="2">
        <v>44058</v>
      </c>
      <c r="F26" t="s">
        <v>17</v>
      </c>
      <c r="G26">
        <v>1000000</v>
      </c>
      <c r="H26" s="2">
        <v>44220</v>
      </c>
      <c r="I26">
        <v>2021</v>
      </c>
      <c r="J26">
        <v>4725.9010554959495</v>
      </c>
      <c r="K26">
        <v>11970.188944504</v>
      </c>
      <c r="L26">
        <v>84108.96</v>
      </c>
      <c r="M26">
        <v>0</v>
      </c>
      <c r="N26">
        <v>100805.05</v>
      </c>
      <c r="O26" t="s">
        <v>2094</v>
      </c>
    </row>
    <row r="27" spans="1:15" x14ac:dyDescent="0.25">
      <c r="A27" t="s">
        <v>1532</v>
      </c>
      <c r="B27" t="s">
        <v>2095</v>
      </c>
      <c r="C27" t="s">
        <v>2096</v>
      </c>
      <c r="D27" t="s">
        <v>110</v>
      </c>
      <c r="E27" s="2">
        <v>44271</v>
      </c>
      <c r="F27" t="s">
        <v>34</v>
      </c>
      <c r="G27">
        <v>10000000</v>
      </c>
      <c r="H27" s="2">
        <v>44275</v>
      </c>
      <c r="I27">
        <v>2021</v>
      </c>
      <c r="J27">
        <v>5040.5638737457402</v>
      </c>
      <c r="K27">
        <v>13154.9161262543</v>
      </c>
      <c r="L27">
        <v>79691.3</v>
      </c>
      <c r="M27">
        <v>0</v>
      </c>
      <c r="N27">
        <v>97886.78</v>
      </c>
      <c r="O27" t="s">
        <v>2097</v>
      </c>
    </row>
    <row r="28" spans="1:15" x14ac:dyDescent="0.25">
      <c r="A28" t="s">
        <v>2098</v>
      </c>
      <c r="B28" t="s">
        <v>2099</v>
      </c>
      <c r="C28" t="s">
        <v>2100</v>
      </c>
      <c r="D28" t="s">
        <v>734</v>
      </c>
      <c r="E28" s="2">
        <v>44203</v>
      </c>
      <c r="F28" t="s">
        <v>49</v>
      </c>
      <c r="G28">
        <v>5000000</v>
      </c>
      <c r="H28" s="2">
        <v>44287</v>
      </c>
      <c r="I28">
        <v>2021</v>
      </c>
      <c r="J28">
        <v>1508.3498844948899</v>
      </c>
      <c r="K28">
        <v>4568.94011550511</v>
      </c>
      <c r="L28">
        <v>42608.27</v>
      </c>
      <c r="M28">
        <v>12014.39</v>
      </c>
      <c r="N28">
        <v>60699.95</v>
      </c>
      <c r="O28" t="s">
        <v>2101</v>
      </c>
    </row>
    <row r="29" spans="1:15" x14ac:dyDescent="0.25">
      <c r="A29" t="s">
        <v>2102</v>
      </c>
      <c r="B29" t="s">
        <v>2103</v>
      </c>
      <c r="C29" t="s">
        <v>2104</v>
      </c>
      <c r="D29" t="s">
        <v>110</v>
      </c>
      <c r="E29" s="2">
        <v>44024</v>
      </c>
      <c r="F29" t="s">
        <v>26</v>
      </c>
      <c r="G29">
        <v>5000000</v>
      </c>
      <c r="H29" s="2">
        <v>44284</v>
      </c>
      <c r="I29">
        <v>2021</v>
      </c>
      <c r="J29">
        <v>2443.7557038314999</v>
      </c>
      <c r="K29">
        <v>7224.2942961684903</v>
      </c>
      <c r="L29">
        <v>68164.11</v>
      </c>
      <c r="M29">
        <v>0</v>
      </c>
      <c r="N29">
        <v>77832.160000000003</v>
      </c>
      <c r="O29" t="s">
        <v>2086</v>
      </c>
    </row>
    <row r="30" spans="1:15" x14ac:dyDescent="0.25">
      <c r="A30" t="s">
        <v>2105</v>
      </c>
      <c r="B30" t="s">
        <v>2106</v>
      </c>
      <c r="C30" t="s">
        <v>2107</v>
      </c>
      <c r="D30" t="s">
        <v>110</v>
      </c>
      <c r="E30" s="2">
        <v>44067</v>
      </c>
      <c r="F30" t="s">
        <v>28</v>
      </c>
      <c r="G30">
        <v>2000000</v>
      </c>
      <c r="H30" s="2">
        <v>44276</v>
      </c>
      <c r="I30">
        <v>2021</v>
      </c>
      <c r="J30">
        <v>4862.1441564207298</v>
      </c>
      <c r="K30">
        <v>12806.805843579299</v>
      </c>
      <c r="L30">
        <v>59532.23</v>
      </c>
      <c r="M30">
        <v>0</v>
      </c>
      <c r="N30">
        <v>77201.179999999993</v>
      </c>
      <c r="O30" t="s">
        <v>2090</v>
      </c>
    </row>
    <row r="31" spans="1:15" x14ac:dyDescent="0.25">
      <c r="A31" t="s">
        <v>1541</v>
      </c>
      <c r="B31" t="s">
        <v>2108</v>
      </c>
      <c r="C31" t="s">
        <v>2109</v>
      </c>
      <c r="D31" t="s">
        <v>110</v>
      </c>
      <c r="E31" s="2">
        <v>44147</v>
      </c>
      <c r="F31" t="s">
        <v>9</v>
      </c>
      <c r="G31">
        <v>10000000</v>
      </c>
      <c r="H31" s="2">
        <v>44222</v>
      </c>
      <c r="I31">
        <v>2021</v>
      </c>
      <c r="J31">
        <v>15048.960662621899</v>
      </c>
      <c r="K31">
        <v>35908.959337378103</v>
      </c>
      <c r="L31">
        <v>203498.77</v>
      </c>
      <c r="M31">
        <v>0</v>
      </c>
      <c r="N31">
        <v>254456.69</v>
      </c>
      <c r="O31" t="s">
        <v>2110</v>
      </c>
    </row>
    <row r="32" spans="1:15" x14ac:dyDescent="0.25">
      <c r="A32" t="s">
        <v>2111</v>
      </c>
      <c r="B32" t="s">
        <v>2112</v>
      </c>
      <c r="C32" t="s">
        <v>2113</v>
      </c>
      <c r="D32" t="s">
        <v>110</v>
      </c>
      <c r="E32" s="2">
        <v>44243</v>
      </c>
      <c r="F32" t="s">
        <v>41</v>
      </c>
      <c r="G32">
        <v>4000000</v>
      </c>
      <c r="H32" s="2">
        <v>44308</v>
      </c>
      <c r="I32">
        <v>2021</v>
      </c>
      <c r="J32">
        <v>55630.028766685697</v>
      </c>
      <c r="K32">
        <v>198144.571233314</v>
      </c>
      <c r="L32">
        <v>885045.61</v>
      </c>
      <c r="M32">
        <v>0</v>
      </c>
      <c r="N32">
        <v>1138820.21</v>
      </c>
      <c r="O32" t="s">
        <v>2114</v>
      </c>
    </row>
    <row r="33" spans="1:15" x14ac:dyDescent="0.25">
      <c r="A33" t="s">
        <v>2115</v>
      </c>
      <c r="B33" t="s">
        <v>2116</v>
      </c>
      <c r="C33" t="s">
        <v>2117</v>
      </c>
      <c r="D33" t="s">
        <v>110</v>
      </c>
      <c r="E33" s="2">
        <v>44303</v>
      </c>
      <c r="F33" t="s">
        <v>12</v>
      </c>
      <c r="G33">
        <v>1000000</v>
      </c>
      <c r="H33" s="2">
        <v>44340</v>
      </c>
      <c r="I33">
        <v>2021</v>
      </c>
      <c r="J33">
        <v>2000.19633243214</v>
      </c>
      <c r="K33">
        <v>6809.9236675678603</v>
      </c>
      <c r="L33">
        <v>72040.91</v>
      </c>
      <c r="M33">
        <v>0</v>
      </c>
      <c r="N33">
        <v>80851.03</v>
      </c>
      <c r="O33" t="s">
        <v>2078</v>
      </c>
    </row>
    <row r="34" spans="1:15" x14ac:dyDescent="0.25">
      <c r="A34" t="s">
        <v>2118</v>
      </c>
      <c r="B34" t="s">
        <v>2119</v>
      </c>
      <c r="C34" t="s">
        <v>2120</v>
      </c>
      <c r="D34" t="s">
        <v>110</v>
      </c>
      <c r="E34" s="2">
        <v>44121</v>
      </c>
      <c r="F34" t="s">
        <v>55</v>
      </c>
      <c r="G34">
        <v>1000000</v>
      </c>
      <c r="H34" s="2">
        <v>44350</v>
      </c>
      <c r="I34">
        <v>2021</v>
      </c>
      <c r="J34">
        <v>25357.202875610001</v>
      </c>
      <c r="K34">
        <v>84039.967124389994</v>
      </c>
      <c r="L34">
        <v>370401.79</v>
      </c>
      <c r="M34">
        <v>0</v>
      </c>
      <c r="N34">
        <v>479798.96</v>
      </c>
      <c r="O34" t="s">
        <v>2040</v>
      </c>
    </row>
    <row r="35" spans="1:15" x14ac:dyDescent="0.25">
      <c r="A35" t="s">
        <v>2121</v>
      </c>
      <c r="B35" t="s">
        <v>2122</v>
      </c>
      <c r="C35" t="s">
        <v>2123</v>
      </c>
      <c r="D35" t="s">
        <v>110</v>
      </c>
      <c r="E35" s="2">
        <v>43984</v>
      </c>
      <c r="F35" t="s">
        <v>18</v>
      </c>
      <c r="G35">
        <v>5000000</v>
      </c>
      <c r="H35" s="2">
        <v>44277</v>
      </c>
      <c r="I35">
        <v>2021</v>
      </c>
      <c r="J35">
        <v>2989.12692598885</v>
      </c>
      <c r="K35">
        <v>10558.733074011099</v>
      </c>
      <c r="L35">
        <v>76542.23</v>
      </c>
      <c r="M35">
        <v>0</v>
      </c>
      <c r="N35">
        <v>90090.09</v>
      </c>
      <c r="O35" t="s">
        <v>2078</v>
      </c>
    </row>
    <row r="36" spans="1:15" x14ac:dyDescent="0.25">
      <c r="A36" t="s">
        <v>1556</v>
      </c>
      <c r="B36" t="s">
        <v>2124</v>
      </c>
      <c r="C36" t="s">
        <v>2125</v>
      </c>
      <c r="D36" t="s">
        <v>110</v>
      </c>
      <c r="E36" s="2">
        <v>44217</v>
      </c>
      <c r="F36" t="s">
        <v>36</v>
      </c>
      <c r="G36">
        <v>4000000</v>
      </c>
      <c r="H36" s="2">
        <v>44378</v>
      </c>
      <c r="I36">
        <v>2021</v>
      </c>
      <c r="J36">
        <v>7618.24306191094</v>
      </c>
      <c r="K36">
        <v>30266.1669380891</v>
      </c>
      <c r="L36">
        <v>150513.79999999999</v>
      </c>
      <c r="M36">
        <v>0</v>
      </c>
      <c r="N36">
        <v>188398.21</v>
      </c>
      <c r="O36" t="s">
        <v>2126</v>
      </c>
    </row>
    <row r="37" spans="1:15" x14ac:dyDescent="0.25">
      <c r="A37" t="s">
        <v>1559</v>
      </c>
      <c r="B37" t="s">
        <v>2127</v>
      </c>
      <c r="C37" t="s">
        <v>2128</v>
      </c>
      <c r="D37" t="s">
        <v>110</v>
      </c>
      <c r="E37" s="2">
        <v>44040</v>
      </c>
      <c r="F37" t="s">
        <v>31</v>
      </c>
      <c r="G37">
        <v>1000000</v>
      </c>
      <c r="H37" s="2">
        <v>44359</v>
      </c>
      <c r="I37">
        <v>2021</v>
      </c>
      <c r="J37">
        <v>3699.3943097586098</v>
      </c>
      <c r="K37">
        <v>9808.05569024139</v>
      </c>
      <c r="L37">
        <v>105904.66</v>
      </c>
      <c r="M37">
        <v>0</v>
      </c>
      <c r="N37">
        <v>119412.11</v>
      </c>
      <c r="O37" t="s">
        <v>2129</v>
      </c>
    </row>
    <row r="38" spans="1:15" x14ac:dyDescent="0.25">
      <c r="A38" t="s">
        <v>1563</v>
      </c>
      <c r="B38" t="s">
        <v>2130</v>
      </c>
      <c r="C38" t="s">
        <v>2131</v>
      </c>
      <c r="D38" t="s">
        <v>110</v>
      </c>
      <c r="E38" s="2">
        <v>44134</v>
      </c>
      <c r="F38" t="s">
        <v>55</v>
      </c>
      <c r="G38">
        <v>2000000</v>
      </c>
      <c r="H38" s="2">
        <v>44394</v>
      </c>
      <c r="I38">
        <v>2021</v>
      </c>
      <c r="J38">
        <v>4440.21746909185</v>
      </c>
      <c r="K38">
        <v>13388.332530908199</v>
      </c>
      <c r="L38">
        <v>91787.24</v>
      </c>
      <c r="M38">
        <v>0</v>
      </c>
      <c r="N38">
        <v>109615.79</v>
      </c>
      <c r="O38" t="s">
        <v>2055</v>
      </c>
    </row>
    <row r="39" spans="1:15" x14ac:dyDescent="0.25">
      <c r="A39" t="s">
        <v>2132</v>
      </c>
      <c r="B39" t="s">
        <v>2133</v>
      </c>
      <c r="C39" t="s">
        <v>2134</v>
      </c>
      <c r="D39" t="s">
        <v>110</v>
      </c>
      <c r="E39" s="2">
        <v>44271</v>
      </c>
      <c r="F39" t="s">
        <v>18</v>
      </c>
      <c r="G39">
        <v>1000000</v>
      </c>
      <c r="H39" s="2">
        <v>44385</v>
      </c>
      <c r="I39">
        <v>2021</v>
      </c>
      <c r="J39">
        <v>7640.0894372447601</v>
      </c>
      <c r="K39">
        <v>17935.140562755201</v>
      </c>
      <c r="L39">
        <v>167680.39000000001</v>
      </c>
      <c r="M39">
        <v>0</v>
      </c>
      <c r="N39">
        <v>193255.62</v>
      </c>
      <c r="O39" t="s">
        <v>2036</v>
      </c>
    </row>
    <row r="40" spans="1:15" x14ac:dyDescent="0.25">
      <c r="A40" t="s">
        <v>2135</v>
      </c>
      <c r="B40" t="s">
        <v>2136</v>
      </c>
      <c r="C40" t="s">
        <v>2137</v>
      </c>
      <c r="D40" t="s">
        <v>110</v>
      </c>
      <c r="E40" s="2">
        <v>44147</v>
      </c>
      <c r="F40" t="s">
        <v>45</v>
      </c>
      <c r="G40">
        <v>5000000</v>
      </c>
      <c r="H40" s="2">
        <v>44348</v>
      </c>
      <c r="I40">
        <v>2021</v>
      </c>
      <c r="J40">
        <v>5509.0472097409602</v>
      </c>
      <c r="K40">
        <v>19638.572790259001</v>
      </c>
      <c r="L40">
        <v>191442.85</v>
      </c>
      <c r="M40">
        <v>0</v>
      </c>
      <c r="N40">
        <v>216590.47</v>
      </c>
      <c r="O40" t="s">
        <v>2110</v>
      </c>
    </row>
    <row r="41" spans="1:15" x14ac:dyDescent="0.25">
      <c r="A41" t="s">
        <v>2138</v>
      </c>
      <c r="B41" t="s">
        <v>2139</v>
      </c>
      <c r="C41" t="s">
        <v>2140</v>
      </c>
      <c r="D41" t="s">
        <v>110</v>
      </c>
      <c r="E41" s="2">
        <v>44300</v>
      </c>
      <c r="F41" t="s">
        <v>50</v>
      </c>
      <c r="G41">
        <v>10000000</v>
      </c>
      <c r="H41" s="2">
        <v>44390</v>
      </c>
      <c r="I41">
        <v>2021</v>
      </c>
      <c r="J41">
        <v>5228.4344867785603</v>
      </c>
      <c r="K41">
        <v>16437.1455132214</v>
      </c>
      <c r="L41">
        <v>132787.14000000001</v>
      </c>
      <c r="M41">
        <v>0</v>
      </c>
      <c r="N41">
        <v>154452.72</v>
      </c>
      <c r="O41" t="s">
        <v>233</v>
      </c>
    </row>
    <row r="42" spans="1:15" x14ac:dyDescent="0.25">
      <c r="A42" t="s">
        <v>2141</v>
      </c>
      <c r="B42" t="s">
        <v>2142</v>
      </c>
      <c r="C42" t="s">
        <v>2143</v>
      </c>
      <c r="D42" t="s">
        <v>110</v>
      </c>
      <c r="E42" s="2">
        <v>44364</v>
      </c>
      <c r="F42" t="s">
        <v>36</v>
      </c>
      <c r="G42">
        <v>2000000</v>
      </c>
      <c r="H42" s="2">
        <v>44366</v>
      </c>
      <c r="I42">
        <v>2021</v>
      </c>
      <c r="J42">
        <v>6344.7493007281</v>
      </c>
      <c r="K42">
        <v>16363.0606992719</v>
      </c>
      <c r="L42">
        <v>173326.95</v>
      </c>
      <c r="M42">
        <v>0</v>
      </c>
      <c r="N42">
        <v>196034.76</v>
      </c>
      <c r="O42" t="s">
        <v>2036</v>
      </c>
    </row>
    <row r="43" spans="1:15" x14ac:dyDescent="0.25">
      <c r="A43" t="s">
        <v>1569</v>
      </c>
      <c r="B43" t="s">
        <v>2144</v>
      </c>
      <c r="C43" t="s">
        <v>2145</v>
      </c>
      <c r="D43" t="s">
        <v>110</v>
      </c>
      <c r="E43" s="2">
        <v>44231</v>
      </c>
      <c r="F43" t="s">
        <v>50</v>
      </c>
      <c r="G43">
        <v>1000000</v>
      </c>
      <c r="H43" s="2">
        <v>44384</v>
      </c>
      <c r="I43">
        <v>2021</v>
      </c>
      <c r="J43">
        <v>6043.5788756552602</v>
      </c>
      <c r="K43">
        <v>18387.0511243447</v>
      </c>
      <c r="L43">
        <v>107311.16</v>
      </c>
      <c r="M43">
        <v>0</v>
      </c>
      <c r="N43">
        <v>131741.79</v>
      </c>
      <c r="O43" t="s">
        <v>2129</v>
      </c>
    </row>
    <row r="44" spans="1:15" x14ac:dyDescent="0.25">
      <c r="A44" t="s">
        <v>2146</v>
      </c>
      <c r="B44" t="s">
        <v>2147</v>
      </c>
      <c r="C44" t="s">
        <v>2148</v>
      </c>
      <c r="D44" t="s">
        <v>110</v>
      </c>
      <c r="E44" s="2">
        <v>44105</v>
      </c>
      <c r="F44" t="s">
        <v>24</v>
      </c>
      <c r="G44">
        <v>3000000</v>
      </c>
      <c r="H44" s="2">
        <v>44395</v>
      </c>
      <c r="I44">
        <v>2021</v>
      </c>
      <c r="J44">
        <v>10050.3226941539</v>
      </c>
      <c r="K44">
        <v>24070.847305846099</v>
      </c>
      <c r="L44">
        <v>195879.55</v>
      </c>
      <c r="M44">
        <v>0</v>
      </c>
      <c r="N44">
        <v>230000.72</v>
      </c>
      <c r="O44" t="s">
        <v>2110</v>
      </c>
    </row>
    <row r="45" spans="1:15" x14ac:dyDescent="0.25">
      <c r="A45" t="s">
        <v>2149</v>
      </c>
      <c r="B45" t="s">
        <v>2150</v>
      </c>
      <c r="C45" t="s">
        <v>2151</v>
      </c>
      <c r="D45" t="s">
        <v>110</v>
      </c>
      <c r="E45" s="2">
        <v>44018</v>
      </c>
      <c r="F45" t="s">
        <v>13</v>
      </c>
      <c r="G45">
        <v>5000000</v>
      </c>
      <c r="H45" s="2">
        <v>44364</v>
      </c>
      <c r="I45">
        <v>2021</v>
      </c>
      <c r="J45">
        <v>144891.162427145</v>
      </c>
      <c r="K45">
        <v>344910.837572855</v>
      </c>
      <c r="L45">
        <v>1670717.54</v>
      </c>
      <c r="M45">
        <v>0</v>
      </c>
      <c r="N45">
        <v>2160519.54</v>
      </c>
      <c r="O45" t="s">
        <v>2114</v>
      </c>
    </row>
    <row r="46" spans="1:15" x14ac:dyDescent="0.25">
      <c r="A46" t="s">
        <v>1575</v>
      </c>
      <c r="B46" t="s">
        <v>2152</v>
      </c>
      <c r="C46" t="s">
        <v>2153</v>
      </c>
      <c r="D46" t="s">
        <v>110</v>
      </c>
      <c r="E46" s="2">
        <v>43843</v>
      </c>
      <c r="F46" t="s">
        <v>27</v>
      </c>
      <c r="G46">
        <v>5000000</v>
      </c>
      <c r="H46" s="2">
        <v>44179</v>
      </c>
      <c r="I46">
        <v>2020</v>
      </c>
      <c r="J46">
        <v>4741.0186698222597</v>
      </c>
      <c r="K46">
        <v>14828.5213301777</v>
      </c>
      <c r="L46">
        <v>150857.4</v>
      </c>
      <c r="M46">
        <v>0</v>
      </c>
      <c r="N46">
        <v>170426.94</v>
      </c>
      <c r="O46" t="s">
        <v>2126</v>
      </c>
    </row>
    <row r="47" spans="1:15" x14ac:dyDescent="0.25">
      <c r="A47" t="s">
        <v>2154</v>
      </c>
      <c r="B47" t="s">
        <v>2155</v>
      </c>
      <c r="C47" t="s">
        <v>2156</v>
      </c>
      <c r="D47" t="s">
        <v>110</v>
      </c>
      <c r="E47" s="2">
        <v>44092</v>
      </c>
      <c r="F47" t="s">
        <v>41</v>
      </c>
      <c r="G47">
        <v>1000000</v>
      </c>
      <c r="H47" s="2">
        <v>44391</v>
      </c>
      <c r="I47">
        <v>2021</v>
      </c>
      <c r="J47">
        <v>14938.195366526499</v>
      </c>
      <c r="K47">
        <v>39186.194633473497</v>
      </c>
      <c r="L47">
        <v>515092.27</v>
      </c>
      <c r="M47">
        <v>0</v>
      </c>
      <c r="N47">
        <v>569216.66</v>
      </c>
      <c r="O47" t="s">
        <v>2157</v>
      </c>
    </row>
    <row r="48" spans="1:15" x14ac:dyDescent="0.25">
      <c r="A48" t="s">
        <v>1579</v>
      </c>
      <c r="B48" t="s">
        <v>2158</v>
      </c>
      <c r="C48" t="s">
        <v>2159</v>
      </c>
      <c r="D48" t="s">
        <v>110</v>
      </c>
      <c r="E48" s="2">
        <v>44062</v>
      </c>
      <c r="F48" t="s">
        <v>18</v>
      </c>
      <c r="G48">
        <v>5000000</v>
      </c>
      <c r="H48" s="2">
        <v>44405</v>
      </c>
      <c r="I48">
        <v>2021</v>
      </c>
      <c r="J48">
        <v>4341.26447668542</v>
      </c>
      <c r="K48">
        <v>12716.2855233146</v>
      </c>
      <c r="L48">
        <v>70211.38</v>
      </c>
      <c r="M48">
        <v>0</v>
      </c>
      <c r="N48">
        <v>87268.93</v>
      </c>
      <c r="O48" t="s">
        <v>2086</v>
      </c>
    </row>
    <row r="49" spans="1:15" x14ac:dyDescent="0.25">
      <c r="A49" t="s">
        <v>2160</v>
      </c>
      <c r="B49" t="s">
        <v>2161</v>
      </c>
      <c r="C49" t="s">
        <v>2162</v>
      </c>
      <c r="D49" t="s">
        <v>110</v>
      </c>
      <c r="E49" s="2">
        <v>44196</v>
      </c>
      <c r="F49" t="s">
        <v>21</v>
      </c>
      <c r="G49">
        <v>1000000</v>
      </c>
      <c r="H49" s="2">
        <v>44431</v>
      </c>
      <c r="I49">
        <v>2021</v>
      </c>
      <c r="J49">
        <v>11043.6851843149</v>
      </c>
      <c r="K49">
        <v>34705.934815685097</v>
      </c>
      <c r="L49">
        <v>216778.08</v>
      </c>
      <c r="M49">
        <v>0</v>
      </c>
      <c r="N49">
        <v>262527.7</v>
      </c>
      <c r="O49" t="s">
        <v>2051</v>
      </c>
    </row>
    <row r="50" spans="1:15" x14ac:dyDescent="0.25">
      <c r="A50" t="s">
        <v>2163</v>
      </c>
      <c r="B50" t="s">
        <v>2164</v>
      </c>
      <c r="C50" t="s">
        <v>2165</v>
      </c>
      <c r="D50" t="s">
        <v>110</v>
      </c>
      <c r="E50" s="2">
        <v>44405</v>
      </c>
      <c r="F50" t="s">
        <v>25</v>
      </c>
      <c r="G50">
        <v>1000000</v>
      </c>
      <c r="H50" s="2">
        <v>44428</v>
      </c>
      <c r="I50">
        <v>2021</v>
      </c>
      <c r="J50">
        <v>1566.09641990625</v>
      </c>
      <c r="K50">
        <v>6244.8435800937496</v>
      </c>
      <c r="L50">
        <v>51977.09</v>
      </c>
      <c r="M50">
        <v>0</v>
      </c>
      <c r="N50">
        <v>59788.03</v>
      </c>
      <c r="O50" t="s">
        <v>2166</v>
      </c>
    </row>
    <row r="51" spans="1:15" x14ac:dyDescent="0.25">
      <c r="A51" t="s">
        <v>2167</v>
      </c>
      <c r="B51" t="s">
        <v>2168</v>
      </c>
      <c r="C51" t="s">
        <v>2169</v>
      </c>
      <c r="D51" t="s">
        <v>110</v>
      </c>
      <c r="E51" s="2">
        <v>44225</v>
      </c>
      <c r="F51" t="s">
        <v>12</v>
      </c>
      <c r="G51">
        <v>10000000</v>
      </c>
      <c r="H51" s="2">
        <v>44289</v>
      </c>
      <c r="I51">
        <v>2021</v>
      </c>
      <c r="J51">
        <v>65242.627639516802</v>
      </c>
      <c r="K51">
        <v>220411.072360483</v>
      </c>
      <c r="L51">
        <v>1408082.82</v>
      </c>
      <c r="M51">
        <v>0</v>
      </c>
      <c r="N51">
        <v>1693736.52</v>
      </c>
      <c r="O51" t="s">
        <v>2114</v>
      </c>
    </row>
    <row r="52" spans="1:15" x14ac:dyDescent="0.25">
      <c r="A52" t="s">
        <v>2170</v>
      </c>
      <c r="B52" t="s">
        <v>2171</v>
      </c>
      <c r="C52" t="s">
        <v>2172</v>
      </c>
      <c r="D52" t="s">
        <v>110</v>
      </c>
      <c r="E52" s="2">
        <v>44331</v>
      </c>
      <c r="F52" t="s">
        <v>38</v>
      </c>
      <c r="G52">
        <v>1000000</v>
      </c>
      <c r="H52" s="2">
        <v>44450</v>
      </c>
      <c r="I52">
        <v>2021</v>
      </c>
      <c r="J52">
        <v>3491.6475556857699</v>
      </c>
      <c r="K52">
        <v>10077.332444314199</v>
      </c>
      <c r="L52">
        <v>72086.42</v>
      </c>
      <c r="M52">
        <v>0</v>
      </c>
      <c r="N52">
        <v>85655.4</v>
      </c>
      <c r="O52" t="s">
        <v>2078</v>
      </c>
    </row>
    <row r="53" spans="1:15" x14ac:dyDescent="0.25">
      <c r="A53" t="s">
        <v>2173</v>
      </c>
      <c r="B53" t="s">
        <v>2174</v>
      </c>
      <c r="C53" t="s">
        <v>2175</v>
      </c>
      <c r="D53" t="s">
        <v>110</v>
      </c>
      <c r="E53" s="2">
        <v>44340</v>
      </c>
      <c r="F53" t="s">
        <v>12</v>
      </c>
      <c r="G53">
        <v>5000000</v>
      </c>
      <c r="H53" s="2">
        <v>44427</v>
      </c>
      <c r="I53">
        <v>2021</v>
      </c>
      <c r="J53">
        <v>117294.3219426</v>
      </c>
      <c r="K53">
        <v>322985.37805740099</v>
      </c>
      <c r="L53">
        <v>2147096.75</v>
      </c>
      <c r="M53">
        <v>0</v>
      </c>
      <c r="N53">
        <v>2587376.4500000002</v>
      </c>
      <c r="O53" t="s">
        <v>2176</v>
      </c>
    </row>
    <row r="54" spans="1:15" x14ac:dyDescent="0.25">
      <c r="A54" t="s">
        <v>2177</v>
      </c>
      <c r="B54" t="s">
        <v>2178</v>
      </c>
      <c r="C54" t="s">
        <v>2179</v>
      </c>
      <c r="D54" t="s">
        <v>110</v>
      </c>
      <c r="E54" s="2">
        <v>44267</v>
      </c>
      <c r="F54" t="s">
        <v>42</v>
      </c>
      <c r="G54">
        <v>10000000</v>
      </c>
      <c r="H54" s="2">
        <v>44471</v>
      </c>
      <c r="I54">
        <v>2021</v>
      </c>
      <c r="J54">
        <v>73566.138402880693</v>
      </c>
      <c r="K54">
        <v>179226.061597119</v>
      </c>
      <c r="L54">
        <v>929485.51</v>
      </c>
      <c r="M54">
        <v>0</v>
      </c>
      <c r="N54">
        <v>1182277.71</v>
      </c>
      <c r="O54" t="s">
        <v>2114</v>
      </c>
    </row>
    <row r="55" spans="1:15" x14ac:dyDescent="0.25">
      <c r="A55" t="s">
        <v>1582</v>
      </c>
      <c r="B55" t="s">
        <v>2180</v>
      </c>
      <c r="C55" t="s">
        <v>2181</v>
      </c>
      <c r="D55" t="s">
        <v>110</v>
      </c>
      <c r="E55" s="2">
        <v>44134</v>
      </c>
      <c r="F55" t="s">
        <v>21</v>
      </c>
      <c r="G55">
        <v>5000000</v>
      </c>
      <c r="H55" s="2">
        <v>44456</v>
      </c>
      <c r="I55">
        <v>2021</v>
      </c>
      <c r="J55">
        <v>4354.8317547740498</v>
      </c>
      <c r="K55">
        <v>16959.338245225899</v>
      </c>
      <c r="L55">
        <v>77216.23</v>
      </c>
      <c r="M55">
        <v>0</v>
      </c>
      <c r="N55">
        <v>98530.4</v>
      </c>
      <c r="O55" t="s">
        <v>2097</v>
      </c>
    </row>
    <row r="56" spans="1:15" x14ac:dyDescent="0.25">
      <c r="A56" t="s">
        <v>1585</v>
      </c>
      <c r="B56" t="s">
        <v>2182</v>
      </c>
      <c r="C56" t="s">
        <v>2183</v>
      </c>
      <c r="D56" t="s">
        <v>110</v>
      </c>
      <c r="E56" s="2">
        <v>44109</v>
      </c>
      <c r="F56" t="s">
        <v>42</v>
      </c>
      <c r="G56">
        <v>5000000</v>
      </c>
      <c r="H56" s="2">
        <v>44453</v>
      </c>
      <c r="I56">
        <v>2021</v>
      </c>
      <c r="J56">
        <v>3529.0509103030699</v>
      </c>
      <c r="K56">
        <v>9643.4890896969391</v>
      </c>
      <c r="L56">
        <v>87720.639999999999</v>
      </c>
      <c r="M56">
        <v>0</v>
      </c>
      <c r="N56">
        <v>100893.18</v>
      </c>
      <c r="O56" t="s">
        <v>2094</v>
      </c>
    </row>
    <row r="57" spans="1:15" x14ac:dyDescent="0.25">
      <c r="A57" t="s">
        <v>2184</v>
      </c>
      <c r="B57" t="s">
        <v>2185</v>
      </c>
      <c r="C57" t="s">
        <v>2186</v>
      </c>
      <c r="D57" t="s">
        <v>110</v>
      </c>
      <c r="E57" s="2">
        <v>44133</v>
      </c>
      <c r="F57" t="s">
        <v>40</v>
      </c>
      <c r="G57">
        <v>5000000</v>
      </c>
      <c r="H57" s="2">
        <v>44452</v>
      </c>
      <c r="I57">
        <v>2021</v>
      </c>
      <c r="J57">
        <v>4474.8460708897301</v>
      </c>
      <c r="K57">
        <v>15569.543929110299</v>
      </c>
      <c r="L57">
        <v>90108.91</v>
      </c>
      <c r="M57">
        <v>0</v>
      </c>
      <c r="N57">
        <v>110153.3</v>
      </c>
      <c r="O57" t="s">
        <v>2055</v>
      </c>
    </row>
    <row r="58" spans="1:15" x14ac:dyDescent="0.25">
      <c r="A58" t="s">
        <v>2187</v>
      </c>
      <c r="B58" t="s">
        <v>2188</v>
      </c>
      <c r="C58" t="s">
        <v>2189</v>
      </c>
      <c r="D58" t="s">
        <v>110</v>
      </c>
      <c r="E58" s="2">
        <v>44117</v>
      </c>
      <c r="F58" t="s">
        <v>42</v>
      </c>
      <c r="G58">
        <v>1000000</v>
      </c>
      <c r="H58" s="2">
        <v>44440</v>
      </c>
      <c r="I58">
        <v>2021</v>
      </c>
      <c r="J58">
        <v>4454.3623891576899</v>
      </c>
      <c r="K58">
        <v>13669.227610842299</v>
      </c>
      <c r="L58">
        <v>90470.64</v>
      </c>
      <c r="M58">
        <v>0</v>
      </c>
      <c r="N58">
        <v>108594.23</v>
      </c>
      <c r="O58" t="s">
        <v>2055</v>
      </c>
    </row>
    <row r="59" spans="1:15" x14ac:dyDescent="0.25">
      <c r="A59" t="s">
        <v>1594</v>
      </c>
      <c r="B59" t="s">
        <v>2190</v>
      </c>
      <c r="C59" t="s">
        <v>2191</v>
      </c>
      <c r="D59" t="s">
        <v>110</v>
      </c>
      <c r="E59" s="2">
        <v>44210</v>
      </c>
      <c r="F59" t="s">
        <v>12</v>
      </c>
      <c r="G59">
        <v>1000000</v>
      </c>
      <c r="H59" s="2">
        <v>44484</v>
      </c>
      <c r="I59">
        <v>2021</v>
      </c>
      <c r="J59">
        <v>7054.0296840847304</v>
      </c>
      <c r="K59">
        <v>16623.9903159153</v>
      </c>
      <c r="L59">
        <v>115630.52</v>
      </c>
      <c r="M59">
        <v>0</v>
      </c>
      <c r="N59">
        <v>139308.54</v>
      </c>
      <c r="O59" t="s">
        <v>2065</v>
      </c>
    </row>
    <row r="60" spans="1:15" x14ac:dyDescent="0.25">
      <c r="A60" t="s">
        <v>2192</v>
      </c>
      <c r="B60" t="s">
        <v>2193</v>
      </c>
      <c r="C60" t="s">
        <v>2183</v>
      </c>
      <c r="D60" t="s">
        <v>110</v>
      </c>
      <c r="E60" s="2">
        <v>44474</v>
      </c>
      <c r="F60" t="s">
        <v>42</v>
      </c>
      <c r="G60">
        <v>5000000</v>
      </c>
      <c r="H60" s="2">
        <v>44490</v>
      </c>
      <c r="I60">
        <v>2021</v>
      </c>
      <c r="J60">
        <v>124214.325067842</v>
      </c>
      <c r="K60">
        <v>352423.94493215799</v>
      </c>
      <c r="L60">
        <v>1982131.79</v>
      </c>
      <c r="M60">
        <v>0</v>
      </c>
      <c r="N60">
        <v>2458770.06</v>
      </c>
      <c r="O60" t="s">
        <v>2176</v>
      </c>
    </row>
    <row r="61" spans="1:15" x14ac:dyDescent="0.25">
      <c r="A61" t="s">
        <v>1597</v>
      </c>
      <c r="B61" t="s">
        <v>2194</v>
      </c>
      <c r="C61" t="s">
        <v>2195</v>
      </c>
      <c r="D61" t="s">
        <v>734</v>
      </c>
      <c r="E61" s="2">
        <v>44298</v>
      </c>
      <c r="F61" t="s">
        <v>17</v>
      </c>
      <c r="G61">
        <v>10000000</v>
      </c>
      <c r="H61" s="2">
        <v>44451</v>
      </c>
      <c r="I61">
        <v>2021</v>
      </c>
      <c r="J61">
        <v>18645.629518931401</v>
      </c>
      <c r="K61">
        <v>51839.620481068603</v>
      </c>
      <c r="L61">
        <v>295027.59000000003</v>
      </c>
      <c r="M61">
        <v>18618.13</v>
      </c>
      <c r="N61">
        <v>384130.97</v>
      </c>
      <c r="O61" t="s">
        <v>179</v>
      </c>
    </row>
    <row r="62" spans="1:15" x14ac:dyDescent="0.25">
      <c r="A62" t="s">
        <v>1603</v>
      </c>
      <c r="B62" t="s">
        <v>2196</v>
      </c>
      <c r="C62" t="s">
        <v>2197</v>
      </c>
      <c r="D62" t="s">
        <v>110</v>
      </c>
      <c r="E62" s="2">
        <v>44094</v>
      </c>
      <c r="F62" t="s">
        <v>12</v>
      </c>
      <c r="G62">
        <v>5000000</v>
      </c>
      <c r="H62" s="2">
        <v>44441</v>
      </c>
      <c r="I62">
        <v>2021</v>
      </c>
      <c r="J62">
        <v>18547.304656522501</v>
      </c>
      <c r="K62">
        <v>52134.4853434775</v>
      </c>
      <c r="L62">
        <v>427730.19</v>
      </c>
      <c r="M62">
        <v>0</v>
      </c>
      <c r="N62">
        <v>498411.98</v>
      </c>
      <c r="O62" t="s">
        <v>2040</v>
      </c>
    </row>
    <row r="63" spans="1:15" x14ac:dyDescent="0.25">
      <c r="A63" t="s">
        <v>1606</v>
      </c>
      <c r="B63" t="s">
        <v>2198</v>
      </c>
      <c r="C63" t="s">
        <v>2199</v>
      </c>
      <c r="D63" t="s">
        <v>110</v>
      </c>
      <c r="E63" s="2">
        <v>44137</v>
      </c>
      <c r="F63" t="s">
        <v>12</v>
      </c>
      <c r="G63">
        <v>1000000</v>
      </c>
      <c r="H63" s="2">
        <v>44483</v>
      </c>
      <c r="I63">
        <v>2021</v>
      </c>
      <c r="J63">
        <v>3223.8046466932001</v>
      </c>
      <c r="K63">
        <v>12011.2353533068</v>
      </c>
      <c r="L63">
        <v>55585.78</v>
      </c>
      <c r="M63">
        <v>0</v>
      </c>
      <c r="N63">
        <v>70820.820000000007</v>
      </c>
      <c r="O63" t="s">
        <v>2101</v>
      </c>
    </row>
    <row r="64" spans="1:15" x14ac:dyDescent="0.25">
      <c r="A64" t="s">
        <v>2200</v>
      </c>
      <c r="B64" t="s">
        <v>2201</v>
      </c>
      <c r="C64" t="s">
        <v>2202</v>
      </c>
      <c r="D64" t="s">
        <v>110</v>
      </c>
      <c r="E64" s="2">
        <v>44139</v>
      </c>
      <c r="F64" t="s">
        <v>19</v>
      </c>
      <c r="G64">
        <v>5000000</v>
      </c>
      <c r="H64" s="2">
        <v>44471</v>
      </c>
      <c r="I64">
        <v>2021</v>
      </c>
      <c r="J64">
        <v>7638.8319822247704</v>
      </c>
      <c r="K64">
        <v>26520.4980177752</v>
      </c>
      <c r="L64">
        <v>283447.40999999997</v>
      </c>
      <c r="M64">
        <v>0</v>
      </c>
      <c r="N64">
        <v>317606.74</v>
      </c>
      <c r="O64" t="s">
        <v>179</v>
      </c>
    </row>
    <row r="65" spans="1:15" x14ac:dyDescent="0.25">
      <c r="A65" t="s">
        <v>1612</v>
      </c>
      <c r="B65" t="s">
        <v>2203</v>
      </c>
      <c r="C65" t="s">
        <v>2204</v>
      </c>
      <c r="D65" t="s">
        <v>110</v>
      </c>
      <c r="E65" s="2">
        <v>44340</v>
      </c>
      <c r="F65" t="s">
        <v>41</v>
      </c>
      <c r="G65">
        <v>2000000</v>
      </c>
      <c r="H65" s="2">
        <v>44445</v>
      </c>
      <c r="I65">
        <v>2021</v>
      </c>
      <c r="J65">
        <v>4882.8097119244603</v>
      </c>
      <c r="K65">
        <v>15073.6502880755</v>
      </c>
      <c r="L65">
        <v>77495.899999999994</v>
      </c>
      <c r="M65">
        <v>0</v>
      </c>
      <c r="N65">
        <v>97452.36</v>
      </c>
      <c r="O65" t="s">
        <v>2097</v>
      </c>
    </row>
    <row r="66" spans="1:15" x14ac:dyDescent="0.25">
      <c r="A66" t="s">
        <v>1621</v>
      </c>
      <c r="B66" t="s">
        <v>2205</v>
      </c>
      <c r="C66" t="s">
        <v>2206</v>
      </c>
      <c r="D66" t="s">
        <v>110</v>
      </c>
      <c r="E66" s="2">
        <v>43886</v>
      </c>
      <c r="F66" t="s">
        <v>27</v>
      </c>
      <c r="G66">
        <v>1000000</v>
      </c>
      <c r="H66" s="2">
        <v>44070</v>
      </c>
      <c r="I66">
        <v>2020</v>
      </c>
      <c r="J66">
        <v>2521.28393427215</v>
      </c>
      <c r="K66">
        <v>6504.50606572785</v>
      </c>
      <c r="L66">
        <v>50602.57</v>
      </c>
      <c r="M66">
        <v>0</v>
      </c>
      <c r="N66">
        <v>59628.36</v>
      </c>
      <c r="O66" t="s">
        <v>2166</v>
      </c>
    </row>
    <row r="67" spans="1:15" x14ac:dyDescent="0.25">
      <c r="A67" t="s">
        <v>2207</v>
      </c>
      <c r="B67" t="s">
        <v>2208</v>
      </c>
      <c r="C67" t="s">
        <v>2209</v>
      </c>
      <c r="D67" t="s">
        <v>110</v>
      </c>
      <c r="E67" s="2">
        <v>44223</v>
      </c>
      <c r="F67" t="s">
        <v>45</v>
      </c>
      <c r="G67">
        <v>10000000</v>
      </c>
      <c r="H67" s="2">
        <v>44467</v>
      </c>
      <c r="I67">
        <v>2021</v>
      </c>
      <c r="J67">
        <v>30633.561833485899</v>
      </c>
      <c r="K67">
        <v>91333.558166514107</v>
      </c>
      <c r="L67">
        <v>435975.3</v>
      </c>
      <c r="M67">
        <v>0</v>
      </c>
      <c r="N67">
        <v>557942.42000000004</v>
      </c>
      <c r="O67" t="s">
        <v>2157</v>
      </c>
    </row>
    <row r="68" spans="1:15" x14ac:dyDescent="0.25">
      <c r="A68" t="s">
        <v>2210</v>
      </c>
      <c r="B68" t="s">
        <v>2211</v>
      </c>
      <c r="C68" t="s">
        <v>2212</v>
      </c>
      <c r="D68" t="s">
        <v>110</v>
      </c>
      <c r="E68" s="2">
        <v>44455</v>
      </c>
      <c r="F68" t="s">
        <v>52</v>
      </c>
      <c r="G68">
        <v>5000000</v>
      </c>
      <c r="H68" s="2">
        <v>44459</v>
      </c>
      <c r="I68">
        <v>2021</v>
      </c>
      <c r="J68">
        <v>2518.7236999627498</v>
      </c>
      <c r="K68">
        <v>8183.16630003725</v>
      </c>
      <c r="L68">
        <v>82003.740000000005</v>
      </c>
      <c r="M68">
        <v>0</v>
      </c>
      <c r="N68">
        <v>92705.63</v>
      </c>
      <c r="O68" t="s">
        <v>2097</v>
      </c>
    </row>
    <row r="69" spans="1:15" x14ac:dyDescent="0.25">
      <c r="A69" t="s">
        <v>2213</v>
      </c>
      <c r="B69" t="s">
        <v>2214</v>
      </c>
      <c r="C69" t="s">
        <v>2215</v>
      </c>
      <c r="D69" t="s">
        <v>110</v>
      </c>
      <c r="E69" s="2">
        <v>44235</v>
      </c>
      <c r="F69" t="s">
        <v>29</v>
      </c>
      <c r="G69">
        <v>5000000</v>
      </c>
      <c r="H69" s="2">
        <v>44248</v>
      </c>
      <c r="I69">
        <v>2021</v>
      </c>
      <c r="J69">
        <v>12530.846201468201</v>
      </c>
      <c r="K69">
        <v>50112.863798531798</v>
      </c>
      <c r="L69">
        <v>247535.48</v>
      </c>
      <c r="M69">
        <v>0</v>
      </c>
      <c r="N69">
        <v>310179.19</v>
      </c>
      <c r="O69" t="s">
        <v>2074</v>
      </c>
    </row>
    <row r="70" spans="1:15" x14ac:dyDescent="0.25">
      <c r="A70" t="s">
        <v>1630</v>
      </c>
      <c r="B70" t="s">
        <v>2216</v>
      </c>
      <c r="C70" t="s">
        <v>2217</v>
      </c>
      <c r="D70" t="s">
        <v>110</v>
      </c>
      <c r="E70" s="2">
        <v>44372</v>
      </c>
      <c r="F70" t="s">
        <v>45</v>
      </c>
      <c r="G70">
        <v>2000000</v>
      </c>
      <c r="H70" s="2">
        <v>44523</v>
      </c>
      <c r="I70">
        <v>2021</v>
      </c>
      <c r="J70">
        <v>5161.4313142270903</v>
      </c>
      <c r="K70">
        <v>17642.2586857729</v>
      </c>
      <c r="L70">
        <v>94834.22</v>
      </c>
      <c r="M70">
        <v>0</v>
      </c>
      <c r="N70">
        <v>117637.91</v>
      </c>
      <c r="O70" t="s">
        <v>2055</v>
      </c>
    </row>
    <row r="71" spans="1:15" x14ac:dyDescent="0.25">
      <c r="A71" t="s">
        <v>2218</v>
      </c>
      <c r="B71" t="s">
        <v>2219</v>
      </c>
      <c r="C71" t="s">
        <v>2220</v>
      </c>
      <c r="D71" t="s">
        <v>110</v>
      </c>
      <c r="E71" s="2">
        <v>44296</v>
      </c>
      <c r="F71" t="s">
        <v>29</v>
      </c>
      <c r="G71">
        <v>5000000</v>
      </c>
      <c r="H71" s="2">
        <v>44428</v>
      </c>
      <c r="I71">
        <v>2021</v>
      </c>
      <c r="J71">
        <v>7325.8590302009097</v>
      </c>
      <c r="K71">
        <v>23448.840969799101</v>
      </c>
      <c r="L71">
        <v>111167.76</v>
      </c>
      <c r="M71">
        <v>0</v>
      </c>
      <c r="N71">
        <v>141942.46</v>
      </c>
      <c r="O71" t="s">
        <v>2065</v>
      </c>
    </row>
    <row r="72" spans="1:15" x14ac:dyDescent="0.25">
      <c r="A72" t="s">
        <v>2221</v>
      </c>
      <c r="B72" t="s">
        <v>2222</v>
      </c>
      <c r="C72" t="s">
        <v>2223</v>
      </c>
      <c r="D72" t="s">
        <v>110</v>
      </c>
      <c r="E72" s="2">
        <v>44450</v>
      </c>
      <c r="F72" t="s">
        <v>29</v>
      </c>
      <c r="G72">
        <v>5000000</v>
      </c>
      <c r="H72" s="2">
        <v>44453</v>
      </c>
      <c r="I72">
        <v>2021</v>
      </c>
      <c r="J72">
        <v>3541.9060409581102</v>
      </c>
      <c r="K72">
        <v>11334.9339590419</v>
      </c>
      <c r="L72">
        <v>100097.47</v>
      </c>
      <c r="M72">
        <v>0</v>
      </c>
      <c r="N72">
        <v>114974.31</v>
      </c>
      <c r="O72" t="s">
        <v>2059</v>
      </c>
    </row>
    <row r="73" spans="1:15" x14ac:dyDescent="0.25">
      <c r="A73" t="s">
        <v>2224</v>
      </c>
      <c r="B73" t="s">
        <v>2225</v>
      </c>
      <c r="C73" t="s">
        <v>2226</v>
      </c>
      <c r="D73" t="s">
        <v>110</v>
      </c>
      <c r="E73" s="2">
        <v>44352</v>
      </c>
      <c r="F73" t="s">
        <v>31</v>
      </c>
      <c r="G73">
        <v>2000000</v>
      </c>
      <c r="H73" s="2">
        <v>44500</v>
      </c>
      <c r="I73">
        <v>2021</v>
      </c>
      <c r="J73">
        <v>3504.58000908647</v>
      </c>
      <c r="K73">
        <v>9034.8499909135298</v>
      </c>
      <c r="L73">
        <v>86617.74</v>
      </c>
      <c r="M73">
        <v>0</v>
      </c>
      <c r="N73">
        <v>99157.17</v>
      </c>
      <c r="O73" t="s">
        <v>2094</v>
      </c>
    </row>
    <row r="74" spans="1:15" x14ac:dyDescent="0.25">
      <c r="A74" t="s">
        <v>2227</v>
      </c>
      <c r="B74" t="s">
        <v>2228</v>
      </c>
      <c r="C74" t="s">
        <v>2229</v>
      </c>
      <c r="D74" t="s">
        <v>110</v>
      </c>
      <c r="E74" s="2">
        <v>44335</v>
      </c>
      <c r="F74" t="s">
        <v>22</v>
      </c>
      <c r="G74">
        <v>1000000</v>
      </c>
      <c r="H74" s="2">
        <v>44509</v>
      </c>
      <c r="I74">
        <v>2021</v>
      </c>
      <c r="J74">
        <v>15341.291980718799</v>
      </c>
      <c r="K74">
        <v>37756.578019281202</v>
      </c>
      <c r="L74">
        <v>186407.06</v>
      </c>
      <c r="M74">
        <v>0</v>
      </c>
      <c r="N74">
        <v>239504.93</v>
      </c>
      <c r="O74" t="s">
        <v>2230</v>
      </c>
    </row>
    <row r="75" spans="1:15" x14ac:dyDescent="0.25">
      <c r="A75" t="s">
        <v>2231</v>
      </c>
      <c r="B75" t="s">
        <v>2232</v>
      </c>
      <c r="C75" t="s">
        <v>2233</v>
      </c>
      <c r="D75" t="s">
        <v>110</v>
      </c>
      <c r="E75" s="2">
        <v>44492</v>
      </c>
      <c r="F75" t="s">
        <v>18</v>
      </c>
      <c r="G75">
        <v>1000000</v>
      </c>
      <c r="H75" s="2">
        <v>44530</v>
      </c>
      <c r="I75">
        <v>2021</v>
      </c>
      <c r="J75">
        <v>5132.8565320125099</v>
      </c>
      <c r="K75">
        <v>13190.7234679875</v>
      </c>
      <c r="L75">
        <v>95387.09</v>
      </c>
      <c r="M75">
        <v>0</v>
      </c>
      <c r="N75">
        <v>113710.67</v>
      </c>
      <c r="O75" t="s">
        <v>2055</v>
      </c>
    </row>
    <row r="76" spans="1:15" x14ac:dyDescent="0.25">
      <c r="A76" t="s">
        <v>2234</v>
      </c>
      <c r="B76" t="s">
        <v>2235</v>
      </c>
      <c r="C76" t="s">
        <v>2236</v>
      </c>
      <c r="D76" t="s">
        <v>110</v>
      </c>
      <c r="E76" s="2">
        <v>44380</v>
      </c>
      <c r="F76" t="s">
        <v>17</v>
      </c>
      <c r="G76">
        <v>4000000</v>
      </c>
      <c r="H76" s="2">
        <v>44474</v>
      </c>
      <c r="I76">
        <v>2021</v>
      </c>
      <c r="J76">
        <v>8981.58446877811</v>
      </c>
      <c r="K76">
        <v>23627.865531221902</v>
      </c>
      <c r="L76">
        <v>231125.98</v>
      </c>
      <c r="M76">
        <v>0</v>
      </c>
      <c r="N76">
        <v>263735.43</v>
      </c>
      <c r="O76" t="s">
        <v>2074</v>
      </c>
    </row>
    <row r="77" spans="1:15" x14ac:dyDescent="0.25">
      <c r="A77" t="s">
        <v>2237</v>
      </c>
      <c r="B77" t="s">
        <v>2238</v>
      </c>
      <c r="C77" t="s">
        <v>2239</v>
      </c>
      <c r="D77" t="s">
        <v>110</v>
      </c>
      <c r="E77" s="2">
        <v>44340</v>
      </c>
      <c r="F77" t="s">
        <v>54</v>
      </c>
      <c r="G77">
        <v>5000000</v>
      </c>
      <c r="H77" s="2">
        <v>44556</v>
      </c>
      <c r="I77">
        <v>2021</v>
      </c>
      <c r="J77">
        <v>5436.1206604433801</v>
      </c>
      <c r="K77">
        <v>15740.9393395566</v>
      </c>
      <c r="L77">
        <v>153870.56</v>
      </c>
      <c r="M77">
        <v>0</v>
      </c>
      <c r="N77">
        <v>175047.62</v>
      </c>
      <c r="O77" t="s">
        <v>2126</v>
      </c>
    </row>
    <row r="78" spans="1:15" x14ac:dyDescent="0.25">
      <c r="A78" t="s">
        <v>2240</v>
      </c>
      <c r="B78" t="s">
        <v>2241</v>
      </c>
      <c r="C78" t="s">
        <v>2242</v>
      </c>
      <c r="D78" t="s">
        <v>110</v>
      </c>
      <c r="E78" s="2">
        <v>44256</v>
      </c>
      <c r="F78" t="s">
        <v>8</v>
      </c>
      <c r="G78">
        <v>1000000</v>
      </c>
      <c r="H78" s="2">
        <v>44557</v>
      </c>
      <c r="I78">
        <v>2021</v>
      </c>
      <c r="J78">
        <v>8751.9343908999199</v>
      </c>
      <c r="K78">
        <v>29793.825609100099</v>
      </c>
      <c r="L78">
        <v>137011.45000000001</v>
      </c>
      <c r="M78">
        <v>0</v>
      </c>
      <c r="N78">
        <v>175557.21</v>
      </c>
      <c r="O78" t="s">
        <v>233</v>
      </c>
    </row>
    <row r="79" spans="1:15" x14ac:dyDescent="0.25">
      <c r="A79" t="s">
        <v>2243</v>
      </c>
      <c r="B79" t="s">
        <v>2244</v>
      </c>
      <c r="C79" t="s">
        <v>2245</v>
      </c>
      <c r="D79" t="s">
        <v>110</v>
      </c>
      <c r="E79" s="2">
        <v>44346</v>
      </c>
      <c r="F79" t="s">
        <v>17</v>
      </c>
      <c r="G79">
        <v>5000000</v>
      </c>
      <c r="H79" s="2">
        <v>44536</v>
      </c>
      <c r="I79">
        <v>2021</v>
      </c>
      <c r="J79">
        <v>3108.4630856087301</v>
      </c>
      <c r="K79">
        <v>8089.3369143912696</v>
      </c>
      <c r="L79">
        <v>67618.559999999998</v>
      </c>
      <c r="M79">
        <v>0</v>
      </c>
      <c r="N79">
        <v>78816.36</v>
      </c>
      <c r="O79" t="s">
        <v>2086</v>
      </c>
    </row>
    <row r="80" spans="1:15" x14ac:dyDescent="0.25">
      <c r="A80" t="s">
        <v>1651</v>
      </c>
      <c r="B80" t="s">
        <v>2246</v>
      </c>
      <c r="C80" t="s">
        <v>2247</v>
      </c>
      <c r="D80" t="s">
        <v>110</v>
      </c>
      <c r="E80" s="2">
        <v>44270</v>
      </c>
      <c r="F80" t="s">
        <v>38</v>
      </c>
      <c r="G80">
        <v>2000000</v>
      </c>
      <c r="H80" s="2">
        <v>44536</v>
      </c>
      <c r="I80">
        <v>2021</v>
      </c>
      <c r="J80">
        <v>6418.7200485187304</v>
      </c>
      <c r="K80">
        <v>23008.169951481301</v>
      </c>
      <c r="L80">
        <v>117702.11</v>
      </c>
      <c r="M80">
        <v>0</v>
      </c>
      <c r="N80">
        <v>147129</v>
      </c>
      <c r="O80" t="s">
        <v>2065</v>
      </c>
    </row>
    <row r="81" spans="1:15" x14ac:dyDescent="0.25">
      <c r="A81" t="s">
        <v>2248</v>
      </c>
      <c r="B81" t="s">
        <v>2249</v>
      </c>
      <c r="C81" t="s">
        <v>2250</v>
      </c>
      <c r="D81" t="s">
        <v>110</v>
      </c>
      <c r="E81" s="2">
        <v>44519</v>
      </c>
      <c r="F81" t="s">
        <v>17</v>
      </c>
      <c r="G81">
        <v>2000000</v>
      </c>
      <c r="H81" s="2">
        <v>44567</v>
      </c>
      <c r="I81">
        <v>2022</v>
      </c>
      <c r="J81">
        <v>3910.4921312527199</v>
      </c>
      <c r="K81">
        <v>12226.807868747301</v>
      </c>
      <c r="L81">
        <v>73390.990000000005</v>
      </c>
      <c r="M81">
        <v>0</v>
      </c>
      <c r="N81">
        <v>89528.29</v>
      </c>
      <c r="O81" t="s">
        <v>2078</v>
      </c>
    </row>
    <row r="82" spans="1:15" x14ac:dyDescent="0.25">
      <c r="A82" t="s">
        <v>2251</v>
      </c>
      <c r="B82" t="s">
        <v>2252</v>
      </c>
      <c r="C82" t="s">
        <v>2253</v>
      </c>
      <c r="D82" t="s">
        <v>110</v>
      </c>
      <c r="E82" s="2">
        <v>44430</v>
      </c>
      <c r="F82" t="s">
        <v>38</v>
      </c>
      <c r="G82">
        <v>5000000</v>
      </c>
      <c r="H82" s="2">
        <v>44563</v>
      </c>
      <c r="I82">
        <v>2022</v>
      </c>
      <c r="J82">
        <v>5298.4663988812899</v>
      </c>
      <c r="K82">
        <v>15622.033601118699</v>
      </c>
      <c r="L82">
        <v>109150.88</v>
      </c>
      <c r="M82">
        <v>0</v>
      </c>
      <c r="N82">
        <v>130071.38</v>
      </c>
      <c r="O82" t="s">
        <v>2129</v>
      </c>
    </row>
    <row r="83" spans="1:15" x14ac:dyDescent="0.25">
      <c r="A83" t="s">
        <v>1657</v>
      </c>
      <c r="B83" t="s">
        <v>2254</v>
      </c>
      <c r="C83" t="s">
        <v>2255</v>
      </c>
      <c r="D83" t="s">
        <v>110</v>
      </c>
      <c r="E83" s="2">
        <v>44379</v>
      </c>
      <c r="F83" t="s">
        <v>41</v>
      </c>
      <c r="G83">
        <v>1000000</v>
      </c>
      <c r="H83" s="2">
        <v>44594</v>
      </c>
      <c r="I83">
        <v>2022</v>
      </c>
      <c r="J83">
        <v>3482.1480956567302</v>
      </c>
      <c r="K83">
        <v>8361.1319043432704</v>
      </c>
      <c r="L83">
        <v>59129.86</v>
      </c>
      <c r="M83">
        <v>0</v>
      </c>
      <c r="N83">
        <v>70973.14</v>
      </c>
      <c r="O83" t="s">
        <v>2090</v>
      </c>
    </row>
    <row r="84" spans="1:15" x14ac:dyDescent="0.25">
      <c r="A84" t="s">
        <v>2256</v>
      </c>
      <c r="B84" t="s">
        <v>2257</v>
      </c>
      <c r="C84" t="s">
        <v>2258</v>
      </c>
      <c r="D84" t="s">
        <v>110</v>
      </c>
      <c r="E84" s="2">
        <v>44348</v>
      </c>
      <c r="F84" t="s">
        <v>47</v>
      </c>
      <c r="G84">
        <v>2000000</v>
      </c>
      <c r="H84" s="2">
        <v>44507</v>
      </c>
      <c r="I84">
        <v>2021</v>
      </c>
      <c r="J84">
        <v>1844.2748202432799</v>
      </c>
      <c r="K84">
        <v>5981.5451797567202</v>
      </c>
      <c r="L84">
        <v>64538.44</v>
      </c>
      <c r="M84">
        <v>0</v>
      </c>
      <c r="N84">
        <v>72364.259999999995</v>
      </c>
      <c r="O84" t="s">
        <v>2090</v>
      </c>
    </row>
    <row r="85" spans="1:15" x14ac:dyDescent="0.25">
      <c r="A85" t="s">
        <v>1660</v>
      </c>
      <c r="B85" t="s">
        <v>2259</v>
      </c>
      <c r="C85" t="s">
        <v>2260</v>
      </c>
      <c r="D85" t="s">
        <v>734</v>
      </c>
      <c r="E85" s="2">
        <v>44468</v>
      </c>
      <c r="F85" t="s">
        <v>21</v>
      </c>
      <c r="G85">
        <v>2000000</v>
      </c>
      <c r="H85" s="2">
        <v>44568</v>
      </c>
      <c r="I85">
        <v>2022</v>
      </c>
      <c r="J85">
        <v>11162.4088100648</v>
      </c>
      <c r="K85">
        <v>29475.101189935202</v>
      </c>
      <c r="L85">
        <v>153737.22</v>
      </c>
      <c r="M85">
        <v>36544.1</v>
      </c>
      <c r="N85">
        <v>230918.83</v>
      </c>
      <c r="O85" t="s">
        <v>2110</v>
      </c>
    </row>
    <row r="86" spans="1:15" x14ac:dyDescent="0.25">
      <c r="A86" t="s">
        <v>2261</v>
      </c>
      <c r="B86" t="s">
        <v>2262</v>
      </c>
      <c r="C86" t="s">
        <v>2263</v>
      </c>
      <c r="D86" t="s">
        <v>110</v>
      </c>
      <c r="E86" s="2">
        <v>44285</v>
      </c>
      <c r="F86" t="s">
        <v>54</v>
      </c>
      <c r="G86">
        <v>2000000</v>
      </c>
      <c r="H86" s="2">
        <v>44572</v>
      </c>
      <c r="I86">
        <v>2022</v>
      </c>
      <c r="J86">
        <v>7220.0046901796804</v>
      </c>
      <c r="K86">
        <v>24647.5653098203</v>
      </c>
      <c r="L86">
        <v>314614.19</v>
      </c>
      <c r="M86">
        <v>0</v>
      </c>
      <c r="N86">
        <v>346481.76</v>
      </c>
      <c r="O86" t="s">
        <v>179</v>
      </c>
    </row>
    <row r="87" spans="1:15" x14ac:dyDescent="0.25">
      <c r="A87" t="s">
        <v>2264</v>
      </c>
      <c r="B87" t="s">
        <v>2265</v>
      </c>
      <c r="C87" t="s">
        <v>2266</v>
      </c>
      <c r="D87" t="s">
        <v>110</v>
      </c>
      <c r="E87" s="2">
        <v>44530</v>
      </c>
      <c r="F87" t="s">
        <v>54</v>
      </c>
      <c r="G87">
        <v>5000000</v>
      </c>
      <c r="H87" s="2">
        <v>44579</v>
      </c>
      <c r="I87">
        <v>2022</v>
      </c>
      <c r="J87">
        <v>8495.0747181928109</v>
      </c>
      <c r="K87">
        <v>28408.055281807199</v>
      </c>
      <c r="L87">
        <v>228756.62</v>
      </c>
      <c r="M87">
        <v>0</v>
      </c>
      <c r="N87">
        <v>265659.75</v>
      </c>
      <c r="O87" t="s">
        <v>2051</v>
      </c>
    </row>
    <row r="88" spans="1:15" x14ac:dyDescent="0.25">
      <c r="A88" t="s">
        <v>2267</v>
      </c>
      <c r="B88" t="s">
        <v>2268</v>
      </c>
      <c r="C88" t="s">
        <v>2269</v>
      </c>
      <c r="D88" t="s">
        <v>110</v>
      </c>
      <c r="E88" s="2">
        <v>44242</v>
      </c>
      <c r="F88" t="s">
        <v>30</v>
      </c>
      <c r="G88">
        <v>2000000</v>
      </c>
      <c r="H88" s="2">
        <v>44544</v>
      </c>
      <c r="I88">
        <v>2021</v>
      </c>
      <c r="J88">
        <v>2605.1572957089902</v>
      </c>
      <c r="K88">
        <v>7436.9527042910104</v>
      </c>
      <c r="L88">
        <v>61401.06</v>
      </c>
      <c r="M88">
        <v>0</v>
      </c>
      <c r="N88">
        <v>71443.17</v>
      </c>
      <c r="O88" t="s">
        <v>2090</v>
      </c>
    </row>
    <row r="89" spans="1:15" x14ac:dyDescent="0.25">
      <c r="A89" t="s">
        <v>1666</v>
      </c>
      <c r="B89" t="s">
        <v>2270</v>
      </c>
      <c r="C89" t="s">
        <v>2271</v>
      </c>
      <c r="D89" t="s">
        <v>110</v>
      </c>
      <c r="E89" s="2">
        <v>44391</v>
      </c>
      <c r="F89" t="s">
        <v>36</v>
      </c>
      <c r="G89">
        <v>2000000</v>
      </c>
      <c r="H89" s="2">
        <v>44556</v>
      </c>
      <c r="I89">
        <v>2021</v>
      </c>
      <c r="J89">
        <v>7915.2167747507401</v>
      </c>
      <c r="K89">
        <v>23253.033225249299</v>
      </c>
      <c r="L89">
        <v>126555.39</v>
      </c>
      <c r="M89">
        <v>0</v>
      </c>
      <c r="N89">
        <v>157723.64000000001</v>
      </c>
      <c r="O89" t="s">
        <v>1496</v>
      </c>
    </row>
    <row r="90" spans="1:15" x14ac:dyDescent="0.25">
      <c r="A90" t="s">
        <v>1669</v>
      </c>
      <c r="B90" t="s">
        <v>2272</v>
      </c>
      <c r="C90" t="s">
        <v>2273</v>
      </c>
      <c r="D90" t="s">
        <v>110</v>
      </c>
      <c r="E90" s="2">
        <v>44107</v>
      </c>
      <c r="F90" t="s">
        <v>47</v>
      </c>
      <c r="G90">
        <v>4000000</v>
      </c>
      <c r="H90" s="2">
        <v>44169</v>
      </c>
      <c r="I90">
        <v>2020</v>
      </c>
      <c r="J90">
        <v>21060.985311975699</v>
      </c>
      <c r="K90">
        <v>81850.714688024294</v>
      </c>
      <c r="L90">
        <v>617920.59</v>
      </c>
      <c r="M90">
        <v>0</v>
      </c>
      <c r="N90">
        <v>720832.29</v>
      </c>
      <c r="O90" t="s">
        <v>2274</v>
      </c>
    </row>
    <row r="91" spans="1:15" x14ac:dyDescent="0.25">
      <c r="A91" t="s">
        <v>2275</v>
      </c>
      <c r="B91" t="s">
        <v>2276</v>
      </c>
      <c r="C91" t="s">
        <v>2277</v>
      </c>
      <c r="D91" t="s">
        <v>110</v>
      </c>
      <c r="E91" s="2">
        <v>44432</v>
      </c>
      <c r="F91" t="s">
        <v>18</v>
      </c>
      <c r="G91">
        <v>1000000</v>
      </c>
      <c r="H91" s="2">
        <v>44600</v>
      </c>
      <c r="I91">
        <v>2022</v>
      </c>
      <c r="J91">
        <v>5644.3278312620096</v>
      </c>
      <c r="K91">
        <v>17839.842168738</v>
      </c>
      <c r="L91">
        <v>84391.07</v>
      </c>
      <c r="M91">
        <v>0</v>
      </c>
      <c r="N91">
        <v>107875.24</v>
      </c>
      <c r="O91" t="s">
        <v>2094</v>
      </c>
    </row>
    <row r="92" spans="1:15" x14ac:dyDescent="0.25">
      <c r="A92" t="s">
        <v>1672</v>
      </c>
      <c r="B92" t="s">
        <v>2278</v>
      </c>
      <c r="C92" t="s">
        <v>2279</v>
      </c>
      <c r="D92" t="s">
        <v>110</v>
      </c>
      <c r="E92" s="2">
        <v>44328</v>
      </c>
      <c r="F92" t="s">
        <v>11</v>
      </c>
      <c r="G92">
        <v>4000000</v>
      </c>
      <c r="H92" s="2">
        <v>44511</v>
      </c>
      <c r="I92">
        <v>2021</v>
      </c>
      <c r="J92">
        <v>8087.6327728357301</v>
      </c>
      <c r="K92">
        <v>21619.0572271643</v>
      </c>
      <c r="L92">
        <v>198317.71</v>
      </c>
      <c r="M92">
        <v>0</v>
      </c>
      <c r="N92">
        <v>228024.4</v>
      </c>
      <c r="O92" t="s">
        <v>2110</v>
      </c>
    </row>
    <row r="93" spans="1:15" x14ac:dyDescent="0.25">
      <c r="A93" t="s">
        <v>2280</v>
      </c>
      <c r="B93" t="s">
        <v>2281</v>
      </c>
      <c r="C93" t="s">
        <v>2282</v>
      </c>
      <c r="D93" t="s">
        <v>110</v>
      </c>
      <c r="E93" s="2">
        <v>44394</v>
      </c>
      <c r="F93" t="s">
        <v>27</v>
      </c>
      <c r="G93">
        <v>2000000</v>
      </c>
      <c r="H93" s="2">
        <v>44577</v>
      </c>
      <c r="I93">
        <v>2022</v>
      </c>
      <c r="J93">
        <v>10721.3070170707</v>
      </c>
      <c r="K93">
        <v>37404.962982929297</v>
      </c>
      <c r="L93">
        <v>296995.08</v>
      </c>
      <c r="M93">
        <v>0</v>
      </c>
      <c r="N93">
        <v>345121.35</v>
      </c>
      <c r="O93" t="s">
        <v>179</v>
      </c>
    </row>
    <row r="94" spans="1:15" x14ac:dyDescent="0.25">
      <c r="A94" t="s">
        <v>1675</v>
      </c>
      <c r="B94" t="s">
        <v>2283</v>
      </c>
      <c r="C94" t="s">
        <v>2284</v>
      </c>
      <c r="D94" t="s">
        <v>110</v>
      </c>
      <c r="E94" s="2">
        <v>44483</v>
      </c>
      <c r="F94" t="s">
        <v>45</v>
      </c>
      <c r="G94">
        <v>10000000</v>
      </c>
      <c r="H94" s="2">
        <v>44611</v>
      </c>
      <c r="I94">
        <v>2022</v>
      </c>
      <c r="J94">
        <v>1869.2510752455501</v>
      </c>
      <c r="K94">
        <v>6741.8889247544503</v>
      </c>
      <c r="L94">
        <v>61493.58</v>
      </c>
      <c r="M94">
        <v>0</v>
      </c>
      <c r="N94">
        <v>70104.72</v>
      </c>
      <c r="O94" t="s">
        <v>2090</v>
      </c>
    </row>
    <row r="95" spans="1:15" x14ac:dyDescent="0.25">
      <c r="A95" t="s">
        <v>2285</v>
      </c>
      <c r="B95" t="s">
        <v>2286</v>
      </c>
      <c r="C95" t="s">
        <v>2287</v>
      </c>
      <c r="D95" t="s">
        <v>110</v>
      </c>
      <c r="E95" s="2">
        <v>44244</v>
      </c>
      <c r="F95" t="s">
        <v>42</v>
      </c>
      <c r="G95">
        <v>5000000</v>
      </c>
      <c r="H95" s="2">
        <v>44599</v>
      </c>
      <c r="I95">
        <v>2022</v>
      </c>
      <c r="J95">
        <v>2521.00929956658</v>
      </c>
      <c r="K95">
        <v>8507.4507004334191</v>
      </c>
      <c r="L95">
        <v>105506.41</v>
      </c>
      <c r="M95">
        <v>0</v>
      </c>
      <c r="N95">
        <v>116534.87</v>
      </c>
      <c r="O95" t="s">
        <v>2129</v>
      </c>
    </row>
    <row r="96" spans="1:15" x14ac:dyDescent="0.25">
      <c r="A96" t="s">
        <v>1678</v>
      </c>
      <c r="B96" t="s">
        <v>2288</v>
      </c>
      <c r="C96" t="s">
        <v>2289</v>
      </c>
      <c r="D96" t="s">
        <v>734</v>
      </c>
      <c r="E96" s="2">
        <v>44438</v>
      </c>
      <c r="F96" t="s">
        <v>50</v>
      </c>
      <c r="G96">
        <v>10000000</v>
      </c>
      <c r="H96" s="2">
        <v>44595</v>
      </c>
      <c r="I96">
        <v>2022</v>
      </c>
      <c r="J96">
        <v>19678.1104121682</v>
      </c>
      <c r="K96">
        <v>61085.899587831802</v>
      </c>
      <c r="L96">
        <v>352613.2</v>
      </c>
      <c r="M96">
        <v>51180.2</v>
      </c>
      <c r="N96">
        <v>484557.41</v>
      </c>
      <c r="O96" t="s">
        <v>2040</v>
      </c>
    </row>
    <row r="97" spans="1:15" x14ac:dyDescent="0.25">
      <c r="A97" t="s">
        <v>1681</v>
      </c>
      <c r="B97" t="s">
        <v>2290</v>
      </c>
      <c r="C97" t="s">
        <v>2291</v>
      </c>
      <c r="D97" t="s">
        <v>110</v>
      </c>
      <c r="E97" s="2">
        <v>44435</v>
      </c>
      <c r="F97" t="s">
        <v>17</v>
      </c>
      <c r="G97">
        <v>4000000</v>
      </c>
      <c r="H97" s="2">
        <v>44544</v>
      </c>
      <c r="I97">
        <v>2021</v>
      </c>
      <c r="J97">
        <v>10895.1618480999</v>
      </c>
      <c r="K97">
        <v>27159.498151900101</v>
      </c>
      <c r="L97">
        <v>186826.26</v>
      </c>
      <c r="M97">
        <v>0</v>
      </c>
      <c r="N97">
        <v>224880.92</v>
      </c>
      <c r="O97" t="s">
        <v>2230</v>
      </c>
    </row>
    <row r="98" spans="1:15" x14ac:dyDescent="0.25">
      <c r="A98" t="s">
        <v>2292</v>
      </c>
      <c r="B98" t="s">
        <v>2293</v>
      </c>
      <c r="C98" t="s">
        <v>2294</v>
      </c>
      <c r="D98" t="s">
        <v>110</v>
      </c>
      <c r="E98" s="2">
        <v>44400</v>
      </c>
      <c r="F98" t="s">
        <v>54</v>
      </c>
      <c r="G98">
        <v>5000000</v>
      </c>
      <c r="H98" s="2">
        <v>44590</v>
      </c>
      <c r="I98">
        <v>2022</v>
      </c>
      <c r="J98">
        <v>11653.795281104</v>
      </c>
      <c r="K98">
        <v>43667.944718895997</v>
      </c>
      <c r="L98">
        <v>197234.04</v>
      </c>
      <c r="M98">
        <v>0</v>
      </c>
      <c r="N98">
        <v>252555.78</v>
      </c>
      <c r="O98" t="s">
        <v>2110</v>
      </c>
    </row>
    <row r="99" spans="1:15" x14ac:dyDescent="0.25">
      <c r="A99" t="s">
        <v>2295</v>
      </c>
      <c r="B99" t="s">
        <v>2296</v>
      </c>
      <c r="C99" t="s">
        <v>2297</v>
      </c>
      <c r="D99" t="s">
        <v>110</v>
      </c>
      <c r="E99" s="2">
        <v>44500</v>
      </c>
      <c r="F99" t="s">
        <v>37</v>
      </c>
      <c r="G99">
        <v>5000000</v>
      </c>
      <c r="H99" s="2">
        <v>44643</v>
      </c>
      <c r="I99">
        <v>2022</v>
      </c>
      <c r="J99">
        <v>24142.033114913898</v>
      </c>
      <c r="K99">
        <v>92763.126885086094</v>
      </c>
      <c r="L99">
        <v>409658.48</v>
      </c>
      <c r="M99">
        <v>0</v>
      </c>
      <c r="N99">
        <v>526563.64</v>
      </c>
      <c r="O99" t="s">
        <v>2040</v>
      </c>
    </row>
    <row r="100" spans="1:15" x14ac:dyDescent="0.25">
      <c r="A100" t="s">
        <v>1687</v>
      </c>
      <c r="B100" t="s">
        <v>2298</v>
      </c>
      <c r="C100" t="s">
        <v>2299</v>
      </c>
      <c r="D100" t="s">
        <v>110</v>
      </c>
      <c r="E100" s="2">
        <v>44379</v>
      </c>
      <c r="F100" t="s">
        <v>17</v>
      </c>
      <c r="G100">
        <v>10000000</v>
      </c>
      <c r="H100" s="2">
        <v>44636</v>
      </c>
      <c r="I100">
        <v>2022</v>
      </c>
      <c r="J100">
        <v>14079.515674669099</v>
      </c>
      <c r="K100">
        <v>41290.344325330901</v>
      </c>
      <c r="L100">
        <v>450767.39</v>
      </c>
      <c r="M100">
        <v>0</v>
      </c>
      <c r="N100">
        <v>506137.25</v>
      </c>
      <c r="O100" t="s">
        <v>2157</v>
      </c>
    </row>
    <row r="101" spans="1:15" x14ac:dyDescent="0.25">
      <c r="A101" t="s">
        <v>1690</v>
      </c>
      <c r="B101" t="s">
        <v>2300</v>
      </c>
      <c r="C101" t="s">
        <v>2301</v>
      </c>
      <c r="D101" t="s">
        <v>110</v>
      </c>
      <c r="E101" s="2">
        <v>44308</v>
      </c>
      <c r="F101" t="s">
        <v>41</v>
      </c>
      <c r="G101">
        <v>5000000</v>
      </c>
      <c r="H101" s="2">
        <v>44633</v>
      </c>
      <c r="I101">
        <v>2022</v>
      </c>
      <c r="J101">
        <v>19961.556006614999</v>
      </c>
      <c r="K101">
        <v>52238.043993385101</v>
      </c>
      <c r="L101">
        <v>544177.01</v>
      </c>
      <c r="M101">
        <v>0</v>
      </c>
      <c r="N101">
        <v>616376.61</v>
      </c>
      <c r="O101" t="s">
        <v>2157</v>
      </c>
    </row>
    <row r="102" spans="1:15" x14ac:dyDescent="0.25">
      <c r="A102" t="s">
        <v>1693</v>
      </c>
      <c r="B102" t="s">
        <v>2302</v>
      </c>
      <c r="C102" t="s">
        <v>2303</v>
      </c>
      <c r="D102" t="s">
        <v>110</v>
      </c>
      <c r="E102" s="2">
        <v>44649</v>
      </c>
      <c r="F102" t="s">
        <v>17</v>
      </c>
      <c r="G102">
        <v>5000000</v>
      </c>
      <c r="H102" s="2">
        <v>44662</v>
      </c>
      <c r="I102">
        <v>2022</v>
      </c>
      <c r="J102">
        <v>10988.9737111908</v>
      </c>
      <c r="K102">
        <v>30268.836288809202</v>
      </c>
      <c r="L102">
        <v>173877.81</v>
      </c>
      <c r="M102">
        <v>0</v>
      </c>
      <c r="N102">
        <v>215135.62</v>
      </c>
      <c r="O102" t="s">
        <v>2036</v>
      </c>
    </row>
    <row r="103" spans="1:15" x14ac:dyDescent="0.25">
      <c r="A103" t="s">
        <v>2304</v>
      </c>
      <c r="B103" t="s">
        <v>2305</v>
      </c>
      <c r="C103" t="s">
        <v>2306</v>
      </c>
      <c r="D103" t="s">
        <v>110</v>
      </c>
      <c r="E103" s="2">
        <v>44583</v>
      </c>
      <c r="F103" t="s">
        <v>41</v>
      </c>
      <c r="G103">
        <v>2000000</v>
      </c>
      <c r="H103" s="2">
        <v>44617</v>
      </c>
      <c r="I103">
        <v>2022</v>
      </c>
      <c r="J103">
        <v>1750.53612018844</v>
      </c>
      <c r="K103">
        <v>5731.8938798115596</v>
      </c>
      <c r="L103">
        <v>64857.06</v>
      </c>
      <c r="M103">
        <v>0</v>
      </c>
      <c r="N103">
        <v>72339.490000000005</v>
      </c>
      <c r="O103" t="s">
        <v>2090</v>
      </c>
    </row>
    <row r="104" spans="1:15" x14ac:dyDescent="0.25">
      <c r="A104" t="s">
        <v>2307</v>
      </c>
      <c r="B104" t="s">
        <v>2308</v>
      </c>
      <c r="C104" t="s">
        <v>2309</v>
      </c>
      <c r="D104" t="s">
        <v>110</v>
      </c>
      <c r="E104" s="2">
        <v>44502</v>
      </c>
      <c r="F104" t="s">
        <v>26</v>
      </c>
      <c r="G104">
        <v>5000000</v>
      </c>
      <c r="H104" s="2">
        <v>44641</v>
      </c>
      <c r="I104">
        <v>2022</v>
      </c>
      <c r="J104">
        <v>30566.970838035399</v>
      </c>
      <c r="K104">
        <v>94171.769161964607</v>
      </c>
      <c r="L104">
        <v>871286.07</v>
      </c>
      <c r="M104">
        <v>0</v>
      </c>
      <c r="N104">
        <v>996024.81</v>
      </c>
      <c r="O104" t="s">
        <v>2274</v>
      </c>
    </row>
    <row r="105" spans="1:15" x14ac:dyDescent="0.25">
      <c r="A105" t="s">
        <v>2310</v>
      </c>
      <c r="B105" t="s">
        <v>2311</v>
      </c>
      <c r="C105" t="s">
        <v>2312</v>
      </c>
      <c r="D105" t="s">
        <v>110</v>
      </c>
      <c r="E105" s="2">
        <v>44332</v>
      </c>
      <c r="F105" t="s">
        <v>44</v>
      </c>
      <c r="G105">
        <v>1000000</v>
      </c>
      <c r="H105" s="2">
        <v>44614</v>
      </c>
      <c r="I105">
        <v>2022</v>
      </c>
      <c r="J105">
        <v>4194.9889829886797</v>
      </c>
      <c r="K105">
        <v>10552.551017011299</v>
      </c>
      <c r="L105">
        <v>106360.54</v>
      </c>
      <c r="M105">
        <v>0</v>
      </c>
      <c r="N105">
        <v>121108.08</v>
      </c>
      <c r="O105" t="s">
        <v>2129</v>
      </c>
    </row>
    <row r="106" spans="1:15" x14ac:dyDescent="0.25">
      <c r="A106" t="s">
        <v>2313</v>
      </c>
      <c r="B106" t="s">
        <v>2314</v>
      </c>
      <c r="C106" t="s">
        <v>2315</v>
      </c>
      <c r="D106" t="s">
        <v>110</v>
      </c>
      <c r="E106" s="2">
        <v>44439</v>
      </c>
      <c r="F106" t="s">
        <v>27</v>
      </c>
      <c r="G106">
        <v>2000000</v>
      </c>
      <c r="H106" s="2">
        <v>44663</v>
      </c>
      <c r="I106">
        <v>2022</v>
      </c>
      <c r="J106">
        <v>6860.9161296687498</v>
      </c>
      <c r="K106">
        <v>20845.153870331302</v>
      </c>
      <c r="L106">
        <v>184646.47</v>
      </c>
      <c r="M106">
        <v>0</v>
      </c>
      <c r="N106">
        <v>212352.54</v>
      </c>
      <c r="O106" t="s">
        <v>2230</v>
      </c>
    </row>
    <row r="107" spans="1:15" x14ac:dyDescent="0.25">
      <c r="A107" t="s">
        <v>2316</v>
      </c>
      <c r="B107" t="s">
        <v>2317</v>
      </c>
      <c r="C107" t="s">
        <v>2318</v>
      </c>
      <c r="D107" t="s">
        <v>110</v>
      </c>
      <c r="E107" s="2">
        <v>44602</v>
      </c>
      <c r="F107" t="s">
        <v>52</v>
      </c>
      <c r="G107">
        <v>3000000</v>
      </c>
      <c r="H107" s="2">
        <v>44643</v>
      </c>
      <c r="I107">
        <v>2022</v>
      </c>
      <c r="J107">
        <v>2136.5845688048998</v>
      </c>
      <c r="K107">
        <v>5956.1454311951002</v>
      </c>
      <c r="L107">
        <v>68848.03</v>
      </c>
      <c r="M107">
        <v>0</v>
      </c>
      <c r="N107">
        <v>76940.759999999995</v>
      </c>
      <c r="O107" t="s">
        <v>2086</v>
      </c>
    </row>
    <row r="108" spans="1:15" x14ac:dyDescent="0.25">
      <c r="A108" t="s">
        <v>2319</v>
      </c>
      <c r="B108" t="s">
        <v>2320</v>
      </c>
      <c r="C108" t="s">
        <v>2321</v>
      </c>
      <c r="D108" t="s">
        <v>110</v>
      </c>
      <c r="E108" s="2">
        <v>44662</v>
      </c>
      <c r="F108" t="s">
        <v>55</v>
      </c>
      <c r="G108">
        <v>5000000</v>
      </c>
      <c r="H108" s="2">
        <v>44670</v>
      </c>
      <c r="I108">
        <v>2022</v>
      </c>
      <c r="J108">
        <v>16165.8145805451</v>
      </c>
      <c r="K108">
        <v>47303.805419454897</v>
      </c>
      <c r="L108">
        <v>252451.02</v>
      </c>
      <c r="M108">
        <v>0</v>
      </c>
      <c r="N108">
        <v>315920.64000000001</v>
      </c>
      <c r="O108" t="s">
        <v>2074</v>
      </c>
    </row>
    <row r="109" spans="1:15" x14ac:dyDescent="0.25">
      <c r="A109" t="s">
        <v>2322</v>
      </c>
      <c r="B109" t="s">
        <v>2323</v>
      </c>
      <c r="C109" t="s">
        <v>2324</v>
      </c>
      <c r="D109" t="s">
        <v>734</v>
      </c>
      <c r="E109" s="2">
        <v>44282</v>
      </c>
      <c r="F109" t="s">
        <v>17</v>
      </c>
      <c r="G109">
        <v>1000000</v>
      </c>
      <c r="H109" s="2">
        <v>44631</v>
      </c>
      <c r="I109">
        <v>2022</v>
      </c>
      <c r="J109">
        <v>3929.1849402862499</v>
      </c>
      <c r="K109">
        <v>15435.1950597138</v>
      </c>
      <c r="L109">
        <v>154481.76999999999</v>
      </c>
      <c r="M109">
        <v>60732.31</v>
      </c>
      <c r="N109">
        <v>234578.46</v>
      </c>
      <c r="O109" t="s">
        <v>2074</v>
      </c>
    </row>
    <row r="110" spans="1:15" x14ac:dyDescent="0.25">
      <c r="A110" t="s">
        <v>1702</v>
      </c>
      <c r="B110" t="s">
        <v>2325</v>
      </c>
      <c r="C110" t="s">
        <v>2326</v>
      </c>
      <c r="D110" t="s">
        <v>110</v>
      </c>
      <c r="E110" s="2">
        <v>44340</v>
      </c>
      <c r="F110" t="s">
        <v>17</v>
      </c>
      <c r="G110">
        <v>3000000</v>
      </c>
      <c r="H110" s="2">
        <v>44697</v>
      </c>
      <c r="I110">
        <v>2022</v>
      </c>
      <c r="J110">
        <v>2836.8704426795598</v>
      </c>
      <c r="K110">
        <v>6650.84955732044</v>
      </c>
      <c r="L110">
        <v>79231.149999999994</v>
      </c>
      <c r="M110">
        <v>0</v>
      </c>
      <c r="N110">
        <v>88718.87</v>
      </c>
      <c r="O110" t="s">
        <v>2097</v>
      </c>
    </row>
    <row r="111" spans="1:15" x14ac:dyDescent="0.25">
      <c r="A111" t="s">
        <v>2327</v>
      </c>
      <c r="B111" t="s">
        <v>2328</v>
      </c>
      <c r="C111" t="s">
        <v>2329</v>
      </c>
      <c r="D111" t="s">
        <v>110</v>
      </c>
      <c r="E111" s="2">
        <v>44467</v>
      </c>
      <c r="F111" t="s">
        <v>46</v>
      </c>
      <c r="G111">
        <v>10000000</v>
      </c>
      <c r="H111" s="2">
        <v>44619</v>
      </c>
      <c r="I111">
        <v>2022</v>
      </c>
      <c r="J111">
        <v>4207.6427534354098</v>
      </c>
      <c r="K111">
        <v>15328.837246564601</v>
      </c>
      <c r="L111">
        <v>71358.990000000005</v>
      </c>
      <c r="M111">
        <v>0</v>
      </c>
      <c r="N111">
        <v>90895.47</v>
      </c>
      <c r="O111" t="s">
        <v>2086</v>
      </c>
    </row>
    <row r="112" spans="1:15" x14ac:dyDescent="0.25">
      <c r="A112" t="s">
        <v>1705</v>
      </c>
      <c r="B112" t="s">
        <v>2330</v>
      </c>
      <c r="C112" t="s">
        <v>2331</v>
      </c>
      <c r="D112" t="s">
        <v>110</v>
      </c>
      <c r="E112" s="2">
        <v>44592</v>
      </c>
      <c r="F112" t="s">
        <v>23</v>
      </c>
      <c r="G112">
        <v>5000000</v>
      </c>
      <c r="H112" s="2">
        <v>44679</v>
      </c>
      <c r="I112">
        <v>2022</v>
      </c>
      <c r="J112">
        <v>20640.9146467627</v>
      </c>
      <c r="K112">
        <v>60776.945353237301</v>
      </c>
      <c r="L112">
        <v>597027.86</v>
      </c>
      <c r="M112">
        <v>0</v>
      </c>
      <c r="N112">
        <v>678445.72</v>
      </c>
      <c r="O112" t="s">
        <v>2274</v>
      </c>
    </row>
    <row r="113" spans="1:15" x14ac:dyDescent="0.25">
      <c r="A113" t="s">
        <v>1708</v>
      </c>
      <c r="B113" t="s">
        <v>2332</v>
      </c>
      <c r="C113" t="s">
        <v>2333</v>
      </c>
      <c r="D113" t="s">
        <v>110</v>
      </c>
      <c r="E113" s="2">
        <v>44551</v>
      </c>
      <c r="F113" t="s">
        <v>42</v>
      </c>
      <c r="G113">
        <v>5000000</v>
      </c>
      <c r="H113" s="2">
        <v>44695</v>
      </c>
      <c r="I113">
        <v>2022</v>
      </c>
      <c r="J113">
        <v>109779.528028966</v>
      </c>
      <c r="K113">
        <v>365187.17197103403</v>
      </c>
      <c r="L113">
        <v>1925373.33</v>
      </c>
      <c r="M113">
        <v>0</v>
      </c>
      <c r="N113">
        <v>2400340.0299999998</v>
      </c>
      <c r="O113" t="s">
        <v>2176</v>
      </c>
    </row>
    <row r="114" spans="1:15" x14ac:dyDescent="0.25">
      <c r="A114" t="s">
        <v>2334</v>
      </c>
      <c r="B114" t="s">
        <v>2335</v>
      </c>
      <c r="C114" t="s">
        <v>2336</v>
      </c>
      <c r="D114" t="s">
        <v>110</v>
      </c>
      <c r="E114" s="2">
        <v>44564</v>
      </c>
      <c r="F114" t="s">
        <v>15</v>
      </c>
      <c r="G114">
        <v>1000000</v>
      </c>
      <c r="H114" s="2">
        <v>44697</v>
      </c>
      <c r="I114">
        <v>2022</v>
      </c>
      <c r="J114">
        <v>2372.5324167264898</v>
      </c>
      <c r="K114">
        <v>7410.9475832735097</v>
      </c>
      <c r="L114">
        <v>54184.06</v>
      </c>
      <c r="M114">
        <v>0</v>
      </c>
      <c r="N114">
        <v>63967.54</v>
      </c>
      <c r="O114" t="s">
        <v>2101</v>
      </c>
    </row>
    <row r="115" spans="1:15" x14ac:dyDescent="0.25">
      <c r="A115" t="s">
        <v>1711</v>
      </c>
      <c r="B115" t="s">
        <v>2337</v>
      </c>
      <c r="C115" t="s">
        <v>2338</v>
      </c>
      <c r="D115" t="s">
        <v>734</v>
      </c>
      <c r="E115" s="2">
        <v>44446</v>
      </c>
      <c r="F115" t="s">
        <v>34</v>
      </c>
      <c r="G115">
        <v>10000000</v>
      </c>
      <c r="H115" s="2">
        <v>44697</v>
      </c>
      <c r="I115">
        <v>2022</v>
      </c>
      <c r="J115">
        <v>6643.7055877347802</v>
      </c>
      <c r="K115">
        <v>18113.034412265199</v>
      </c>
      <c r="L115">
        <v>126419.98</v>
      </c>
      <c r="M115">
        <v>106601.45</v>
      </c>
      <c r="N115">
        <v>257778.17</v>
      </c>
      <c r="O115" t="s">
        <v>2074</v>
      </c>
    </row>
    <row r="116" spans="1:15" x14ac:dyDescent="0.25">
      <c r="A116" t="s">
        <v>2339</v>
      </c>
      <c r="B116" t="s">
        <v>2340</v>
      </c>
      <c r="C116" t="s">
        <v>2341</v>
      </c>
      <c r="D116" t="s">
        <v>110</v>
      </c>
      <c r="E116" s="2">
        <v>44231</v>
      </c>
      <c r="F116" t="s">
        <v>24</v>
      </c>
      <c r="G116">
        <v>3000000</v>
      </c>
      <c r="H116" s="2">
        <v>44538</v>
      </c>
      <c r="I116">
        <v>2021</v>
      </c>
      <c r="J116">
        <v>12418.8135225437</v>
      </c>
      <c r="K116">
        <v>33128.936477456198</v>
      </c>
      <c r="L116">
        <v>159700.47</v>
      </c>
      <c r="M116">
        <v>0</v>
      </c>
      <c r="N116">
        <v>205248.22</v>
      </c>
      <c r="O116" t="s">
        <v>2036</v>
      </c>
    </row>
    <row r="117" spans="1:15" x14ac:dyDescent="0.25">
      <c r="A117" t="s">
        <v>2342</v>
      </c>
      <c r="B117" t="s">
        <v>2343</v>
      </c>
      <c r="C117" t="s">
        <v>2344</v>
      </c>
      <c r="D117" t="s">
        <v>110</v>
      </c>
      <c r="E117" s="2">
        <v>44228</v>
      </c>
      <c r="F117" t="s">
        <v>41</v>
      </c>
      <c r="G117">
        <v>1000000</v>
      </c>
      <c r="H117" s="2">
        <v>44572</v>
      </c>
      <c r="I117">
        <v>2022</v>
      </c>
      <c r="J117">
        <v>4303.0668109278804</v>
      </c>
      <c r="K117">
        <v>14130.553189072099</v>
      </c>
      <c r="L117">
        <v>96225</v>
      </c>
      <c r="M117">
        <v>0</v>
      </c>
      <c r="N117">
        <v>114658.62</v>
      </c>
      <c r="O117" t="s">
        <v>2059</v>
      </c>
    </row>
    <row r="118" spans="1:15" x14ac:dyDescent="0.25">
      <c r="A118" t="s">
        <v>1714</v>
      </c>
      <c r="B118" t="s">
        <v>2345</v>
      </c>
      <c r="C118" t="s">
        <v>2346</v>
      </c>
      <c r="D118" t="s">
        <v>110</v>
      </c>
      <c r="E118" s="2">
        <v>44307</v>
      </c>
      <c r="F118" t="s">
        <v>17</v>
      </c>
      <c r="G118">
        <v>3000000</v>
      </c>
      <c r="H118" s="2">
        <v>44645</v>
      </c>
      <c r="I118">
        <v>2022</v>
      </c>
      <c r="J118">
        <v>13350.644235972701</v>
      </c>
      <c r="K118">
        <v>39128.515764027303</v>
      </c>
      <c r="L118">
        <v>426966.53</v>
      </c>
      <c r="M118">
        <v>0</v>
      </c>
      <c r="N118">
        <v>479445.69</v>
      </c>
      <c r="O118" t="s">
        <v>2040</v>
      </c>
    </row>
    <row r="119" spans="1:15" x14ac:dyDescent="0.25">
      <c r="A119" t="s">
        <v>2347</v>
      </c>
      <c r="B119" t="s">
        <v>2348</v>
      </c>
      <c r="C119" t="s">
        <v>2349</v>
      </c>
      <c r="D119" t="s">
        <v>110</v>
      </c>
      <c r="E119" s="2">
        <v>44447</v>
      </c>
      <c r="F119" t="s">
        <v>41</v>
      </c>
      <c r="G119">
        <v>4000000</v>
      </c>
      <c r="H119" s="2">
        <v>44693</v>
      </c>
      <c r="I119">
        <v>2022</v>
      </c>
      <c r="J119">
        <v>16101.751857137</v>
      </c>
      <c r="K119">
        <v>43610.918142863004</v>
      </c>
      <c r="L119">
        <v>216034.82</v>
      </c>
      <c r="M119">
        <v>0</v>
      </c>
      <c r="N119">
        <v>275747.49</v>
      </c>
      <c r="O119" t="s">
        <v>2051</v>
      </c>
    </row>
    <row r="120" spans="1:15" x14ac:dyDescent="0.25">
      <c r="A120" t="s">
        <v>2350</v>
      </c>
      <c r="B120" t="s">
        <v>2351</v>
      </c>
      <c r="C120" t="s">
        <v>2352</v>
      </c>
      <c r="D120" t="s">
        <v>110</v>
      </c>
      <c r="E120" s="2">
        <v>44552</v>
      </c>
      <c r="F120" t="s">
        <v>42</v>
      </c>
      <c r="G120">
        <v>2000000</v>
      </c>
      <c r="H120" s="2">
        <v>44700</v>
      </c>
      <c r="I120">
        <v>2022</v>
      </c>
      <c r="J120">
        <v>3720.2155010014999</v>
      </c>
      <c r="K120">
        <v>11261.284498998501</v>
      </c>
      <c r="L120">
        <v>108114.74</v>
      </c>
      <c r="M120">
        <v>0</v>
      </c>
      <c r="N120">
        <v>123096.24</v>
      </c>
      <c r="O120" t="s">
        <v>2129</v>
      </c>
    </row>
    <row r="121" spans="1:15" x14ac:dyDescent="0.25">
      <c r="A121" t="s">
        <v>1723</v>
      </c>
      <c r="B121" t="s">
        <v>2353</v>
      </c>
      <c r="C121" t="s">
        <v>2354</v>
      </c>
      <c r="D121" t="s">
        <v>110</v>
      </c>
      <c r="E121" s="2">
        <v>44491</v>
      </c>
      <c r="F121" t="s">
        <v>30</v>
      </c>
      <c r="G121">
        <v>2000000</v>
      </c>
      <c r="H121" s="2">
        <v>44674</v>
      </c>
      <c r="I121">
        <v>2022</v>
      </c>
      <c r="J121">
        <v>9864.6345806920508</v>
      </c>
      <c r="K121">
        <v>39105.325419307897</v>
      </c>
      <c r="L121">
        <v>177926.43</v>
      </c>
      <c r="M121">
        <v>0</v>
      </c>
      <c r="N121">
        <v>226896.39</v>
      </c>
      <c r="O121" t="s">
        <v>2230</v>
      </c>
    </row>
    <row r="122" spans="1:15" x14ac:dyDescent="0.25">
      <c r="A122" t="s">
        <v>2355</v>
      </c>
      <c r="B122" t="s">
        <v>2356</v>
      </c>
      <c r="C122" t="s">
        <v>2357</v>
      </c>
      <c r="D122" t="s">
        <v>110</v>
      </c>
      <c r="E122" s="2">
        <v>44557</v>
      </c>
      <c r="F122" t="s">
        <v>47</v>
      </c>
      <c r="G122">
        <v>5000000</v>
      </c>
      <c r="H122" s="2">
        <v>44717</v>
      </c>
      <c r="I122">
        <v>2022</v>
      </c>
      <c r="J122">
        <v>11228.267973505401</v>
      </c>
      <c r="K122">
        <v>30693.242026494601</v>
      </c>
      <c r="L122">
        <v>347488.49</v>
      </c>
      <c r="M122">
        <v>0</v>
      </c>
      <c r="N122">
        <v>389410</v>
      </c>
      <c r="O122" t="s">
        <v>143</v>
      </c>
    </row>
    <row r="123" spans="1:15" x14ac:dyDescent="0.25">
      <c r="A123" t="s">
        <v>2358</v>
      </c>
      <c r="B123" t="s">
        <v>2359</v>
      </c>
      <c r="C123" t="s">
        <v>2360</v>
      </c>
      <c r="D123" t="s">
        <v>734</v>
      </c>
      <c r="E123" s="2">
        <v>44583</v>
      </c>
      <c r="F123" t="s">
        <v>17</v>
      </c>
      <c r="G123">
        <v>4000000</v>
      </c>
      <c r="H123" s="2">
        <v>44704</v>
      </c>
      <c r="I123">
        <v>2022</v>
      </c>
      <c r="J123">
        <v>5211.9587739651897</v>
      </c>
      <c r="K123">
        <v>20342.391226034801</v>
      </c>
      <c r="L123">
        <v>141770.9</v>
      </c>
      <c r="M123">
        <v>123311.63</v>
      </c>
      <c r="N123">
        <v>290636.88</v>
      </c>
      <c r="O123" t="s">
        <v>179</v>
      </c>
    </row>
    <row r="124" spans="1:15" x14ac:dyDescent="0.25">
      <c r="A124" t="s">
        <v>2361</v>
      </c>
      <c r="B124" t="s">
        <v>2362</v>
      </c>
      <c r="C124" t="s">
        <v>2363</v>
      </c>
      <c r="D124" t="s">
        <v>110</v>
      </c>
      <c r="E124" s="2">
        <v>44531</v>
      </c>
      <c r="F124" t="s">
        <v>26</v>
      </c>
      <c r="G124">
        <v>4000000</v>
      </c>
      <c r="H124" s="2">
        <v>44716</v>
      </c>
      <c r="I124">
        <v>2022</v>
      </c>
      <c r="J124">
        <v>5294.1423193769997</v>
      </c>
      <c r="K124">
        <v>12810.787680623</v>
      </c>
      <c r="L124">
        <v>105062.95</v>
      </c>
      <c r="M124">
        <v>0</v>
      </c>
      <c r="N124">
        <v>123167.88</v>
      </c>
      <c r="O124" t="s">
        <v>2059</v>
      </c>
    </row>
    <row r="125" spans="1:15" x14ac:dyDescent="0.25">
      <c r="A125" t="s">
        <v>1732</v>
      </c>
      <c r="B125" t="s">
        <v>2364</v>
      </c>
      <c r="C125" t="s">
        <v>2365</v>
      </c>
      <c r="D125" t="s">
        <v>734</v>
      </c>
      <c r="E125" s="2">
        <v>44342</v>
      </c>
      <c r="F125" t="s">
        <v>34</v>
      </c>
      <c r="G125">
        <v>5000000</v>
      </c>
      <c r="H125" s="2">
        <v>44698</v>
      </c>
      <c r="I125">
        <v>2022</v>
      </c>
      <c r="J125">
        <v>58040.917556125103</v>
      </c>
      <c r="K125">
        <v>157380.672443875</v>
      </c>
      <c r="L125">
        <v>952094.42</v>
      </c>
      <c r="M125">
        <v>255261.78</v>
      </c>
      <c r="N125">
        <v>1422777.79</v>
      </c>
      <c r="O125" t="s">
        <v>2114</v>
      </c>
    </row>
    <row r="126" spans="1:15" x14ac:dyDescent="0.25">
      <c r="A126" t="s">
        <v>1735</v>
      </c>
      <c r="B126" t="s">
        <v>2366</v>
      </c>
      <c r="C126" t="s">
        <v>2367</v>
      </c>
      <c r="D126" t="s">
        <v>110</v>
      </c>
      <c r="E126" s="2">
        <v>44731</v>
      </c>
      <c r="F126" t="s">
        <v>24</v>
      </c>
      <c r="G126">
        <v>5000000</v>
      </c>
      <c r="H126" s="2">
        <v>44731</v>
      </c>
      <c r="I126">
        <v>2022</v>
      </c>
      <c r="J126">
        <v>9757.5570876187994</v>
      </c>
      <c r="K126">
        <v>28625.052912381201</v>
      </c>
      <c r="L126">
        <v>221370.32</v>
      </c>
      <c r="M126">
        <v>0</v>
      </c>
      <c r="N126">
        <v>259752.93</v>
      </c>
      <c r="O126" t="s">
        <v>2051</v>
      </c>
    </row>
    <row r="127" spans="1:15" x14ac:dyDescent="0.25">
      <c r="A127" t="s">
        <v>1738</v>
      </c>
      <c r="B127" t="s">
        <v>2368</v>
      </c>
      <c r="C127" t="s">
        <v>2369</v>
      </c>
      <c r="D127" t="s">
        <v>734</v>
      </c>
      <c r="E127" s="2">
        <v>44526</v>
      </c>
      <c r="F127" t="s">
        <v>34</v>
      </c>
      <c r="G127">
        <v>1000000</v>
      </c>
      <c r="H127" s="2">
        <v>44743</v>
      </c>
      <c r="I127">
        <v>2022</v>
      </c>
      <c r="J127">
        <v>2688.6421941516601</v>
      </c>
      <c r="K127">
        <v>10133.0478058483</v>
      </c>
      <c r="L127">
        <v>75108.289999999994</v>
      </c>
      <c r="M127">
        <v>16089.51</v>
      </c>
      <c r="N127">
        <v>104019.49</v>
      </c>
      <c r="O127" t="s">
        <v>2094</v>
      </c>
    </row>
    <row r="128" spans="1:15" x14ac:dyDescent="0.25">
      <c r="A128" t="s">
        <v>1740</v>
      </c>
      <c r="B128" t="s">
        <v>2370</v>
      </c>
      <c r="C128" t="s">
        <v>2371</v>
      </c>
      <c r="D128" t="s">
        <v>110</v>
      </c>
      <c r="E128" s="2">
        <v>44591</v>
      </c>
      <c r="F128" t="s">
        <v>10</v>
      </c>
      <c r="G128">
        <v>10000000</v>
      </c>
      <c r="H128" s="2">
        <v>44742</v>
      </c>
      <c r="I128">
        <v>2022</v>
      </c>
      <c r="J128">
        <v>45581.254875801198</v>
      </c>
      <c r="K128">
        <v>152815.345124199</v>
      </c>
      <c r="L128">
        <v>882400.88</v>
      </c>
      <c r="M128">
        <v>0</v>
      </c>
      <c r="N128">
        <v>1080797.48</v>
      </c>
      <c r="O128" t="s">
        <v>2114</v>
      </c>
    </row>
    <row r="129" spans="1:15" x14ac:dyDescent="0.25">
      <c r="A129" t="s">
        <v>1746</v>
      </c>
      <c r="B129" t="s">
        <v>2372</v>
      </c>
      <c r="C129" t="s">
        <v>2373</v>
      </c>
      <c r="D129" t="s">
        <v>734</v>
      </c>
      <c r="E129" s="2">
        <v>44650</v>
      </c>
      <c r="F129" t="s">
        <v>50</v>
      </c>
      <c r="G129">
        <v>1000000</v>
      </c>
      <c r="H129" s="2">
        <v>44746</v>
      </c>
      <c r="I129">
        <v>2022</v>
      </c>
      <c r="J129">
        <v>4265.7189279138902</v>
      </c>
      <c r="K129">
        <v>13595.731072086101</v>
      </c>
      <c r="L129">
        <v>120997.15</v>
      </c>
      <c r="M129">
        <v>40121.300000000003</v>
      </c>
      <c r="N129">
        <v>178979.9</v>
      </c>
      <c r="O129" t="s">
        <v>2230</v>
      </c>
    </row>
    <row r="130" spans="1:15" x14ac:dyDescent="0.25">
      <c r="A130" t="s">
        <v>1752</v>
      </c>
      <c r="B130" t="s">
        <v>2374</v>
      </c>
      <c r="C130" t="s">
        <v>2375</v>
      </c>
      <c r="D130" t="s">
        <v>110</v>
      </c>
      <c r="E130" s="2">
        <v>44517</v>
      </c>
      <c r="F130" t="s">
        <v>22</v>
      </c>
      <c r="G130">
        <v>5000000</v>
      </c>
      <c r="H130" s="2">
        <v>44713</v>
      </c>
      <c r="I130">
        <v>2022</v>
      </c>
      <c r="J130">
        <v>10052.2477350969</v>
      </c>
      <c r="K130">
        <v>26207.3322649031</v>
      </c>
      <c r="L130">
        <v>175369.54</v>
      </c>
      <c r="M130">
        <v>0</v>
      </c>
      <c r="N130">
        <v>211629.12</v>
      </c>
      <c r="O130" t="s">
        <v>2036</v>
      </c>
    </row>
    <row r="131" spans="1:15" x14ac:dyDescent="0.25">
      <c r="A131" t="s">
        <v>1758</v>
      </c>
      <c r="B131" t="s">
        <v>2376</v>
      </c>
      <c r="C131" t="s">
        <v>2377</v>
      </c>
      <c r="D131" t="s">
        <v>110</v>
      </c>
      <c r="E131" s="2">
        <v>44273</v>
      </c>
      <c r="F131" t="s">
        <v>50</v>
      </c>
      <c r="G131">
        <v>5000000</v>
      </c>
      <c r="H131" s="2">
        <v>44509</v>
      </c>
      <c r="I131">
        <v>2021</v>
      </c>
      <c r="J131">
        <v>52526.307782258998</v>
      </c>
      <c r="K131">
        <v>125516.87221774099</v>
      </c>
      <c r="L131">
        <v>775279.43</v>
      </c>
      <c r="M131">
        <v>0</v>
      </c>
      <c r="N131">
        <v>953322.61</v>
      </c>
      <c r="O131" t="s">
        <v>2274</v>
      </c>
    </row>
    <row r="132" spans="1:15" x14ac:dyDescent="0.25">
      <c r="A132" t="s">
        <v>2378</v>
      </c>
      <c r="B132" t="s">
        <v>2379</v>
      </c>
      <c r="C132" t="s">
        <v>2380</v>
      </c>
      <c r="D132" t="s">
        <v>110</v>
      </c>
      <c r="E132" s="2">
        <v>44570</v>
      </c>
      <c r="F132" t="s">
        <v>47</v>
      </c>
      <c r="G132">
        <v>1000000</v>
      </c>
      <c r="H132" s="2">
        <v>44740</v>
      </c>
      <c r="I132">
        <v>2022</v>
      </c>
      <c r="J132">
        <v>6185.10254123299</v>
      </c>
      <c r="K132">
        <v>14983.027458766999</v>
      </c>
      <c r="L132">
        <v>77392.69</v>
      </c>
      <c r="M132">
        <v>0</v>
      </c>
      <c r="N132">
        <v>98560.82</v>
      </c>
      <c r="O132" t="s">
        <v>2097</v>
      </c>
    </row>
    <row r="133" spans="1:15" x14ac:dyDescent="0.25">
      <c r="A133" t="s">
        <v>1761</v>
      </c>
      <c r="B133" t="s">
        <v>2368</v>
      </c>
      <c r="C133" t="s">
        <v>2369</v>
      </c>
      <c r="D133" t="s">
        <v>110</v>
      </c>
      <c r="E133" s="2">
        <v>44526</v>
      </c>
      <c r="F133" t="s">
        <v>34</v>
      </c>
      <c r="G133">
        <v>1000000</v>
      </c>
      <c r="H133" s="2">
        <v>44770</v>
      </c>
      <c r="I133">
        <v>2022</v>
      </c>
      <c r="J133">
        <v>5254.0100366329898</v>
      </c>
      <c r="K133">
        <v>17512.409963367001</v>
      </c>
      <c r="L133">
        <v>211519.07</v>
      </c>
      <c r="M133">
        <v>0</v>
      </c>
      <c r="N133">
        <v>234285.49</v>
      </c>
      <c r="O133" t="s">
        <v>2051</v>
      </c>
    </row>
    <row r="134" spans="1:15" x14ac:dyDescent="0.25">
      <c r="A134" t="s">
        <v>2381</v>
      </c>
      <c r="B134" t="s">
        <v>2382</v>
      </c>
      <c r="C134" t="s">
        <v>2383</v>
      </c>
      <c r="D134" t="s">
        <v>734</v>
      </c>
      <c r="E134" s="2">
        <v>44746</v>
      </c>
      <c r="F134" t="s">
        <v>21</v>
      </c>
      <c r="G134">
        <v>1000000</v>
      </c>
      <c r="H134" s="2">
        <v>44761</v>
      </c>
      <c r="I134">
        <v>2022</v>
      </c>
      <c r="J134">
        <v>9223.7318068193199</v>
      </c>
      <c r="K134">
        <v>25294.218193180699</v>
      </c>
      <c r="L134">
        <v>54582.57</v>
      </c>
      <c r="M134">
        <v>81087.58</v>
      </c>
      <c r="N134">
        <v>170188.1</v>
      </c>
      <c r="O134" t="s">
        <v>2110</v>
      </c>
    </row>
    <row r="135" spans="1:15" x14ac:dyDescent="0.25">
      <c r="A135" t="s">
        <v>2384</v>
      </c>
      <c r="B135" t="s">
        <v>2385</v>
      </c>
      <c r="C135" t="s">
        <v>2386</v>
      </c>
      <c r="D135" t="s">
        <v>110</v>
      </c>
      <c r="E135" s="2">
        <v>44425</v>
      </c>
      <c r="F135" t="s">
        <v>14</v>
      </c>
      <c r="G135">
        <v>1000000</v>
      </c>
      <c r="H135" s="2">
        <v>44782</v>
      </c>
      <c r="I135">
        <v>2022</v>
      </c>
      <c r="J135">
        <v>5366.8301098260299</v>
      </c>
      <c r="K135">
        <v>18592.069890174</v>
      </c>
      <c r="L135">
        <v>124353.4</v>
      </c>
      <c r="M135">
        <v>0</v>
      </c>
      <c r="N135">
        <v>148312.29999999999</v>
      </c>
      <c r="O135" t="s">
        <v>1496</v>
      </c>
    </row>
    <row r="136" spans="1:15" x14ac:dyDescent="0.25">
      <c r="A136" t="s">
        <v>2387</v>
      </c>
      <c r="B136" t="s">
        <v>2388</v>
      </c>
      <c r="C136" t="s">
        <v>2389</v>
      </c>
      <c r="D136" t="s">
        <v>110</v>
      </c>
      <c r="E136" s="2">
        <v>44488</v>
      </c>
      <c r="F136" t="s">
        <v>52</v>
      </c>
      <c r="G136">
        <v>10000000</v>
      </c>
      <c r="H136" s="2">
        <v>44799</v>
      </c>
      <c r="I136">
        <v>2022</v>
      </c>
      <c r="J136">
        <v>18444.764840140098</v>
      </c>
      <c r="K136">
        <v>43973.665159859898</v>
      </c>
      <c r="L136">
        <v>432629.16</v>
      </c>
      <c r="M136">
        <v>0</v>
      </c>
      <c r="N136">
        <v>495047.59</v>
      </c>
      <c r="O136" t="s">
        <v>2157</v>
      </c>
    </row>
    <row r="137" spans="1:15" x14ac:dyDescent="0.25">
      <c r="A137" t="s">
        <v>2390</v>
      </c>
      <c r="B137" t="s">
        <v>2391</v>
      </c>
      <c r="C137" t="s">
        <v>2392</v>
      </c>
      <c r="D137" t="s">
        <v>734</v>
      </c>
      <c r="E137" s="2">
        <v>44614</v>
      </c>
      <c r="F137" t="s">
        <v>17</v>
      </c>
      <c r="G137">
        <v>2000000</v>
      </c>
      <c r="H137" s="2">
        <v>44786</v>
      </c>
      <c r="I137">
        <v>2022</v>
      </c>
      <c r="J137">
        <v>7922.5051153389504</v>
      </c>
      <c r="K137">
        <v>28113.084884660999</v>
      </c>
      <c r="L137">
        <v>182963.18</v>
      </c>
      <c r="M137">
        <v>14542.27</v>
      </c>
      <c r="N137">
        <v>233541.04</v>
      </c>
      <c r="O137" t="s">
        <v>2051</v>
      </c>
    </row>
    <row r="138" spans="1:15" x14ac:dyDescent="0.25">
      <c r="A138" t="s">
        <v>1770</v>
      </c>
      <c r="B138" t="s">
        <v>2393</v>
      </c>
      <c r="C138" t="s">
        <v>2394</v>
      </c>
      <c r="D138" t="s">
        <v>110</v>
      </c>
      <c r="E138" s="2">
        <v>44501</v>
      </c>
      <c r="F138" t="s">
        <v>27</v>
      </c>
      <c r="G138">
        <v>5000000</v>
      </c>
      <c r="H138" s="2">
        <v>44774</v>
      </c>
      <c r="I138">
        <v>2022</v>
      </c>
      <c r="J138">
        <v>26659.354092349498</v>
      </c>
      <c r="K138">
        <v>71499.495907650504</v>
      </c>
      <c r="L138">
        <v>586023.69999999995</v>
      </c>
      <c r="M138">
        <v>0</v>
      </c>
      <c r="N138">
        <v>684182.55</v>
      </c>
      <c r="O138" t="s">
        <v>2157</v>
      </c>
    </row>
    <row r="139" spans="1:15" x14ac:dyDescent="0.25">
      <c r="A139" t="s">
        <v>1773</v>
      </c>
      <c r="B139" t="s">
        <v>2395</v>
      </c>
      <c r="C139" t="s">
        <v>2396</v>
      </c>
      <c r="D139" t="s">
        <v>110</v>
      </c>
      <c r="E139" s="2">
        <v>44684</v>
      </c>
      <c r="F139" t="s">
        <v>25</v>
      </c>
      <c r="G139">
        <v>2000000</v>
      </c>
      <c r="H139" s="2">
        <v>44785</v>
      </c>
      <c r="I139">
        <v>2022</v>
      </c>
      <c r="J139">
        <v>7808.7212476837003</v>
      </c>
      <c r="K139">
        <v>20797.308752316301</v>
      </c>
      <c r="L139">
        <v>117733.13</v>
      </c>
      <c r="M139">
        <v>0</v>
      </c>
      <c r="N139">
        <v>146339.16</v>
      </c>
      <c r="O139" t="s">
        <v>2065</v>
      </c>
    </row>
    <row r="140" spans="1:15" x14ac:dyDescent="0.25">
      <c r="A140" t="s">
        <v>1779</v>
      </c>
      <c r="B140" t="s">
        <v>2397</v>
      </c>
      <c r="C140" t="s">
        <v>2398</v>
      </c>
      <c r="D140" t="s">
        <v>110</v>
      </c>
      <c r="E140" s="2">
        <v>44499</v>
      </c>
      <c r="F140" t="s">
        <v>50</v>
      </c>
      <c r="G140">
        <v>5000000</v>
      </c>
      <c r="H140" s="2">
        <v>44814</v>
      </c>
      <c r="I140">
        <v>2022</v>
      </c>
      <c r="J140">
        <v>6154.5712789085601</v>
      </c>
      <c r="K140">
        <v>20425.198721091401</v>
      </c>
      <c r="L140">
        <v>115328.4</v>
      </c>
      <c r="M140">
        <v>0</v>
      </c>
      <c r="N140">
        <v>141908.17000000001</v>
      </c>
      <c r="O140" t="s">
        <v>2065</v>
      </c>
    </row>
    <row r="141" spans="1:15" x14ac:dyDescent="0.25">
      <c r="A141" t="s">
        <v>2399</v>
      </c>
      <c r="B141" t="s">
        <v>2400</v>
      </c>
      <c r="C141" t="s">
        <v>2401</v>
      </c>
      <c r="D141" t="s">
        <v>734</v>
      </c>
      <c r="E141" s="2">
        <v>44493</v>
      </c>
      <c r="F141" t="s">
        <v>42</v>
      </c>
      <c r="G141">
        <v>2000000</v>
      </c>
      <c r="H141" s="2">
        <v>44792</v>
      </c>
      <c r="I141">
        <v>2022</v>
      </c>
      <c r="J141">
        <v>12113.2928563113</v>
      </c>
      <c r="K141">
        <v>34717.517143688703</v>
      </c>
      <c r="L141">
        <v>163357.23000000001</v>
      </c>
      <c r="M141">
        <v>14771.18</v>
      </c>
      <c r="N141">
        <v>224959.22</v>
      </c>
      <c r="O141" t="s">
        <v>2230</v>
      </c>
    </row>
    <row r="142" spans="1:15" x14ac:dyDescent="0.25">
      <c r="A142" t="s">
        <v>2402</v>
      </c>
      <c r="B142" t="s">
        <v>2403</v>
      </c>
      <c r="C142" t="s">
        <v>2404</v>
      </c>
      <c r="D142" t="s">
        <v>734</v>
      </c>
      <c r="E142" s="2">
        <v>44733</v>
      </c>
      <c r="F142" t="s">
        <v>12</v>
      </c>
      <c r="G142">
        <v>1000000</v>
      </c>
      <c r="H142" s="2">
        <v>44793</v>
      </c>
      <c r="I142">
        <v>2022</v>
      </c>
      <c r="J142">
        <v>2230.6793211397699</v>
      </c>
      <c r="K142">
        <v>5784.23067886023</v>
      </c>
      <c r="L142">
        <v>46463.37</v>
      </c>
      <c r="M142">
        <v>14788.69</v>
      </c>
      <c r="N142">
        <v>69266.97</v>
      </c>
      <c r="O142" t="s">
        <v>2086</v>
      </c>
    </row>
    <row r="143" spans="1:15" x14ac:dyDescent="0.25">
      <c r="A143" t="s">
        <v>1785</v>
      </c>
      <c r="B143" t="s">
        <v>2405</v>
      </c>
      <c r="C143" t="s">
        <v>2406</v>
      </c>
      <c r="D143" t="s">
        <v>110</v>
      </c>
      <c r="E143" s="2">
        <v>44619</v>
      </c>
      <c r="F143" t="s">
        <v>42</v>
      </c>
      <c r="G143">
        <v>2000000</v>
      </c>
      <c r="H143" s="2">
        <v>44717</v>
      </c>
      <c r="I143">
        <v>2022</v>
      </c>
      <c r="J143">
        <v>4760.1051485666503</v>
      </c>
      <c r="K143">
        <v>11142.974851433301</v>
      </c>
      <c r="L143">
        <v>111065.98</v>
      </c>
      <c r="M143">
        <v>0</v>
      </c>
      <c r="N143">
        <v>126969.06</v>
      </c>
      <c r="O143" t="s">
        <v>2129</v>
      </c>
    </row>
    <row r="144" spans="1:15" x14ac:dyDescent="0.25">
      <c r="A144" t="s">
        <v>2407</v>
      </c>
      <c r="B144" t="s">
        <v>2408</v>
      </c>
      <c r="C144" t="s">
        <v>2409</v>
      </c>
      <c r="D144" t="s">
        <v>110</v>
      </c>
      <c r="E144" s="2">
        <v>44437</v>
      </c>
      <c r="F144" t="s">
        <v>54</v>
      </c>
      <c r="G144">
        <v>5000000</v>
      </c>
      <c r="H144" s="2">
        <v>44755</v>
      </c>
      <c r="I144">
        <v>2022</v>
      </c>
      <c r="J144">
        <v>5421.7570416779399</v>
      </c>
      <c r="K144">
        <v>20737.6629583221</v>
      </c>
      <c r="L144">
        <v>112756.85</v>
      </c>
      <c r="M144">
        <v>0</v>
      </c>
      <c r="N144">
        <v>138916.26999999999</v>
      </c>
      <c r="O144" t="s">
        <v>2065</v>
      </c>
    </row>
    <row r="145" spans="1:15" x14ac:dyDescent="0.25">
      <c r="A145" t="s">
        <v>1797</v>
      </c>
      <c r="B145" t="s">
        <v>2410</v>
      </c>
      <c r="C145" t="s">
        <v>2411</v>
      </c>
      <c r="D145" t="s">
        <v>734</v>
      </c>
      <c r="E145" s="2">
        <v>44503</v>
      </c>
      <c r="F145" t="s">
        <v>50</v>
      </c>
      <c r="G145">
        <v>5000000</v>
      </c>
      <c r="H145" s="2">
        <v>44845</v>
      </c>
      <c r="I145">
        <v>2022</v>
      </c>
      <c r="J145">
        <v>29445.9820025519</v>
      </c>
      <c r="K145">
        <v>96269.237997448101</v>
      </c>
      <c r="L145">
        <v>547071.97</v>
      </c>
      <c r="M145">
        <v>80515.880000000107</v>
      </c>
      <c r="N145">
        <v>753303.07</v>
      </c>
      <c r="O145" t="s">
        <v>2274</v>
      </c>
    </row>
    <row r="146" spans="1:15" x14ac:dyDescent="0.25">
      <c r="A146" t="s">
        <v>2412</v>
      </c>
      <c r="B146" t="s">
        <v>2413</v>
      </c>
      <c r="C146" t="s">
        <v>2414</v>
      </c>
      <c r="D146" t="s">
        <v>110</v>
      </c>
      <c r="E146" s="2">
        <v>44633</v>
      </c>
      <c r="F146" t="s">
        <v>17</v>
      </c>
      <c r="G146">
        <v>2000000</v>
      </c>
      <c r="H146" s="2">
        <v>44755</v>
      </c>
      <c r="I146">
        <v>2022</v>
      </c>
      <c r="J146">
        <v>3943.5971701050598</v>
      </c>
      <c r="K146">
        <v>12092.3128298949</v>
      </c>
      <c r="L146">
        <v>81684.92</v>
      </c>
      <c r="M146">
        <v>0</v>
      </c>
      <c r="N146">
        <v>97720.83</v>
      </c>
      <c r="O146" t="s">
        <v>2097</v>
      </c>
    </row>
    <row r="147" spans="1:15" x14ac:dyDescent="0.25">
      <c r="A147" t="s">
        <v>1806</v>
      </c>
      <c r="B147" t="s">
        <v>2415</v>
      </c>
      <c r="C147" t="s">
        <v>2416</v>
      </c>
      <c r="D147" t="s">
        <v>110</v>
      </c>
      <c r="E147" s="2">
        <v>43872</v>
      </c>
      <c r="F147" t="s">
        <v>13</v>
      </c>
      <c r="G147">
        <v>5000000</v>
      </c>
      <c r="H147" s="2">
        <v>44178</v>
      </c>
      <c r="I147">
        <v>2020</v>
      </c>
      <c r="J147">
        <v>17696.192780294601</v>
      </c>
      <c r="K147">
        <v>53897.037219705402</v>
      </c>
      <c r="L147">
        <v>346942.01</v>
      </c>
      <c r="M147">
        <v>0</v>
      </c>
      <c r="N147">
        <v>418535.24</v>
      </c>
      <c r="O147" t="s">
        <v>143</v>
      </c>
    </row>
    <row r="148" spans="1:15" x14ac:dyDescent="0.25">
      <c r="A148" t="s">
        <v>1809</v>
      </c>
      <c r="B148" t="s">
        <v>2417</v>
      </c>
      <c r="C148" t="s">
        <v>2418</v>
      </c>
      <c r="D148" t="s">
        <v>110</v>
      </c>
      <c r="E148" s="2">
        <v>44463</v>
      </c>
      <c r="F148" t="s">
        <v>52</v>
      </c>
      <c r="G148">
        <v>5000000</v>
      </c>
      <c r="H148" s="2">
        <v>44649</v>
      </c>
      <c r="I148">
        <v>2022</v>
      </c>
      <c r="J148">
        <v>9765.7368881058792</v>
      </c>
      <c r="K148">
        <v>29868.933111894101</v>
      </c>
      <c r="L148">
        <v>255661.19</v>
      </c>
      <c r="M148">
        <v>0</v>
      </c>
      <c r="N148">
        <v>295295.86</v>
      </c>
      <c r="O148" t="s">
        <v>2074</v>
      </c>
    </row>
    <row r="149" spans="1:15" x14ac:dyDescent="0.25">
      <c r="A149" t="s">
        <v>2419</v>
      </c>
      <c r="B149" t="s">
        <v>2420</v>
      </c>
      <c r="C149" t="s">
        <v>2421</v>
      </c>
      <c r="D149" t="s">
        <v>110</v>
      </c>
      <c r="E149" s="2">
        <v>44473</v>
      </c>
      <c r="F149" t="s">
        <v>14</v>
      </c>
      <c r="G149">
        <v>5000000</v>
      </c>
      <c r="H149" s="2">
        <v>44756</v>
      </c>
      <c r="I149">
        <v>2022</v>
      </c>
      <c r="J149">
        <v>87029.124853869202</v>
      </c>
      <c r="K149">
        <v>312798.45514613099</v>
      </c>
      <c r="L149">
        <v>1488470.67</v>
      </c>
      <c r="M149">
        <v>0</v>
      </c>
      <c r="N149">
        <v>1888298.25</v>
      </c>
      <c r="O149" t="s">
        <v>2114</v>
      </c>
    </row>
    <row r="150" spans="1:15" x14ac:dyDescent="0.25">
      <c r="A150" t="s">
        <v>2422</v>
      </c>
      <c r="B150" t="s">
        <v>2423</v>
      </c>
      <c r="C150" t="s">
        <v>2424</v>
      </c>
      <c r="D150" t="s">
        <v>110</v>
      </c>
      <c r="E150" s="2">
        <v>44852</v>
      </c>
      <c r="F150" t="s">
        <v>42</v>
      </c>
      <c r="G150">
        <v>2000000</v>
      </c>
      <c r="H150" s="2">
        <v>44869</v>
      </c>
      <c r="I150">
        <v>2022</v>
      </c>
      <c r="J150">
        <v>2817.19257934199</v>
      </c>
      <c r="K150">
        <v>7720.1474206580097</v>
      </c>
      <c r="L150">
        <v>89983.7</v>
      </c>
      <c r="M150">
        <v>0</v>
      </c>
      <c r="N150">
        <v>100521.04</v>
      </c>
      <c r="O150" t="s">
        <v>2055</v>
      </c>
    </row>
    <row r="151" spans="1:15" x14ac:dyDescent="0.25">
      <c r="A151" t="s">
        <v>1812</v>
      </c>
      <c r="B151" t="s">
        <v>2425</v>
      </c>
      <c r="C151" t="s">
        <v>2426</v>
      </c>
      <c r="D151" t="s">
        <v>110</v>
      </c>
      <c r="E151" s="2">
        <v>44571</v>
      </c>
      <c r="F151" t="s">
        <v>21</v>
      </c>
      <c r="G151">
        <v>2000000</v>
      </c>
      <c r="H151" s="2">
        <v>44803</v>
      </c>
      <c r="I151">
        <v>2022</v>
      </c>
      <c r="J151">
        <v>8085.5799179113401</v>
      </c>
      <c r="K151">
        <v>27745.580082088702</v>
      </c>
      <c r="L151">
        <v>153879.32</v>
      </c>
      <c r="M151">
        <v>0</v>
      </c>
      <c r="N151">
        <v>189710.48</v>
      </c>
      <c r="O151" t="s">
        <v>2126</v>
      </c>
    </row>
    <row r="152" spans="1:15" x14ac:dyDescent="0.25">
      <c r="A152" t="s">
        <v>2427</v>
      </c>
      <c r="B152" t="s">
        <v>2428</v>
      </c>
      <c r="C152" t="s">
        <v>2429</v>
      </c>
      <c r="D152" t="s">
        <v>734</v>
      </c>
      <c r="E152" s="2">
        <v>44621</v>
      </c>
      <c r="F152" t="s">
        <v>31</v>
      </c>
      <c r="G152">
        <v>5000000</v>
      </c>
      <c r="H152" s="2">
        <v>44887</v>
      </c>
      <c r="I152">
        <v>2022</v>
      </c>
      <c r="J152">
        <v>3446.0218548062699</v>
      </c>
      <c r="K152">
        <v>11322.968145193699</v>
      </c>
      <c r="L152">
        <v>85704.52</v>
      </c>
      <c r="M152">
        <v>4025.5499999999902</v>
      </c>
      <c r="N152">
        <v>104499.06</v>
      </c>
      <c r="O152" t="s">
        <v>2094</v>
      </c>
    </row>
    <row r="153" spans="1:15" x14ac:dyDescent="0.25">
      <c r="A153" t="s">
        <v>2430</v>
      </c>
      <c r="B153" t="s">
        <v>2431</v>
      </c>
      <c r="C153" t="s">
        <v>2432</v>
      </c>
      <c r="D153" t="s">
        <v>110</v>
      </c>
      <c r="E153" s="2">
        <v>44426</v>
      </c>
      <c r="F153" t="s">
        <v>49</v>
      </c>
      <c r="G153">
        <v>2000000</v>
      </c>
      <c r="H153" s="2">
        <v>44706</v>
      </c>
      <c r="I153">
        <v>2022</v>
      </c>
      <c r="J153">
        <v>3325.5608009061302</v>
      </c>
      <c r="K153">
        <v>8895.4291990938691</v>
      </c>
      <c r="L153">
        <v>55551.33</v>
      </c>
      <c r="M153">
        <v>0</v>
      </c>
      <c r="N153">
        <v>67772.320000000007</v>
      </c>
      <c r="O153" t="s">
        <v>2101</v>
      </c>
    </row>
    <row r="154" spans="1:15" x14ac:dyDescent="0.25">
      <c r="A154" t="s">
        <v>2433</v>
      </c>
      <c r="B154" t="s">
        <v>2434</v>
      </c>
      <c r="C154" t="s">
        <v>2435</v>
      </c>
      <c r="D154" t="s">
        <v>110</v>
      </c>
      <c r="E154" s="2">
        <v>44456</v>
      </c>
      <c r="F154" t="s">
        <v>12</v>
      </c>
      <c r="G154">
        <v>5000000</v>
      </c>
      <c r="H154" s="2">
        <v>44814</v>
      </c>
      <c r="I154">
        <v>2022</v>
      </c>
      <c r="J154">
        <v>30257.335766124099</v>
      </c>
      <c r="K154">
        <v>77545.274233875898</v>
      </c>
      <c r="L154">
        <v>388689.07</v>
      </c>
      <c r="M154">
        <v>0</v>
      </c>
      <c r="N154">
        <v>496491.68</v>
      </c>
      <c r="O154" t="s">
        <v>2040</v>
      </c>
    </row>
    <row r="155" spans="1:15" x14ac:dyDescent="0.25">
      <c r="A155" t="s">
        <v>2436</v>
      </c>
      <c r="B155" t="s">
        <v>2437</v>
      </c>
      <c r="C155" t="s">
        <v>2438</v>
      </c>
      <c r="D155" t="s">
        <v>110</v>
      </c>
      <c r="E155" s="2">
        <v>44777</v>
      </c>
      <c r="F155" t="s">
        <v>12</v>
      </c>
      <c r="G155">
        <v>1000000</v>
      </c>
      <c r="H155" s="2">
        <v>44865</v>
      </c>
      <c r="I155">
        <v>2022</v>
      </c>
      <c r="J155">
        <v>2510.46099988475</v>
      </c>
      <c r="K155">
        <v>7714.4290001152503</v>
      </c>
      <c r="L155">
        <v>54404.04</v>
      </c>
      <c r="M155">
        <v>0</v>
      </c>
      <c r="N155">
        <v>64628.93</v>
      </c>
      <c r="O155" t="s">
        <v>2101</v>
      </c>
    </row>
    <row r="156" spans="1:15" x14ac:dyDescent="0.25">
      <c r="A156" t="s">
        <v>2439</v>
      </c>
      <c r="B156" t="s">
        <v>2440</v>
      </c>
      <c r="C156" t="s">
        <v>2441</v>
      </c>
      <c r="D156" t="s">
        <v>110</v>
      </c>
      <c r="E156" s="2">
        <v>44472</v>
      </c>
      <c r="F156" t="s">
        <v>51</v>
      </c>
      <c r="G156">
        <v>1000000</v>
      </c>
      <c r="H156" s="2">
        <v>44768</v>
      </c>
      <c r="I156">
        <v>2022</v>
      </c>
      <c r="J156">
        <v>2514.0798061757</v>
      </c>
      <c r="K156">
        <v>7993.6101938243</v>
      </c>
      <c r="L156">
        <v>51734.48</v>
      </c>
      <c r="M156">
        <v>0</v>
      </c>
      <c r="N156">
        <v>62242.17</v>
      </c>
      <c r="O156" t="s">
        <v>2166</v>
      </c>
    </row>
    <row r="157" spans="1:15" x14ac:dyDescent="0.25">
      <c r="A157" t="s">
        <v>1818</v>
      </c>
      <c r="B157" t="s">
        <v>2442</v>
      </c>
      <c r="C157" t="s">
        <v>2443</v>
      </c>
      <c r="D157" t="s">
        <v>110</v>
      </c>
      <c r="E157" s="2">
        <v>44765</v>
      </c>
      <c r="F157" t="s">
        <v>41</v>
      </c>
      <c r="G157">
        <v>10000000</v>
      </c>
      <c r="H157" s="2">
        <v>44874</v>
      </c>
      <c r="I157">
        <v>2022</v>
      </c>
      <c r="J157">
        <v>85764.604852948702</v>
      </c>
      <c r="K157">
        <v>276320.51514705102</v>
      </c>
      <c r="L157">
        <v>1374003.14</v>
      </c>
      <c r="M157">
        <v>0</v>
      </c>
      <c r="N157">
        <v>1736088.26</v>
      </c>
      <c r="O157" t="s">
        <v>2114</v>
      </c>
    </row>
    <row r="158" spans="1:15" x14ac:dyDescent="0.25">
      <c r="A158" t="s">
        <v>2444</v>
      </c>
      <c r="B158" t="s">
        <v>2445</v>
      </c>
      <c r="C158" t="s">
        <v>2446</v>
      </c>
      <c r="D158" t="s">
        <v>110</v>
      </c>
      <c r="E158" s="2">
        <v>44738</v>
      </c>
      <c r="F158" t="s">
        <v>22</v>
      </c>
      <c r="G158">
        <v>5000000</v>
      </c>
      <c r="H158" s="2">
        <v>44896</v>
      </c>
      <c r="I158">
        <v>2022</v>
      </c>
      <c r="J158">
        <v>4098.5239032945601</v>
      </c>
      <c r="K158">
        <v>14347.476096705401</v>
      </c>
      <c r="L158">
        <v>170795.84</v>
      </c>
      <c r="M158">
        <v>0</v>
      </c>
      <c r="N158">
        <v>189241.84</v>
      </c>
      <c r="O158" t="s">
        <v>2036</v>
      </c>
    </row>
    <row r="159" spans="1:15" x14ac:dyDescent="0.25">
      <c r="A159" t="s">
        <v>1824</v>
      </c>
      <c r="B159" t="s">
        <v>2447</v>
      </c>
      <c r="C159" t="s">
        <v>2448</v>
      </c>
      <c r="D159" t="s">
        <v>110</v>
      </c>
      <c r="E159" s="2">
        <v>44667</v>
      </c>
      <c r="F159" t="s">
        <v>27</v>
      </c>
      <c r="G159">
        <v>5000000</v>
      </c>
      <c r="H159" s="2">
        <v>44895</v>
      </c>
      <c r="I159">
        <v>2022</v>
      </c>
      <c r="J159">
        <v>4608.6465502753999</v>
      </c>
      <c r="K159">
        <v>14668.0934497246</v>
      </c>
      <c r="L159">
        <v>66780.960000000006</v>
      </c>
      <c r="M159">
        <v>0</v>
      </c>
      <c r="N159">
        <v>86057.7</v>
      </c>
      <c r="O159" t="s">
        <v>2086</v>
      </c>
    </row>
    <row r="160" spans="1:15" x14ac:dyDescent="0.25">
      <c r="A160" t="s">
        <v>2449</v>
      </c>
      <c r="B160" t="s">
        <v>2450</v>
      </c>
      <c r="C160" t="s">
        <v>2451</v>
      </c>
      <c r="D160" t="s">
        <v>110</v>
      </c>
      <c r="E160" s="2">
        <v>44644</v>
      </c>
      <c r="F160" t="s">
        <v>42</v>
      </c>
      <c r="G160">
        <v>5000000</v>
      </c>
      <c r="H160" s="2">
        <v>44769</v>
      </c>
      <c r="I160">
        <v>2022</v>
      </c>
      <c r="J160">
        <v>13778.5487492456</v>
      </c>
      <c r="K160">
        <v>51029.001250754402</v>
      </c>
      <c r="L160">
        <v>218688.18</v>
      </c>
      <c r="M160">
        <v>0</v>
      </c>
      <c r="N160">
        <v>283495.73</v>
      </c>
      <c r="O160" t="s">
        <v>2051</v>
      </c>
    </row>
    <row r="161" spans="1:15" x14ac:dyDescent="0.25">
      <c r="A161" t="s">
        <v>2452</v>
      </c>
      <c r="B161" t="s">
        <v>2453</v>
      </c>
      <c r="C161" t="s">
        <v>2454</v>
      </c>
      <c r="D161" t="s">
        <v>110</v>
      </c>
      <c r="E161" s="2">
        <v>44710</v>
      </c>
      <c r="F161" t="s">
        <v>16</v>
      </c>
      <c r="G161">
        <v>5000000</v>
      </c>
      <c r="H161" s="2">
        <v>44857</v>
      </c>
      <c r="I161">
        <v>2022</v>
      </c>
      <c r="J161">
        <v>5361.8591836744199</v>
      </c>
      <c r="K161">
        <v>15071.8108163256</v>
      </c>
      <c r="L161">
        <v>131348.76999999999</v>
      </c>
      <c r="M161">
        <v>0</v>
      </c>
      <c r="N161">
        <v>151782.44</v>
      </c>
      <c r="O161" t="s">
        <v>1496</v>
      </c>
    </row>
    <row r="162" spans="1:15" x14ac:dyDescent="0.25">
      <c r="A162" t="s">
        <v>1830</v>
      </c>
      <c r="B162" t="s">
        <v>2455</v>
      </c>
      <c r="C162" t="s">
        <v>2297</v>
      </c>
      <c r="D162" t="s">
        <v>110</v>
      </c>
      <c r="E162" s="2">
        <v>44865</v>
      </c>
      <c r="F162" t="s">
        <v>37</v>
      </c>
      <c r="G162">
        <v>5000000</v>
      </c>
      <c r="H162" s="2">
        <v>44900</v>
      </c>
      <c r="I162">
        <v>2022</v>
      </c>
      <c r="J162">
        <v>5770.6531802300697</v>
      </c>
      <c r="K162">
        <v>20579.0768197699</v>
      </c>
      <c r="L162">
        <v>95491.99</v>
      </c>
      <c r="M162">
        <v>0</v>
      </c>
      <c r="N162">
        <v>121841.72</v>
      </c>
      <c r="O162" t="s">
        <v>2059</v>
      </c>
    </row>
    <row r="163" spans="1:15" x14ac:dyDescent="0.25">
      <c r="A163" t="s">
        <v>2456</v>
      </c>
      <c r="B163" t="s">
        <v>2457</v>
      </c>
      <c r="C163" t="s">
        <v>2458</v>
      </c>
      <c r="D163" t="s">
        <v>734</v>
      </c>
      <c r="E163" s="2">
        <v>44464</v>
      </c>
      <c r="F163" t="s">
        <v>41</v>
      </c>
      <c r="G163">
        <v>2000000</v>
      </c>
      <c r="H163" s="2">
        <v>44783</v>
      </c>
      <c r="I163">
        <v>2022</v>
      </c>
      <c r="J163">
        <v>3462.40384437701</v>
      </c>
      <c r="K163">
        <v>12465.176155622999</v>
      </c>
      <c r="L163">
        <v>71112.59</v>
      </c>
      <c r="M163">
        <v>1926.45</v>
      </c>
      <c r="N163">
        <v>88966.62</v>
      </c>
      <c r="O163" t="s">
        <v>2078</v>
      </c>
    </row>
    <row r="164" spans="1:15" x14ac:dyDescent="0.25">
      <c r="A164" t="s">
        <v>1836</v>
      </c>
      <c r="B164" t="s">
        <v>2459</v>
      </c>
      <c r="C164" t="s">
        <v>2460</v>
      </c>
      <c r="D164" t="s">
        <v>110</v>
      </c>
      <c r="E164" s="2">
        <v>44578</v>
      </c>
      <c r="F164" t="s">
        <v>34</v>
      </c>
      <c r="G164">
        <v>5000000</v>
      </c>
      <c r="H164" s="2">
        <v>44917</v>
      </c>
      <c r="I164">
        <v>2022</v>
      </c>
      <c r="J164">
        <v>12769.731993151299</v>
      </c>
      <c r="K164">
        <v>31468.5080068487</v>
      </c>
      <c r="L164">
        <v>352541.42</v>
      </c>
      <c r="M164">
        <v>0</v>
      </c>
      <c r="N164">
        <v>396779.66</v>
      </c>
      <c r="O164" t="s">
        <v>143</v>
      </c>
    </row>
    <row r="165" spans="1:15" x14ac:dyDescent="0.25">
      <c r="A165" t="s">
        <v>2461</v>
      </c>
      <c r="B165" t="s">
        <v>2462</v>
      </c>
      <c r="C165" t="s">
        <v>2463</v>
      </c>
      <c r="D165" t="s">
        <v>110</v>
      </c>
      <c r="E165" s="2">
        <v>44862</v>
      </c>
      <c r="F165" t="s">
        <v>40</v>
      </c>
      <c r="G165">
        <v>5000000</v>
      </c>
      <c r="H165" s="2">
        <v>44917</v>
      </c>
      <c r="I165">
        <v>2022</v>
      </c>
      <c r="J165">
        <v>8565.0601223189406</v>
      </c>
      <c r="K165">
        <v>25218.249877681101</v>
      </c>
      <c r="L165">
        <v>280739.09999999998</v>
      </c>
      <c r="M165">
        <v>0</v>
      </c>
      <c r="N165">
        <v>314522.40999999997</v>
      </c>
      <c r="O165" t="s">
        <v>179</v>
      </c>
    </row>
    <row r="166" spans="1:15" x14ac:dyDescent="0.25">
      <c r="A166" t="s">
        <v>1844</v>
      </c>
      <c r="B166" t="s">
        <v>2464</v>
      </c>
      <c r="C166" t="s">
        <v>2465</v>
      </c>
      <c r="D166" t="s">
        <v>110</v>
      </c>
      <c r="E166" s="2">
        <v>44636</v>
      </c>
      <c r="F166" t="s">
        <v>42</v>
      </c>
      <c r="G166">
        <v>5000000</v>
      </c>
      <c r="H166" s="2">
        <v>44929</v>
      </c>
      <c r="I166">
        <v>2023</v>
      </c>
      <c r="J166">
        <v>11601.092979000499</v>
      </c>
      <c r="K166">
        <v>40974.597020999499</v>
      </c>
      <c r="L166">
        <v>215641.63</v>
      </c>
      <c r="M166">
        <v>0</v>
      </c>
      <c r="N166">
        <v>268217.32</v>
      </c>
      <c r="O166" t="s">
        <v>2051</v>
      </c>
    </row>
    <row r="167" spans="1:15" x14ac:dyDescent="0.25">
      <c r="A167" t="s">
        <v>1847</v>
      </c>
      <c r="B167" t="s">
        <v>2466</v>
      </c>
      <c r="C167" t="s">
        <v>2467</v>
      </c>
      <c r="D167" t="s">
        <v>110</v>
      </c>
      <c r="E167" s="2">
        <v>44894</v>
      </c>
      <c r="F167" t="s">
        <v>21</v>
      </c>
      <c r="G167">
        <v>2000000</v>
      </c>
      <c r="H167" s="2">
        <v>44921</v>
      </c>
      <c r="I167">
        <v>2022</v>
      </c>
      <c r="J167">
        <v>2505.58991316118</v>
      </c>
      <c r="K167">
        <v>8532.8500868388201</v>
      </c>
      <c r="L167">
        <v>61014.31</v>
      </c>
      <c r="M167">
        <v>0</v>
      </c>
      <c r="N167">
        <v>72052.75</v>
      </c>
      <c r="O167" t="s">
        <v>2090</v>
      </c>
    </row>
    <row r="168" spans="1:15" x14ac:dyDescent="0.25">
      <c r="A168" t="s">
        <v>1850</v>
      </c>
      <c r="B168" t="s">
        <v>2468</v>
      </c>
      <c r="C168" t="s">
        <v>2469</v>
      </c>
      <c r="D168" t="s">
        <v>110</v>
      </c>
      <c r="E168" s="2">
        <v>44923</v>
      </c>
      <c r="F168" t="s">
        <v>12</v>
      </c>
      <c r="G168">
        <v>1000000</v>
      </c>
      <c r="H168" s="2">
        <v>44925</v>
      </c>
      <c r="I168">
        <v>2022</v>
      </c>
      <c r="J168">
        <v>21921.921908407101</v>
      </c>
      <c r="K168">
        <v>56853.898091592899</v>
      </c>
      <c r="L168">
        <v>321545.95</v>
      </c>
      <c r="M168">
        <v>0</v>
      </c>
      <c r="N168">
        <v>400321.77</v>
      </c>
      <c r="O168" t="s">
        <v>143</v>
      </c>
    </row>
    <row r="169" spans="1:15" x14ac:dyDescent="0.25">
      <c r="A169" t="s">
        <v>1856</v>
      </c>
      <c r="B169" t="s">
        <v>2470</v>
      </c>
      <c r="C169" t="s">
        <v>2471</v>
      </c>
      <c r="D169" t="s">
        <v>734</v>
      </c>
      <c r="E169" s="2">
        <v>44699</v>
      </c>
      <c r="F169" t="s">
        <v>45</v>
      </c>
      <c r="G169">
        <v>2000000</v>
      </c>
      <c r="H169" s="2">
        <v>44716</v>
      </c>
      <c r="I169">
        <v>2022</v>
      </c>
      <c r="J169">
        <v>6164.3135591535502</v>
      </c>
      <c r="K169">
        <v>23400.4964408464</v>
      </c>
      <c r="L169">
        <v>112942</v>
      </c>
      <c r="M169">
        <v>34295.74</v>
      </c>
      <c r="N169">
        <v>176802.55</v>
      </c>
      <c r="O169" t="s">
        <v>2126</v>
      </c>
    </row>
    <row r="170" spans="1:15" x14ac:dyDescent="0.25">
      <c r="A170" t="s">
        <v>1859</v>
      </c>
      <c r="B170" t="s">
        <v>2472</v>
      </c>
      <c r="C170" t="s">
        <v>2473</v>
      </c>
      <c r="D170" t="s">
        <v>110</v>
      </c>
      <c r="E170" s="2">
        <v>44638</v>
      </c>
      <c r="F170" t="s">
        <v>41</v>
      </c>
      <c r="G170">
        <v>2000000</v>
      </c>
      <c r="H170" s="2">
        <v>44922</v>
      </c>
      <c r="I170">
        <v>2022</v>
      </c>
      <c r="J170">
        <v>8202.1941646363193</v>
      </c>
      <c r="K170">
        <v>23142.465835363699</v>
      </c>
      <c r="L170">
        <v>193368.61</v>
      </c>
      <c r="M170">
        <v>0</v>
      </c>
      <c r="N170">
        <v>224713.27</v>
      </c>
      <c r="O170" t="s">
        <v>2110</v>
      </c>
    </row>
    <row r="171" spans="1:15" x14ac:dyDescent="0.25">
      <c r="A171" t="s">
        <v>2474</v>
      </c>
      <c r="B171" t="s">
        <v>2475</v>
      </c>
      <c r="C171" t="s">
        <v>2476</v>
      </c>
      <c r="D171" t="s">
        <v>110</v>
      </c>
      <c r="E171" s="2">
        <v>44377</v>
      </c>
      <c r="F171" t="s">
        <v>52</v>
      </c>
      <c r="G171">
        <v>1000000</v>
      </c>
      <c r="H171" s="2">
        <v>44732</v>
      </c>
      <c r="I171">
        <v>2022</v>
      </c>
      <c r="J171">
        <v>4063.4019787184998</v>
      </c>
      <c r="K171">
        <v>10599.768021281499</v>
      </c>
      <c r="L171">
        <v>100549.26</v>
      </c>
      <c r="M171">
        <v>0</v>
      </c>
      <c r="N171">
        <v>115212.43</v>
      </c>
      <c r="O171" t="s">
        <v>2059</v>
      </c>
    </row>
    <row r="172" spans="1:15" x14ac:dyDescent="0.25">
      <c r="A172" t="s">
        <v>2477</v>
      </c>
      <c r="B172" t="s">
        <v>2478</v>
      </c>
      <c r="C172" t="s">
        <v>2479</v>
      </c>
      <c r="D172" t="s">
        <v>110</v>
      </c>
      <c r="E172" s="2">
        <v>44604</v>
      </c>
      <c r="F172" t="s">
        <v>22</v>
      </c>
      <c r="G172">
        <v>10000000</v>
      </c>
      <c r="H172" s="2">
        <v>44937</v>
      </c>
      <c r="I172">
        <v>2023</v>
      </c>
      <c r="J172">
        <v>61400.5981491903</v>
      </c>
      <c r="K172">
        <v>178441.60185081</v>
      </c>
      <c r="L172">
        <v>898260.12</v>
      </c>
      <c r="M172">
        <v>0</v>
      </c>
      <c r="N172">
        <v>1138102.32</v>
      </c>
      <c r="O172" t="s">
        <v>2114</v>
      </c>
    </row>
    <row r="173" spans="1:15" x14ac:dyDescent="0.25">
      <c r="A173" t="s">
        <v>2480</v>
      </c>
      <c r="B173" t="s">
        <v>2481</v>
      </c>
      <c r="C173" t="s">
        <v>2482</v>
      </c>
      <c r="D173" t="s">
        <v>734</v>
      </c>
      <c r="E173" s="2">
        <v>44800</v>
      </c>
      <c r="F173" t="s">
        <v>41</v>
      </c>
      <c r="G173">
        <v>3000000</v>
      </c>
      <c r="H173" s="2">
        <v>44882</v>
      </c>
      <c r="I173">
        <v>2022</v>
      </c>
      <c r="J173">
        <v>4118.6366129686803</v>
      </c>
      <c r="K173">
        <v>10749.613387031301</v>
      </c>
      <c r="L173">
        <v>44195.65</v>
      </c>
      <c r="M173">
        <v>65952.59</v>
      </c>
      <c r="N173">
        <v>125016.49</v>
      </c>
      <c r="O173" t="s">
        <v>2230</v>
      </c>
    </row>
    <row r="174" spans="1:15" x14ac:dyDescent="0.25">
      <c r="A174" t="s">
        <v>2483</v>
      </c>
      <c r="B174" t="s">
        <v>2484</v>
      </c>
      <c r="C174" t="s">
        <v>2485</v>
      </c>
      <c r="D174" t="s">
        <v>110</v>
      </c>
      <c r="E174" s="2">
        <v>44933</v>
      </c>
      <c r="F174" t="s">
        <v>41</v>
      </c>
      <c r="G174">
        <v>2000000</v>
      </c>
      <c r="H174" s="2">
        <v>44947</v>
      </c>
      <c r="I174">
        <v>2023</v>
      </c>
      <c r="J174">
        <v>13064.6029358412</v>
      </c>
      <c r="K174">
        <v>32275.877064158802</v>
      </c>
      <c r="L174">
        <v>205701.37</v>
      </c>
      <c r="M174">
        <v>0</v>
      </c>
      <c r="N174">
        <v>251041.85</v>
      </c>
      <c r="O174" t="s">
        <v>2051</v>
      </c>
    </row>
    <row r="175" spans="1:15" x14ac:dyDescent="0.25">
      <c r="A175" t="s">
        <v>1868</v>
      </c>
      <c r="B175" t="s">
        <v>2486</v>
      </c>
      <c r="C175" t="s">
        <v>2487</v>
      </c>
      <c r="D175" t="s">
        <v>110</v>
      </c>
      <c r="E175" s="2">
        <v>44553</v>
      </c>
      <c r="F175" t="s">
        <v>36</v>
      </c>
      <c r="G175">
        <v>5000000</v>
      </c>
      <c r="H175" s="2">
        <v>44648</v>
      </c>
      <c r="I175">
        <v>2022</v>
      </c>
      <c r="J175">
        <v>9259.4798682910205</v>
      </c>
      <c r="K175">
        <v>31182.170131709001</v>
      </c>
      <c r="L175">
        <v>141135.79</v>
      </c>
      <c r="M175">
        <v>0</v>
      </c>
      <c r="N175">
        <v>181577.44</v>
      </c>
      <c r="O175" t="s">
        <v>2126</v>
      </c>
    </row>
    <row r="176" spans="1:15" x14ac:dyDescent="0.25">
      <c r="A176" t="s">
        <v>2488</v>
      </c>
      <c r="B176" t="s">
        <v>2489</v>
      </c>
      <c r="C176" t="s">
        <v>2490</v>
      </c>
      <c r="D176" t="s">
        <v>110</v>
      </c>
      <c r="E176" s="2">
        <v>44920</v>
      </c>
      <c r="F176" t="s">
        <v>57</v>
      </c>
      <c r="G176">
        <v>5000000</v>
      </c>
      <c r="H176" s="2">
        <v>44983</v>
      </c>
      <c r="I176">
        <v>2023</v>
      </c>
      <c r="J176">
        <v>23402.301831956898</v>
      </c>
      <c r="K176">
        <v>57042.648168043102</v>
      </c>
      <c r="L176">
        <v>777965.09</v>
      </c>
      <c r="M176">
        <v>0</v>
      </c>
      <c r="N176">
        <v>858410.04</v>
      </c>
      <c r="O176" t="s">
        <v>2274</v>
      </c>
    </row>
    <row r="177" spans="1:15" x14ac:dyDescent="0.25">
      <c r="A177" t="s">
        <v>2491</v>
      </c>
      <c r="B177" t="s">
        <v>2492</v>
      </c>
      <c r="C177" t="s">
        <v>2493</v>
      </c>
      <c r="D177" t="s">
        <v>110</v>
      </c>
      <c r="E177" s="2">
        <v>44932</v>
      </c>
      <c r="F177" t="s">
        <v>12</v>
      </c>
      <c r="G177">
        <v>5000000</v>
      </c>
      <c r="H177" s="2">
        <v>44992</v>
      </c>
      <c r="I177">
        <v>2023</v>
      </c>
      <c r="J177">
        <v>4783.6234855902403</v>
      </c>
      <c r="K177">
        <v>11716.246514409801</v>
      </c>
      <c r="L177">
        <v>61700.05</v>
      </c>
      <c r="M177">
        <v>0</v>
      </c>
      <c r="N177">
        <v>78199.92</v>
      </c>
      <c r="O177" t="s">
        <v>2090</v>
      </c>
    </row>
    <row r="178" spans="1:15" x14ac:dyDescent="0.25">
      <c r="A178" t="s">
        <v>1871</v>
      </c>
      <c r="B178" t="s">
        <v>2494</v>
      </c>
      <c r="C178" t="s">
        <v>2495</v>
      </c>
      <c r="D178" t="s">
        <v>734</v>
      </c>
      <c r="E178" s="2">
        <v>44726</v>
      </c>
      <c r="F178" t="s">
        <v>30</v>
      </c>
      <c r="G178">
        <v>5000000</v>
      </c>
      <c r="H178" s="2">
        <v>44971</v>
      </c>
      <c r="I178">
        <v>2023</v>
      </c>
      <c r="J178">
        <v>3128.6071091397098</v>
      </c>
      <c r="K178">
        <v>9008.1428908602902</v>
      </c>
      <c r="L178">
        <v>44869.93</v>
      </c>
      <c r="M178">
        <v>6434.85</v>
      </c>
      <c r="N178">
        <v>63441.53</v>
      </c>
      <c r="O178" t="s">
        <v>2166</v>
      </c>
    </row>
    <row r="179" spans="1:15" x14ac:dyDescent="0.25">
      <c r="A179" t="s">
        <v>2496</v>
      </c>
      <c r="B179" t="s">
        <v>2497</v>
      </c>
      <c r="C179" t="s">
        <v>2498</v>
      </c>
      <c r="D179" t="s">
        <v>734</v>
      </c>
      <c r="E179" s="2">
        <v>44828</v>
      </c>
      <c r="F179" t="s">
        <v>28</v>
      </c>
      <c r="G179">
        <v>5000000</v>
      </c>
      <c r="H179" s="2">
        <v>44871</v>
      </c>
      <c r="I179">
        <v>2022</v>
      </c>
      <c r="J179">
        <v>3447.2035804137499</v>
      </c>
      <c r="K179">
        <v>9186.6064195862491</v>
      </c>
      <c r="L179">
        <v>67116.14</v>
      </c>
      <c r="M179">
        <v>40534.15</v>
      </c>
      <c r="N179">
        <v>120284.1</v>
      </c>
      <c r="O179" t="s">
        <v>2129</v>
      </c>
    </row>
    <row r="180" spans="1:15" x14ac:dyDescent="0.25">
      <c r="A180" t="s">
        <v>2499</v>
      </c>
      <c r="B180" t="s">
        <v>2500</v>
      </c>
      <c r="C180" t="s">
        <v>2501</v>
      </c>
      <c r="D180" t="s">
        <v>110</v>
      </c>
      <c r="E180" s="2">
        <v>44860</v>
      </c>
      <c r="F180" t="s">
        <v>21</v>
      </c>
      <c r="G180">
        <v>10000000</v>
      </c>
      <c r="H180" s="2">
        <v>44957</v>
      </c>
      <c r="I180">
        <v>2023</v>
      </c>
      <c r="J180">
        <v>17077.496272431501</v>
      </c>
      <c r="K180">
        <v>60041.263727568497</v>
      </c>
      <c r="L180">
        <v>353828.43</v>
      </c>
      <c r="M180">
        <v>0</v>
      </c>
      <c r="N180">
        <v>430947.19</v>
      </c>
      <c r="O180" t="s">
        <v>143</v>
      </c>
    </row>
    <row r="181" spans="1:15" x14ac:dyDescent="0.25">
      <c r="A181" t="s">
        <v>2502</v>
      </c>
      <c r="B181" t="s">
        <v>2503</v>
      </c>
      <c r="C181" t="s">
        <v>2504</v>
      </c>
      <c r="D181" t="s">
        <v>734</v>
      </c>
      <c r="E181" s="2">
        <v>44687</v>
      </c>
      <c r="F181" t="s">
        <v>50</v>
      </c>
      <c r="G181">
        <v>4000000</v>
      </c>
      <c r="H181" s="2">
        <v>44887</v>
      </c>
      <c r="I181">
        <v>2022</v>
      </c>
      <c r="J181">
        <v>2611.0746404624201</v>
      </c>
      <c r="K181">
        <v>7297.7053595375801</v>
      </c>
      <c r="L181">
        <v>65473.919999999998</v>
      </c>
      <c r="M181">
        <v>921.48</v>
      </c>
      <c r="N181">
        <v>76304.179999999993</v>
      </c>
      <c r="O181" t="s">
        <v>2086</v>
      </c>
    </row>
    <row r="182" spans="1:15" x14ac:dyDescent="0.25">
      <c r="A182" t="s">
        <v>1886</v>
      </c>
      <c r="B182" t="s">
        <v>2505</v>
      </c>
      <c r="C182" t="s">
        <v>2506</v>
      </c>
      <c r="D182" t="s">
        <v>110</v>
      </c>
      <c r="E182" s="2">
        <v>44803</v>
      </c>
      <c r="F182" t="s">
        <v>31</v>
      </c>
      <c r="G182">
        <v>1000000</v>
      </c>
      <c r="H182" s="2">
        <v>44987</v>
      </c>
      <c r="I182">
        <v>2023</v>
      </c>
      <c r="J182">
        <v>18076.414977392698</v>
      </c>
      <c r="K182">
        <v>61754.705022607297</v>
      </c>
      <c r="L182">
        <v>273878.3</v>
      </c>
      <c r="M182">
        <v>0</v>
      </c>
      <c r="N182">
        <v>353709.42</v>
      </c>
      <c r="O182" t="s">
        <v>179</v>
      </c>
    </row>
    <row r="183" spans="1:15" x14ac:dyDescent="0.25">
      <c r="A183" t="s">
        <v>2507</v>
      </c>
      <c r="B183" t="s">
        <v>2508</v>
      </c>
      <c r="C183" t="s">
        <v>2509</v>
      </c>
      <c r="D183" t="s">
        <v>110</v>
      </c>
      <c r="E183" s="2">
        <v>44576</v>
      </c>
      <c r="F183" t="s">
        <v>37</v>
      </c>
      <c r="G183">
        <v>1000000</v>
      </c>
      <c r="H183" s="2">
        <v>44840</v>
      </c>
      <c r="I183">
        <v>2022</v>
      </c>
      <c r="J183">
        <v>5282.7512716856299</v>
      </c>
      <c r="K183">
        <v>19946.898728314402</v>
      </c>
      <c r="L183">
        <v>189208.65</v>
      </c>
      <c r="M183">
        <v>0</v>
      </c>
      <c r="N183">
        <v>214438.3</v>
      </c>
      <c r="O183" t="s">
        <v>2110</v>
      </c>
    </row>
    <row r="184" spans="1:15" x14ac:dyDescent="0.25">
      <c r="A184" t="s">
        <v>2510</v>
      </c>
      <c r="B184" t="s">
        <v>2511</v>
      </c>
      <c r="C184" t="s">
        <v>2338</v>
      </c>
      <c r="D184" t="s">
        <v>734</v>
      </c>
      <c r="E184" s="2">
        <v>44811</v>
      </c>
      <c r="F184" t="s">
        <v>34</v>
      </c>
      <c r="G184">
        <v>10000000</v>
      </c>
      <c r="H184" s="2">
        <v>45004</v>
      </c>
      <c r="I184">
        <v>2023</v>
      </c>
      <c r="J184">
        <v>8776.6127005727394</v>
      </c>
      <c r="K184">
        <v>31937.487299427299</v>
      </c>
      <c r="L184">
        <v>123061.77</v>
      </c>
      <c r="M184">
        <v>38070.19</v>
      </c>
      <c r="N184">
        <v>201846.06</v>
      </c>
      <c r="O184" t="s">
        <v>2230</v>
      </c>
    </row>
    <row r="185" spans="1:15" x14ac:dyDescent="0.25">
      <c r="A185" t="s">
        <v>2512</v>
      </c>
      <c r="B185" t="s">
        <v>2513</v>
      </c>
      <c r="C185" t="s">
        <v>2514</v>
      </c>
      <c r="D185" t="s">
        <v>110</v>
      </c>
      <c r="E185" s="2">
        <v>44832</v>
      </c>
      <c r="F185" t="s">
        <v>54</v>
      </c>
      <c r="G185">
        <v>5000000</v>
      </c>
      <c r="H185" s="2">
        <v>45030</v>
      </c>
      <c r="I185">
        <v>2023</v>
      </c>
      <c r="J185">
        <v>12970.3528105163</v>
      </c>
      <c r="K185">
        <v>32597.127189483701</v>
      </c>
      <c r="L185">
        <v>430727.33</v>
      </c>
      <c r="M185">
        <v>0</v>
      </c>
      <c r="N185">
        <v>476294.81</v>
      </c>
      <c r="O185" t="s">
        <v>2157</v>
      </c>
    </row>
    <row r="186" spans="1:15" x14ac:dyDescent="0.25">
      <c r="A186" t="s">
        <v>2515</v>
      </c>
      <c r="B186" t="s">
        <v>2516</v>
      </c>
      <c r="C186" t="s">
        <v>2517</v>
      </c>
      <c r="D186" t="s">
        <v>734</v>
      </c>
      <c r="E186" s="2">
        <v>44748</v>
      </c>
      <c r="F186" t="s">
        <v>13</v>
      </c>
      <c r="G186">
        <v>1000000</v>
      </c>
      <c r="H186" s="2">
        <v>45020</v>
      </c>
      <c r="I186">
        <v>2023</v>
      </c>
      <c r="J186">
        <v>3198.2200966845598</v>
      </c>
      <c r="K186">
        <v>10937.6499033154</v>
      </c>
      <c r="L186">
        <v>68022.759999999995</v>
      </c>
      <c r="M186">
        <v>2407.8200000000102</v>
      </c>
      <c r="N186">
        <v>84566.45</v>
      </c>
      <c r="O186" t="s">
        <v>2086</v>
      </c>
    </row>
    <row r="187" spans="1:15" x14ac:dyDescent="0.25">
      <c r="A187" t="s">
        <v>1901</v>
      </c>
      <c r="B187" t="s">
        <v>2518</v>
      </c>
      <c r="C187" t="s">
        <v>2519</v>
      </c>
      <c r="D187" t="s">
        <v>110</v>
      </c>
      <c r="E187" s="2">
        <v>44625</v>
      </c>
      <c r="F187" t="s">
        <v>12</v>
      </c>
      <c r="G187">
        <v>3000000</v>
      </c>
      <c r="H187" s="2">
        <v>44898</v>
      </c>
      <c r="I187">
        <v>2022</v>
      </c>
      <c r="J187">
        <v>6098.2586185984201</v>
      </c>
      <c r="K187">
        <v>22344.851381401601</v>
      </c>
      <c r="L187">
        <v>99657.41</v>
      </c>
      <c r="M187">
        <v>0</v>
      </c>
      <c r="N187">
        <v>128100.52</v>
      </c>
      <c r="O187" t="s">
        <v>2059</v>
      </c>
    </row>
    <row r="188" spans="1:15" x14ac:dyDescent="0.25">
      <c r="A188" t="s">
        <v>1904</v>
      </c>
      <c r="B188" t="s">
        <v>2520</v>
      </c>
      <c r="C188" t="s">
        <v>2521</v>
      </c>
      <c r="D188" t="s">
        <v>734</v>
      </c>
      <c r="E188" s="2">
        <v>44758</v>
      </c>
      <c r="F188" t="s">
        <v>12</v>
      </c>
      <c r="G188">
        <v>5000000</v>
      </c>
      <c r="H188" s="2">
        <v>45026</v>
      </c>
      <c r="I188">
        <v>2023</v>
      </c>
      <c r="J188">
        <v>4133.4381944998104</v>
      </c>
      <c r="K188">
        <v>12775.9918055002</v>
      </c>
      <c r="L188">
        <v>28178.25</v>
      </c>
      <c r="M188">
        <v>178481.85</v>
      </c>
      <c r="N188">
        <v>223569.53</v>
      </c>
      <c r="O188" t="s">
        <v>2074</v>
      </c>
    </row>
    <row r="189" spans="1:15" x14ac:dyDescent="0.25">
      <c r="A189" t="s">
        <v>2522</v>
      </c>
      <c r="B189" t="s">
        <v>2523</v>
      </c>
      <c r="C189" t="s">
        <v>2524</v>
      </c>
      <c r="D189" t="s">
        <v>110</v>
      </c>
      <c r="E189" s="2">
        <v>44669</v>
      </c>
      <c r="F189" t="s">
        <v>9</v>
      </c>
      <c r="G189">
        <v>10000000</v>
      </c>
      <c r="H189" s="2">
        <v>45025</v>
      </c>
      <c r="I189">
        <v>2023</v>
      </c>
      <c r="J189">
        <v>19081.774246682799</v>
      </c>
      <c r="K189">
        <v>56414.715753317199</v>
      </c>
      <c r="L189">
        <v>484501.07</v>
      </c>
      <c r="M189">
        <v>0</v>
      </c>
      <c r="N189">
        <v>559997.56000000006</v>
      </c>
      <c r="O189" t="s">
        <v>2157</v>
      </c>
    </row>
    <row r="190" spans="1:15" x14ac:dyDescent="0.25">
      <c r="A190" t="s">
        <v>1907</v>
      </c>
      <c r="B190" t="s">
        <v>2525</v>
      </c>
      <c r="C190" t="s">
        <v>2143</v>
      </c>
      <c r="D190" t="s">
        <v>110</v>
      </c>
      <c r="E190" s="2">
        <v>44729</v>
      </c>
      <c r="F190" t="s">
        <v>36</v>
      </c>
      <c r="G190">
        <v>2000000</v>
      </c>
      <c r="H190" s="2">
        <v>45023</v>
      </c>
      <c r="I190">
        <v>2023</v>
      </c>
      <c r="J190">
        <v>13339.187584683399</v>
      </c>
      <c r="K190">
        <v>31226.572415316601</v>
      </c>
      <c r="L190">
        <v>282227.65000000002</v>
      </c>
      <c r="M190">
        <v>0</v>
      </c>
      <c r="N190">
        <v>326793.40999999997</v>
      </c>
      <c r="O190" t="s">
        <v>179</v>
      </c>
    </row>
    <row r="191" spans="1:15" x14ac:dyDescent="0.25">
      <c r="A191" t="s">
        <v>2526</v>
      </c>
      <c r="B191" t="s">
        <v>2527</v>
      </c>
      <c r="C191" t="s">
        <v>2528</v>
      </c>
      <c r="D191" t="s">
        <v>734</v>
      </c>
      <c r="E191" s="2">
        <v>44764</v>
      </c>
      <c r="F191" t="s">
        <v>17</v>
      </c>
      <c r="G191">
        <v>5000000</v>
      </c>
      <c r="H191" s="2">
        <v>45018</v>
      </c>
      <c r="I191">
        <v>2023</v>
      </c>
      <c r="J191">
        <v>2318.38383875205</v>
      </c>
      <c r="K191">
        <v>7914.2861612479501</v>
      </c>
      <c r="L191">
        <v>118472.88</v>
      </c>
      <c r="M191">
        <v>90071.56</v>
      </c>
      <c r="N191">
        <v>218777.11</v>
      </c>
      <c r="O191" t="s">
        <v>179</v>
      </c>
    </row>
    <row r="192" spans="1:15" x14ac:dyDescent="0.25">
      <c r="A192" t="s">
        <v>2529</v>
      </c>
      <c r="B192" t="s">
        <v>2530</v>
      </c>
      <c r="C192" t="s">
        <v>2531</v>
      </c>
      <c r="D192" t="s">
        <v>110</v>
      </c>
      <c r="E192" s="2">
        <v>44827</v>
      </c>
      <c r="F192" t="s">
        <v>55</v>
      </c>
      <c r="G192">
        <v>3000000</v>
      </c>
      <c r="H192" s="2">
        <v>45013</v>
      </c>
      <c r="I192">
        <v>2023</v>
      </c>
      <c r="J192">
        <v>5683.2294927912599</v>
      </c>
      <c r="K192">
        <v>20141.180507208701</v>
      </c>
      <c r="L192">
        <v>102882.79</v>
      </c>
      <c r="M192">
        <v>0</v>
      </c>
      <c r="N192">
        <v>128707.2</v>
      </c>
      <c r="O192" t="s">
        <v>2059</v>
      </c>
    </row>
    <row r="193" spans="1:15" x14ac:dyDescent="0.25">
      <c r="A193" t="s">
        <v>2532</v>
      </c>
      <c r="B193" t="s">
        <v>2533</v>
      </c>
      <c r="C193" t="s">
        <v>2534</v>
      </c>
      <c r="D193" t="s">
        <v>110</v>
      </c>
      <c r="E193" s="2">
        <v>44758</v>
      </c>
      <c r="F193" t="s">
        <v>44</v>
      </c>
      <c r="G193">
        <v>10000000</v>
      </c>
      <c r="H193" s="2">
        <v>45011</v>
      </c>
      <c r="I193">
        <v>2023</v>
      </c>
      <c r="J193">
        <v>47776.975085491198</v>
      </c>
      <c r="K193">
        <v>112426.174914509</v>
      </c>
      <c r="L193">
        <v>612702.26</v>
      </c>
      <c r="M193">
        <v>0</v>
      </c>
      <c r="N193">
        <v>772905.41</v>
      </c>
      <c r="O193" t="s">
        <v>2274</v>
      </c>
    </row>
    <row r="194" spans="1:15" x14ac:dyDescent="0.25">
      <c r="A194" t="s">
        <v>1913</v>
      </c>
      <c r="B194" t="s">
        <v>2535</v>
      </c>
      <c r="C194" t="s">
        <v>2536</v>
      </c>
      <c r="D194" t="s">
        <v>110</v>
      </c>
      <c r="E194" s="2">
        <v>44902</v>
      </c>
      <c r="F194" t="s">
        <v>45</v>
      </c>
      <c r="G194">
        <v>4000000</v>
      </c>
      <c r="H194" s="2">
        <v>45013</v>
      </c>
      <c r="I194">
        <v>2023</v>
      </c>
      <c r="J194">
        <v>10025.003596857599</v>
      </c>
      <c r="K194">
        <v>31314.3764031424</v>
      </c>
      <c r="L194">
        <v>175581.81</v>
      </c>
      <c r="M194">
        <v>0</v>
      </c>
      <c r="N194">
        <v>216921.19</v>
      </c>
      <c r="O194" t="s">
        <v>2230</v>
      </c>
    </row>
    <row r="195" spans="1:15" x14ac:dyDescent="0.25">
      <c r="A195" t="s">
        <v>2537</v>
      </c>
      <c r="B195" t="s">
        <v>2538</v>
      </c>
      <c r="C195" t="s">
        <v>2539</v>
      </c>
      <c r="D195" t="s">
        <v>734</v>
      </c>
      <c r="E195" s="2">
        <v>44910</v>
      </c>
      <c r="F195" t="s">
        <v>11</v>
      </c>
      <c r="G195">
        <v>1000000</v>
      </c>
      <c r="H195" s="2">
        <v>45001</v>
      </c>
      <c r="I195">
        <v>2023</v>
      </c>
      <c r="J195">
        <v>6191.3139023923604</v>
      </c>
      <c r="K195">
        <v>14838.5660976076</v>
      </c>
      <c r="L195">
        <v>87870.52</v>
      </c>
      <c r="M195">
        <v>33295.279999999999</v>
      </c>
      <c r="N195">
        <v>142195.68</v>
      </c>
      <c r="O195" t="s">
        <v>233</v>
      </c>
    </row>
    <row r="196" spans="1:15" x14ac:dyDescent="0.25">
      <c r="A196" t="s">
        <v>2540</v>
      </c>
      <c r="B196" t="s">
        <v>2541</v>
      </c>
      <c r="C196" t="s">
        <v>2542</v>
      </c>
      <c r="D196" t="s">
        <v>734</v>
      </c>
      <c r="E196" s="2">
        <v>44920</v>
      </c>
      <c r="F196" t="s">
        <v>45</v>
      </c>
      <c r="G196">
        <v>2000000</v>
      </c>
      <c r="H196" s="2">
        <v>45034</v>
      </c>
      <c r="I196">
        <v>2023</v>
      </c>
      <c r="J196">
        <v>622.97241478055196</v>
      </c>
      <c r="K196">
        <v>2094.3675852194501</v>
      </c>
      <c r="L196">
        <v>33959.53</v>
      </c>
      <c r="M196">
        <v>32627.43</v>
      </c>
      <c r="N196">
        <v>69304.3</v>
      </c>
      <c r="O196" t="s">
        <v>2097</v>
      </c>
    </row>
    <row r="197" spans="1:15" x14ac:dyDescent="0.25">
      <c r="A197" t="s">
        <v>1925</v>
      </c>
      <c r="B197" t="s">
        <v>2543</v>
      </c>
      <c r="C197" t="s">
        <v>2544</v>
      </c>
      <c r="D197" t="s">
        <v>734</v>
      </c>
      <c r="E197" s="2">
        <v>44819</v>
      </c>
      <c r="F197" t="s">
        <v>12</v>
      </c>
      <c r="G197">
        <v>5000000</v>
      </c>
      <c r="H197" s="2">
        <v>44995</v>
      </c>
      <c r="I197">
        <v>2023</v>
      </c>
      <c r="J197">
        <v>3187.35169431035</v>
      </c>
      <c r="K197">
        <v>11739.1883056896</v>
      </c>
      <c r="L197">
        <v>66940.75</v>
      </c>
      <c r="M197">
        <v>527852.38</v>
      </c>
      <c r="N197">
        <v>609719.67000000004</v>
      </c>
      <c r="O197" t="s">
        <v>2274</v>
      </c>
    </row>
    <row r="198" spans="1:15" x14ac:dyDescent="0.25">
      <c r="A198" t="s">
        <v>2545</v>
      </c>
      <c r="B198" t="s">
        <v>2546</v>
      </c>
      <c r="C198" t="s">
        <v>2547</v>
      </c>
      <c r="D198" t="s">
        <v>734</v>
      </c>
      <c r="E198" s="2">
        <v>44731</v>
      </c>
      <c r="F198" t="s">
        <v>21</v>
      </c>
      <c r="G198">
        <v>1000000</v>
      </c>
      <c r="H198" s="2">
        <v>45062</v>
      </c>
      <c r="I198">
        <v>2023</v>
      </c>
      <c r="J198">
        <v>1597.4160678442399</v>
      </c>
      <c r="K198">
        <v>4283.5439321557596</v>
      </c>
      <c r="L198">
        <v>30375.08</v>
      </c>
      <c r="M198">
        <v>16256.89</v>
      </c>
      <c r="N198">
        <v>52512.93</v>
      </c>
      <c r="O198" t="s">
        <v>2101</v>
      </c>
    </row>
    <row r="199" spans="1:15" x14ac:dyDescent="0.25">
      <c r="A199" t="s">
        <v>2548</v>
      </c>
      <c r="B199" t="s">
        <v>2549</v>
      </c>
      <c r="C199" t="s">
        <v>2550</v>
      </c>
      <c r="D199" t="s">
        <v>734</v>
      </c>
      <c r="E199" s="2">
        <v>44719</v>
      </c>
      <c r="F199" t="s">
        <v>50</v>
      </c>
      <c r="G199">
        <v>4000000</v>
      </c>
      <c r="H199" s="2">
        <v>45029</v>
      </c>
      <c r="I199">
        <v>2023</v>
      </c>
      <c r="J199">
        <v>2080.6890177177302</v>
      </c>
      <c r="K199">
        <v>5525.86098228227</v>
      </c>
      <c r="L199">
        <v>62414.67</v>
      </c>
      <c r="M199">
        <v>13695.75</v>
      </c>
      <c r="N199">
        <v>83716.97</v>
      </c>
      <c r="O199" t="s">
        <v>2094</v>
      </c>
    </row>
    <row r="200" spans="1:15" x14ac:dyDescent="0.25">
      <c r="A200" t="s">
        <v>1931</v>
      </c>
      <c r="B200" t="s">
        <v>2551</v>
      </c>
      <c r="C200" t="s">
        <v>2552</v>
      </c>
      <c r="D200" t="s">
        <v>110</v>
      </c>
      <c r="E200" s="2">
        <v>44972</v>
      </c>
      <c r="F200" t="s">
        <v>50</v>
      </c>
      <c r="G200">
        <v>3000000</v>
      </c>
      <c r="H200" s="2">
        <v>45061</v>
      </c>
      <c r="I200">
        <v>2023</v>
      </c>
      <c r="J200">
        <v>8283.3926631608301</v>
      </c>
      <c r="K200">
        <v>23455.3073368392</v>
      </c>
      <c r="L200">
        <v>121766.28</v>
      </c>
      <c r="M200">
        <v>0</v>
      </c>
      <c r="N200">
        <v>153504.98000000001</v>
      </c>
      <c r="O200" t="s">
        <v>1496</v>
      </c>
    </row>
    <row r="201" spans="1:15" x14ac:dyDescent="0.25">
      <c r="A201" t="s">
        <v>1933</v>
      </c>
      <c r="B201" t="s">
        <v>2553</v>
      </c>
      <c r="C201" t="s">
        <v>2554</v>
      </c>
      <c r="D201" t="s">
        <v>110</v>
      </c>
      <c r="E201" s="2">
        <v>44942</v>
      </c>
      <c r="F201" t="s">
        <v>22</v>
      </c>
      <c r="G201">
        <v>1000000</v>
      </c>
      <c r="H201" s="2">
        <v>45051</v>
      </c>
      <c r="I201">
        <v>2023</v>
      </c>
      <c r="J201">
        <v>2524.0600564388701</v>
      </c>
      <c r="K201">
        <v>6782.7599435611301</v>
      </c>
      <c r="L201">
        <v>52891.03</v>
      </c>
      <c r="M201">
        <v>0</v>
      </c>
      <c r="N201">
        <v>62197.85</v>
      </c>
      <c r="O201" t="s">
        <v>2166</v>
      </c>
    </row>
    <row r="202" spans="1:15" x14ac:dyDescent="0.25">
      <c r="A202" t="s">
        <v>1939</v>
      </c>
      <c r="B202" t="s">
        <v>2555</v>
      </c>
      <c r="C202" t="s">
        <v>2556</v>
      </c>
      <c r="D202" t="s">
        <v>110</v>
      </c>
      <c r="E202" s="2">
        <v>44939</v>
      </c>
      <c r="F202" t="s">
        <v>23</v>
      </c>
      <c r="G202">
        <v>2000000</v>
      </c>
      <c r="H202" s="2">
        <v>45059</v>
      </c>
      <c r="I202">
        <v>2023</v>
      </c>
      <c r="J202">
        <v>4456.8981087933698</v>
      </c>
      <c r="K202">
        <v>15165.2418912066</v>
      </c>
      <c r="L202">
        <v>113082.48</v>
      </c>
      <c r="M202">
        <v>0</v>
      </c>
      <c r="N202">
        <v>132704.62</v>
      </c>
      <c r="O202" t="s">
        <v>2065</v>
      </c>
    </row>
    <row r="203" spans="1:15" x14ac:dyDescent="0.25">
      <c r="A203" t="s">
        <v>2557</v>
      </c>
      <c r="B203" t="s">
        <v>2558</v>
      </c>
      <c r="C203" t="s">
        <v>2398</v>
      </c>
      <c r="D203" t="s">
        <v>734</v>
      </c>
      <c r="E203" s="2">
        <v>44864</v>
      </c>
      <c r="F203" t="s">
        <v>50</v>
      </c>
      <c r="G203">
        <v>5000000</v>
      </c>
      <c r="H203" s="2">
        <v>45060</v>
      </c>
      <c r="I203">
        <v>2023</v>
      </c>
      <c r="J203">
        <v>1646.9467037688901</v>
      </c>
      <c r="K203">
        <v>6436.8432962311099</v>
      </c>
      <c r="L203">
        <v>60330.73</v>
      </c>
      <c r="M203">
        <v>4812.59</v>
      </c>
      <c r="N203">
        <v>73227.11</v>
      </c>
      <c r="O203" t="s">
        <v>2086</v>
      </c>
    </row>
    <row r="204" spans="1:15" x14ac:dyDescent="0.25">
      <c r="A204" t="s">
        <v>2559</v>
      </c>
      <c r="B204" t="s">
        <v>2560</v>
      </c>
      <c r="C204" t="s">
        <v>2561</v>
      </c>
      <c r="D204" t="s">
        <v>734</v>
      </c>
      <c r="E204" s="2">
        <v>44899</v>
      </c>
      <c r="F204" t="s">
        <v>34</v>
      </c>
      <c r="G204">
        <v>1000000</v>
      </c>
      <c r="H204" s="2">
        <v>45082</v>
      </c>
      <c r="I204">
        <v>2023</v>
      </c>
      <c r="J204">
        <v>4010.9350221837199</v>
      </c>
      <c r="K204">
        <v>12546.824977816301</v>
      </c>
      <c r="L204">
        <v>101775.19</v>
      </c>
      <c r="M204">
        <v>36994.92</v>
      </c>
      <c r="N204">
        <v>155327.87</v>
      </c>
      <c r="O204" t="s">
        <v>2036</v>
      </c>
    </row>
    <row r="205" spans="1:15" x14ac:dyDescent="0.25">
      <c r="A205" t="s">
        <v>2562</v>
      </c>
      <c r="B205" t="s">
        <v>2563</v>
      </c>
      <c r="C205" t="s">
        <v>2564</v>
      </c>
      <c r="D205" t="s">
        <v>734</v>
      </c>
      <c r="E205" s="2">
        <v>44685</v>
      </c>
      <c r="F205" t="s">
        <v>36</v>
      </c>
      <c r="G205">
        <v>5000000</v>
      </c>
      <c r="H205" s="2">
        <v>45034</v>
      </c>
      <c r="I205">
        <v>2023</v>
      </c>
      <c r="J205">
        <v>1187.69925358317</v>
      </c>
      <c r="K205">
        <v>2988.6707464168298</v>
      </c>
      <c r="L205">
        <v>17507.16</v>
      </c>
      <c r="M205">
        <v>26921.95</v>
      </c>
      <c r="N205">
        <v>48605.48</v>
      </c>
      <c r="O205" t="s">
        <v>2101</v>
      </c>
    </row>
    <row r="206" spans="1:15" x14ac:dyDescent="0.25">
      <c r="A206" t="s">
        <v>1948</v>
      </c>
      <c r="B206" t="s">
        <v>2565</v>
      </c>
      <c r="C206" t="s">
        <v>2566</v>
      </c>
      <c r="D206" t="s">
        <v>734</v>
      </c>
      <c r="E206" s="2">
        <v>44650</v>
      </c>
      <c r="F206" t="s">
        <v>40</v>
      </c>
      <c r="G206">
        <v>5000000</v>
      </c>
      <c r="H206" s="2">
        <v>44670</v>
      </c>
      <c r="I206">
        <v>2022</v>
      </c>
      <c r="J206">
        <v>9074.6012852941894</v>
      </c>
      <c r="K206">
        <v>29803.768714705799</v>
      </c>
      <c r="L206">
        <v>157929.35999999999</v>
      </c>
      <c r="M206">
        <v>6724.9400000000196</v>
      </c>
      <c r="N206">
        <v>203532.67</v>
      </c>
      <c r="O206" t="s">
        <v>2036</v>
      </c>
    </row>
    <row r="207" spans="1:15" x14ac:dyDescent="0.25">
      <c r="A207" t="s">
        <v>2567</v>
      </c>
      <c r="B207" t="s">
        <v>2568</v>
      </c>
      <c r="C207" t="s">
        <v>2569</v>
      </c>
      <c r="D207" t="s">
        <v>110</v>
      </c>
      <c r="E207" s="2">
        <v>44879</v>
      </c>
      <c r="F207" t="s">
        <v>12</v>
      </c>
      <c r="G207">
        <v>1000000</v>
      </c>
      <c r="H207" s="2">
        <v>45081</v>
      </c>
      <c r="I207">
        <v>2023</v>
      </c>
      <c r="J207">
        <v>2979.6945988643402</v>
      </c>
      <c r="K207">
        <v>9727.4854011356601</v>
      </c>
      <c r="L207">
        <v>114029.62</v>
      </c>
      <c r="M207">
        <v>0</v>
      </c>
      <c r="N207">
        <v>126736.8</v>
      </c>
      <c r="O207" t="s">
        <v>2065</v>
      </c>
    </row>
    <row r="208" spans="1:15" x14ac:dyDescent="0.25">
      <c r="A208" t="s">
        <v>1951</v>
      </c>
      <c r="B208" t="s">
        <v>2570</v>
      </c>
      <c r="C208" t="s">
        <v>2571</v>
      </c>
      <c r="D208" t="s">
        <v>110</v>
      </c>
      <c r="E208" s="2">
        <v>45016</v>
      </c>
      <c r="F208" t="s">
        <v>18</v>
      </c>
      <c r="G208">
        <v>5000000</v>
      </c>
      <c r="H208" s="2">
        <v>45054</v>
      </c>
      <c r="I208">
        <v>2023</v>
      </c>
      <c r="J208">
        <v>10164.2804848085</v>
      </c>
      <c r="K208">
        <v>33169.209515191498</v>
      </c>
      <c r="L208">
        <v>246367.86</v>
      </c>
      <c r="M208">
        <v>0</v>
      </c>
      <c r="N208">
        <v>289701.34999999998</v>
      </c>
      <c r="O208" t="s">
        <v>2074</v>
      </c>
    </row>
    <row r="209" spans="1:15" x14ac:dyDescent="0.25">
      <c r="A209" t="s">
        <v>2572</v>
      </c>
      <c r="B209" t="s">
        <v>2573</v>
      </c>
      <c r="C209" t="s">
        <v>2574</v>
      </c>
      <c r="D209" t="s">
        <v>734</v>
      </c>
      <c r="E209" s="2">
        <v>44955</v>
      </c>
      <c r="F209" t="s">
        <v>49</v>
      </c>
      <c r="G209">
        <v>1000000</v>
      </c>
      <c r="H209" s="2">
        <v>45075</v>
      </c>
      <c r="I209">
        <v>2023</v>
      </c>
      <c r="J209">
        <v>2058.2923335125802</v>
      </c>
      <c r="K209">
        <v>7248.06766648742</v>
      </c>
      <c r="L209">
        <v>95891.839999999997</v>
      </c>
      <c r="M209">
        <v>389516.53</v>
      </c>
      <c r="N209">
        <v>494714.73</v>
      </c>
      <c r="O209" t="s">
        <v>2274</v>
      </c>
    </row>
    <row r="210" spans="1:15" x14ac:dyDescent="0.25">
      <c r="A210" t="s">
        <v>2575</v>
      </c>
      <c r="B210" t="s">
        <v>2576</v>
      </c>
      <c r="C210" t="s">
        <v>2577</v>
      </c>
      <c r="D210" t="s">
        <v>110</v>
      </c>
      <c r="E210" s="2">
        <v>44946</v>
      </c>
      <c r="F210" t="s">
        <v>50</v>
      </c>
      <c r="G210">
        <v>10000000</v>
      </c>
      <c r="H210" s="2">
        <v>45092</v>
      </c>
      <c r="I210">
        <v>2023</v>
      </c>
      <c r="J210">
        <v>10895.1148729037</v>
      </c>
      <c r="K210">
        <v>31506.7851270963</v>
      </c>
      <c r="L210">
        <v>332689.95</v>
      </c>
      <c r="M210">
        <v>0</v>
      </c>
      <c r="N210">
        <v>375091.85</v>
      </c>
      <c r="O210" t="s">
        <v>143</v>
      </c>
    </row>
    <row r="211" spans="1:15" x14ac:dyDescent="0.25">
      <c r="A211" t="s">
        <v>2578</v>
      </c>
      <c r="B211" t="s">
        <v>2579</v>
      </c>
      <c r="C211" t="s">
        <v>2580</v>
      </c>
      <c r="D211" t="s">
        <v>734</v>
      </c>
      <c r="E211" s="2">
        <v>44818</v>
      </c>
      <c r="F211" t="s">
        <v>18</v>
      </c>
      <c r="G211">
        <v>2000000</v>
      </c>
      <c r="H211" s="2">
        <v>45098</v>
      </c>
      <c r="I211">
        <v>2023</v>
      </c>
      <c r="J211">
        <v>3161.08086248363</v>
      </c>
      <c r="K211">
        <v>10937.819137516401</v>
      </c>
      <c r="L211">
        <v>82240.11</v>
      </c>
      <c r="M211">
        <v>32404.11</v>
      </c>
      <c r="N211">
        <v>128743.12</v>
      </c>
      <c r="O211" t="s">
        <v>1496</v>
      </c>
    </row>
    <row r="212" spans="1:15" x14ac:dyDescent="0.25">
      <c r="A212" t="s">
        <v>1959</v>
      </c>
      <c r="B212" t="s">
        <v>2581</v>
      </c>
      <c r="C212" t="s">
        <v>2582</v>
      </c>
      <c r="D212" t="s">
        <v>110</v>
      </c>
      <c r="E212" s="2">
        <v>44797</v>
      </c>
      <c r="F212" t="s">
        <v>30</v>
      </c>
      <c r="G212">
        <v>1000000</v>
      </c>
      <c r="H212" s="2">
        <v>45110</v>
      </c>
      <c r="I212">
        <v>2023</v>
      </c>
      <c r="J212">
        <v>5419.4420764611696</v>
      </c>
      <c r="K212">
        <v>18024.127923538799</v>
      </c>
      <c r="L212">
        <v>99612.31</v>
      </c>
      <c r="M212">
        <v>0</v>
      </c>
      <c r="N212">
        <v>123055.88</v>
      </c>
      <c r="O212" t="s">
        <v>2059</v>
      </c>
    </row>
    <row r="213" spans="1:15" x14ac:dyDescent="0.25">
      <c r="A213" t="s">
        <v>1962</v>
      </c>
      <c r="B213" t="s">
        <v>2583</v>
      </c>
      <c r="C213" t="s">
        <v>2584</v>
      </c>
      <c r="D213" t="s">
        <v>734</v>
      </c>
      <c r="E213" s="2">
        <v>44996</v>
      </c>
      <c r="F213" t="s">
        <v>30</v>
      </c>
      <c r="G213">
        <v>1000000</v>
      </c>
      <c r="H213" s="2">
        <v>45106</v>
      </c>
      <c r="I213">
        <v>2023</v>
      </c>
      <c r="J213">
        <v>3561.8579696173501</v>
      </c>
      <c r="K213">
        <v>11179.042030382599</v>
      </c>
      <c r="L213">
        <v>89645.15</v>
      </c>
      <c r="M213">
        <v>22216.23</v>
      </c>
      <c r="N213">
        <v>126602.28</v>
      </c>
      <c r="O213" t="s">
        <v>1496</v>
      </c>
    </row>
    <row r="214" spans="1:15" x14ac:dyDescent="0.25">
      <c r="A214" t="s">
        <v>1968</v>
      </c>
      <c r="B214" t="s">
        <v>2585</v>
      </c>
      <c r="C214" t="s">
        <v>2586</v>
      </c>
      <c r="D214" t="s">
        <v>110</v>
      </c>
      <c r="E214" s="2">
        <v>44813</v>
      </c>
      <c r="F214" t="s">
        <v>12</v>
      </c>
      <c r="G214">
        <v>2000000</v>
      </c>
      <c r="H214" s="2">
        <v>45089</v>
      </c>
      <c r="I214">
        <v>2023</v>
      </c>
      <c r="J214">
        <v>4816.3705085316997</v>
      </c>
      <c r="K214">
        <v>16843.0094914683</v>
      </c>
      <c r="L214">
        <v>142801.70000000001</v>
      </c>
      <c r="M214">
        <v>0</v>
      </c>
      <c r="N214">
        <v>164461.07999999999</v>
      </c>
      <c r="O214" t="s">
        <v>2126</v>
      </c>
    </row>
    <row r="215" spans="1:15" x14ac:dyDescent="0.25">
      <c r="A215" t="s">
        <v>1971</v>
      </c>
      <c r="B215" t="s">
        <v>2587</v>
      </c>
      <c r="C215" t="s">
        <v>2588</v>
      </c>
      <c r="D215" t="s">
        <v>734</v>
      </c>
      <c r="E215" s="2">
        <v>45032</v>
      </c>
      <c r="F215" t="s">
        <v>49</v>
      </c>
      <c r="G215">
        <v>1000000</v>
      </c>
      <c r="H215" s="2">
        <v>45077</v>
      </c>
      <c r="I215">
        <v>2023</v>
      </c>
      <c r="J215">
        <v>6921.2596466238001</v>
      </c>
      <c r="K215">
        <v>21816.240353376201</v>
      </c>
      <c r="L215">
        <v>24159.37</v>
      </c>
      <c r="M215">
        <v>88060.67</v>
      </c>
      <c r="N215">
        <v>140957.54</v>
      </c>
      <c r="O215" t="s">
        <v>1496</v>
      </c>
    </row>
    <row r="216" spans="1:15" x14ac:dyDescent="0.25">
      <c r="A216" t="s">
        <v>1977</v>
      </c>
      <c r="B216" t="s">
        <v>2589</v>
      </c>
      <c r="C216" t="s">
        <v>2590</v>
      </c>
      <c r="D216" t="s">
        <v>734</v>
      </c>
      <c r="E216" s="2">
        <v>44734</v>
      </c>
      <c r="F216" t="s">
        <v>50</v>
      </c>
      <c r="G216">
        <v>1000000</v>
      </c>
      <c r="H216" s="2">
        <v>45096</v>
      </c>
      <c r="I216">
        <v>2023</v>
      </c>
      <c r="J216">
        <v>1502.3901467911101</v>
      </c>
      <c r="K216">
        <v>4575.0998532088897</v>
      </c>
      <c r="L216">
        <v>45050.47</v>
      </c>
      <c r="M216">
        <v>34789.550000000003</v>
      </c>
      <c r="N216">
        <v>85917.51</v>
      </c>
      <c r="O216" t="s">
        <v>2055</v>
      </c>
    </row>
    <row r="217" spans="1:15" x14ac:dyDescent="0.25">
      <c r="A217" t="s">
        <v>1980</v>
      </c>
      <c r="B217" t="s">
        <v>2497</v>
      </c>
      <c r="C217" t="s">
        <v>2498</v>
      </c>
      <c r="D217" t="s">
        <v>110</v>
      </c>
      <c r="E217" s="2">
        <v>44828</v>
      </c>
      <c r="F217" t="s">
        <v>28</v>
      </c>
      <c r="G217">
        <v>5000000</v>
      </c>
      <c r="H217" s="2">
        <v>45096</v>
      </c>
      <c r="I217">
        <v>2023</v>
      </c>
      <c r="J217">
        <v>2488.3706975104701</v>
      </c>
      <c r="K217">
        <v>5859.4593024895303</v>
      </c>
      <c r="L217">
        <v>76882.539999999994</v>
      </c>
      <c r="M217">
        <v>0</v>
      </c>
      <c r="N217">
        <v>85230.37</v>
      </c>
      <c r="O217" t="s">
        <v>2097</v>
      </c>
    </row>
    <row r="218" spans="1:15" x14ac:dyDescent="0.25">
      <c r="A218" t="s">
        <v>2591</v>
      </c>
      <c r="B218" t="s">
        <v>2592</v>
      </c>
      <c r="C218" t="s">
        <v>2593</v>
      </c>
      <c r="D218" t="s">
        <v>734</v>
      </c>
      <c r="E218" s="2">
        <v>44254</v>
      </c>
      <c r="F218" t="s">
        <v>24</v>
      </c>
      <c r="G218">
        <v>2000000</v>
      </c>
      <c r="H218" s="2">
        <v>44442</v>
      </c>
      <c r="I218">
        <v>2021</v>
      </c>
      <c r="J218">
        <v>65169.9958333822</v>
      </c>
      <c r="K218">
        <v>170169.96416661801</v>
      </c>
      <c r="L218">
        <v>873244.83</v>
      </c>
      <c r="M218">
        <v>12750.04</v>
      </c>
      <c r="N218">
        <v>1121334.83</v>
      </c>
      <c r="O218" t="s">
        <v>2114</v>
      </c>
    </row>
    <row r="219" spans="1:15" x14ac:dyDescent="0.25">
      <c r="A219" t="s">
        <v>1983</v>
      </c>
      <c r="B219" t="s">
        <v>2594</v>
      </c>
      <c r="C219" t="s">
        <v>2595</v>
      </c>
      <c r="D219" t="s">
        <v>734</v>
      </c>
      <c r="E219" s="2">
        <v>44922</v>
      </c>
      <c r="F219" t="s">
        <v>25</v>
      </c>
      <c r="G219">
        <v>5000000</v>
      </c>
      <c r="H219" s="2">
        <v>45123</v>
      </c>
      <c r="I219">
        <v>2023</v>
      </c>
      <c r="J219">
        <v>1080.00405312113</v>
      </c>
      <c r="K219">
        <v>3632.7259468788702</v>
      </c>
      <c r="L219">
        <v>18969.080000000002</v>
      </c>
      <c r="M219">
        <v>94601.53</v>
      </c>
      <c r="N219">
        <v>118283.34</v>
      </c>
      <c r="O219" t="s">
        <v>1496</v>
      </c>
    </row>
    <row r="220" spans="1:15" x14ac:dyDescent="0.25">
      <c r="A220" t="s">
        <v>2596</v>
      </c>
      <c r="B220" t="s">
        <v>2597</v>
      </c>
      <c r="C220" t="s">
        <v>2598</v>
      </c>
      <c r="D220" t="s">
        <v>734</v>
      </c>
      <c r="E220" s="2">
        <v>45085</v>
      </c>
      <c r="F220" t="s">
        <v>22</v>
      </c>
      <c r="G220">
        <v>10000000</v>
      </c>
      <c r="H220" s="2">
        <v>45132</v>
      </c>
      <c r="I220">
        <v>2023</v>
      </c>
      <c r="J220">
        <v>2965.9537345075701</v>
      </c>
      <c r="K220">
        <v>8042.5462654924304</v>
      </c>
      <c r="L220">
        <v>101860.16</v>
      </c>
      <c r="M220">
        <v>30884.400000000001</v>
      </c>
      <c r="N220">
        <v>143753.06</v>
      </c>
      <c r="O220" t="s">
        <v>2126</v>
      </c>
    </row>
    <row r="221" spans="1:15" x14ac:dyDescent="0.25">
      <c r="A221" t="s">
        <v>1986</v>
      </c>
      <c r="B221" t="s">
        <v>2599</v>
      </c>
      <c r="C221" t="s">
        <v>2600</v>
      </c>
      <c r="D221" t="s">
        <v>734</v>
      </c>
      <c r="E221" s="2">
        <v>44970</v>
      </c>
      <c r="F221" t="s">
        <v>26</v>
      </c>
      <c r="G221">
        <v>5000000</v>
      </c>
      <c r="H221" s="2">
        <v>45074</v>
      </c>
      <c r="I221">
        <v>2023</v>
      </c>
      <c r="J221">
        <v>8554.5153939844695</v>
      </c>
      <c r="K221">
        <v>31710.674606015498</v>
      </c>
      <c r="L221">
        <v>115037.1</v>
      </c>
      <c r="M221">
        <v>56260.99</v>
      </c>
      <c r="N221">
        <v>211563.28</v>
      </c>
      <c r="O221" t="s">
        <v>2036</v>
      </c>
    </row>
    <row r="222" spans="1:15" x14ac:dyDescent="0.25">
      <c r="A222" t="s">
        <v>116</v>
      </c>
      <c r="B222" t="s">
        <v>2601</v>
      </c>
      <c r="C222" t="s">
        <v>2602</v>
      </c>
      <c r="D222" t="s">
        <v>110</v>
      </c>
      <c r="E222" s="2">
        <v>44569</v>
      </c>
      <c r="F222" t="s">
        <v>17</v>
      </c>
      <c r="G222">
        <v>5000000</v>
      </c>
      <c r="H222" s="2">
        <v>44810</v>
      </c>
      <c r="I222">
        <v>2022</v>
      </c>
      <c r="J222">
        <v>7511.4039966783203</v>
      </c>
      <c r="K222">
        <v>26892.756003321701</v>
      </c>
      <c r="L222">
        <v>314696.89</v>
      </c>
      <c r="M222">
        <v>0</v>
      </c>
      <c r="N222">
        <v>349101.05</v>
      </c>
      <c r="O222" t="s">
        <v>143</v>
      </c>
    </row>
    <row r="223" spans="1:15" x14ac:dyDescent="0.25">
      <c r="A223" t="s">
        <v>1999</v>
      </c>
      <c r="B223" t="s">
        <v>2603</v>
      </c>
      <c r="C223" t="s">
        <v>2604</v>
      </c>
      <c r="D223" t="s">
        <v>734</v>
      </c>
      <c r="E223" s="2">
        <v>44826</v>
      </c>
      <c r="F223" t="s">
        <v>27</v>
      </c>
      <c r="G223">
        <v>1000000</v>
      </c>
      <c r="H223" s="2">
        <v>45033</v>
      </c>
      <c r="I223">
        <v>2023</v>
      </c>
      <c r="J223">
        <v>1678.68980837308</v>
      </c>
      <c r="K223">
        <v>5568.7601916269195</v>
      </c>
      <c r="L223">
        <v>29626.240000000002</v>
      </c>
      <c r="M223">
        <v>14379.45</v>
      </c>
      <c r="N223">
        <v>51253.14</v>
      </c>
      <c r="O223" t="s">
        <v>2166</v>
      </c>
    </row>
    <row r="224" spans="1:15" x14ac:dyDescent="0.25">
      <c r="A224" t="s">
        <v>2605</v>
      </c>
      <c r="B224" t="s">
        <v>2606</v>
      </c>
      <c r="C224" t="s">
        <v>2607</v>
      </c>
      <c r="D224" t="s">
        <v>734</v>
      </c>
      <c r="E224" s="2">
        <v>45038</v>
      </c>
      <c r="F224" t="s">
        <v>55</v>
      </c>
      <c r="G224">
        <v>5000000</v>
      </c>
      <c r="H224" s="2">
        <v>45157</v>
      </c>
      <c r="I224">
        <v>2023</v>
      </c>
      <c r="J224">
        <v>803.09031826367197</v>
      </c>
      <c r="K224">
        <v>2408.0496817363301</v>
      </c>
      <c r="L224">
        <v>16861.28</v>
      </c>
      <c r="M224">
        <v>31579.97</v>
      </c>
      <c r="N224">
        <v>51652.39</v>
      </c>
      <c r="O224" t="s">
        <v>2090</v>
      </c>
    </row>
    <row r="225" spans="1:15" x14ac:dyDescent="0.25">
      <c r="A225" t="s">
        <v>2608</v>
      </c>
      <c r="B225" t="s">
        <v>2609</v>
      </c>
      <c r="C225" t="s">
        <v>2610</v>
      </c>
      <c r="D225" t="s">
        <v>734</v>
      </c>
      <c r="E225" s="2">
        <v>44995</v>
      </c>
      <c r="F225" t="s">
        <v>55</v>
      </c>
      <c r="G225">
        <v>3000000</v>
      </c>
      <c r="H225" s="2">
        <v>45126</v>
      </c>
      <c r="I225">
        <v>2023</v>
      </c>
      <c r="J225">
        <v>2583.9806627909002</v>
      </c>
      <c r="K225">
        <v>8179.7893372091003</v>
      </c>
      <c r="L225">
        <v>78510.789999999994</v>
      </c>
      <c r="M225">
        <v>91922.3</v>
      </c>
      <c r="N225">
        <v>181196.86</v>
      </c>
      <c r="O225" t="s">
        <v>2074</v>
      </c>
    </row>
    <row r="226" spans="1:15" x14ac:dyDescent="0.25">
      <c r="A226" t="s">
        <v>2611</v>
      </c>
      <c r="B226" t="s">
        <v>2612</v>
      </c>
      <c r="C226" t="s">
        <v>2331</v>
      </c>
      <c r="D226" t="s">
        <v>734</v>
      </c>
      <c r="E226" s="2">
        <v>44957</v>
      </c>
      <c r="F226" t="s">
        <v>23</v>
      </c>
      <c r="G226">
        <v>5000000</v>
      </c>
      <c r="H226" s="2">
        <v>45129</v>
      </c>
      <c r="I226">
        <v>2023</v>
      </c>
      <c r="J226">
        <v>0</v>
      </c>
      <c r="K226">
        <v>0</v>
      </c>
      <c r="L226">
        <v>0</v>
      </c>
      <c r="M226">
        <v>79900.06</v>
      </c>
      <c r="N226">
        <v>79900.06</v>
      </c>
      <c r="O226" t="s">
        <v>233</v>
      </c>
    </row>
    <row r="227" spans="1:15" x14ac:dyDescent="0.25">
      <c r="A227" t="s">
        <v>2005</v>
      </c>
      <c r="B227" t="s">
        <v>2613</v>
      </c>
      <c r="C227" t="s">
        <v>2236</v>
      </c>
      <c r="D227" t="s">
        <v>734</v>
      </c>
      <c r="E227" s="2">
        <v>45110</v>
      </c>
      <c r="F227" t="s">
        <v>17</v>
      </c>
      <c r="G227">
        <v>4000000</v>
      </c>
      <c r="H227" s="2">
        <v>45120</v>
      </c>
      <c r="I227">
        <v>2023</v>
      </c>
      <c r="J227">
        <v>524.60557304745601</v>
      </c>
      <c r="K227">
        <v>2063.0844269525401</v>
      </c>
      <c r="L227">
        <v>32284.92</v>
      </c>
      <c r="M227">
        <v>44482.59</v>
      </c>
      <c r="N227">
        <v>79355.199999999997</v>
      </c>
      <c r="O227" t="s">
        <v>2097</v>
      </c>
    </row>
    <row r="228" spans="1:15" x14ac:dyDescent="0.25">
      <c r="A228" t="s">
        <v>2008</v>
      </c>
      <c r="B228" t="s">
        <v>2614</v>
      </c>
      <c r="C228" t="s">
        <v>2615</v>
      </c>
      <c r="D228" t="s">
        <v>734</v>
      </c>
      <c r="E228" s="2">
        <v>44915</v>
      </c>
      <c r="F228" t="s">
        <v>50</v>
      </c>
      <c r="G228">
        <v>5000000</v>
      </c>
      <c r="H228" s="2">
        <v>45186</v>
      </c>
      <c r="I228">
        <v>2023</v>
      </c>
      <c r="J228">
        <v>1546.1334893282401</v>
      </c>
      <c r="K228">
        <v>3873.9865106717598</v>
      </c>
      <c r="L228">
        <v>31934.81</v>
      </c>
      <c r="M228">
        <v>10686.85</v>
      </c>
      <c r="N228">
        <v>48041.78</v>
      </c>
      <c r="O228" t="s">
        <v>2166</v>
      </c>
    </row>
    <row r="229" spans="1:15" x14ac:dyDescent="0.25">
      <c r="A229" t="s">
        <v>124</v>
      </c>
      <c r="B229" t="s">
        <v>2616</v>
      </c>
      <c r="C229" t="s">
        <v>2617</v>
      </c>
      <c r="D229" t="s">
        <v>734</v>
      </c>
      <c r="E229" s="2">
        <v>45133</v>
      </c>
      <c r="F229" t="s">
        <v>12</v>
      </c>
      <c r="G229">
        <v>4000000</v>
      </c>
      <c r="H229" s="2">
        <v>45179</v>
      </c>
      <c r="I229">
        <v>2023</v>
      </c>
      <c r="J229">
        <v>23272.384724212599</v>
      </c>
      <c r="K229">
        <v>86214.5752757874</v>
      </c>
      <c r="L229">
        <v>405869.72</v>
      </c>
      <c r="M229">
        <v>798114.68</v>
      </c>
      <c r="N229">
        <v>1313471.3600000001</v>
      </c>
      <c r="O229" t="s">
        <v>2114</v>
      </c>
    </row>
    <row r="230" spans="1:15" x14ac:dyDescent="0.25">
      <c r="A230" t="s">
        <v>132</v>
      </c>
      <c r="B230" t="s">
        <v>2618</v>
      </c>
      <c r="C230" t="s">
        <v>2245</v>
      </c>
      <c r="D230" t="s">
        <v>734</v>
      </c>
      <c r="E230" s="2">
        <v>45076</v>
      </c>
      <c r="F230" t="s">
        <v>17</v>
      </c>
      <c r="G230">
        <v>5000000</v>
      </c>
      <c r="H230" s="2">
        <v>45138</v>
      </c>
      <c r="I230">
        <v>2023</v>
      </c>
      <c r="J230">
        <v>599.97610474828105</v>
      </c>
      <c r="K230">
        <v>1902.4138952517201</v>
      </c>
      <c r="L230">
        <v>17826.27</v>
      </c>
      <c r="M230">
        <v>43405.68</v>
      </c>
      <c r="N230">
        <v>63734.34</v>
      </c>
      <c r="O230" t="s">
        <v>2065</v>
      </c>
    </row>
    <row r="231" spans="1:15" x14ac:dyDescent="0.25">
      <c r="A231" t="s">
        <v>2011</v>
      </c>
      <c r="B231" t="s">
        <v>2619</v>
      </c>
      <c r="C231" t="s">
        <v>2620</v>
      </c>
      <c r="D231" t="s">
        <v>734</v>
      </c>
      <c r="E231" s="2">
        <v>45006</v>
      </c>
      <c r="F231" t="s">
        <v>41</v>
      </c>
      <c r="G231">
        <v>2000000</v>
      </c>
      <c r="H231" s="2">
        <v>45105</v>
      </c>
      <c r="I231">
        <v>2023</v>
      </c>
      <c r="J231">
        <v>300.69871646915999</v>
      </c>
      <c r="K231">
        <v>771.27128353084004</v>
      </c>
      <c r="L231">
        <v>6193.65</v>
      </c>
      <c r="M231">
        <v>75092.88</v>
      </c>
      <c r="N231">
        <v>82358.5</v>
      </c>
      <c r="O231" t="s">
        <v>2129</v>
      </c>
    </row>
    <row r="232" spans="1:15" x14ac:dyDescent="0.25">
      <c r="A232" t="s">
        <v>136</v>
      </c>
      <c r="B232" t="s">
        <v>2621</v>
      </c>
      <c r="C232" t="s">
        <v>2622</v>
      </c>
      <c r="D232" t="s">
        <v>734</v>
      </c>
      <c r="E232" s="2">
        <v>44987</v>
      </c>
      <c r="F232" t="s">
        <v>52</v>
      </c>
      <c r="G232">
        <v>5000000</v>
      </c>
      <c r="H232" s="2">
        <v>45184</v>
      </c>
      <c r="I232">
        <v>2023</v>
      </c>
      <c r="J232">
        <v>7149.5558856424204</v>
      </c>
      <c r="K232">
        <v>22218.7441143576</v>
      </c>
      <c r="L232">
        <v>204197.62</v>
      </c>
      <c r="M232">
        <v>384094.67</v>
      </c>
      <c r="N232">
        <v>617660.59</v>
      </c>
      <c r="O232" t="s">
        <v>2274</v>
      </c>
    </row>
    <row r="233" spans="1:15" x14ac:dyDescent="0.25">
      <c r="A233" t="s">
        <v>2623</v>
      </c>
      <c r="B233" t="s">
        <v>2624</v>
      </c>
      <c r="C233" t="s">
        <v>2625</v>
      </c>
      <c r="D233" t="s">
        <v>734</v>
      </c>
      <c r="E233" s="2">
        <v>45091</v>
      </c>
      <c r="F233" t="s">
        <v>11</v>
      </c>
      <c r="G233">
        <v>1000000</v>
      </c>
      <c r="H233" s="2">
        <v>45176</v>
      </c>
      <c r="I233">
        <v>2023</v>
      </c>
      <c r="J233">
        <v>0</v>
      </c>
      <c r="K233">
        <v>0</v>
      </c>
      <c r="L233">
        <v>0</v>
      </c>
      <c r="M233">
        <v>77640.570000000007</v>
      </c>
      <c r="N233">
        <v>77640.570000000007</v>
      </c>
      <c r="O233" t="s">
        <v>1496</v>
      </c>
    </row>
    <row r="234" spans="1:15" x14ac:dyDescent="0.25">
      <c r="A234" t="s">
        <v>140</v>
      </c>
      <c r="B234" t="s">
        <v>2626</v>
      </c>
      <c r="C234" t="s">
        <v>2627</v>
      </c>
      <c r="D234" t="s">
        <v>734</v>
      </c>
      <c r="E234" s="2">
        <v>44871</v>
      </c>
      <c r="F234" t="s">
        <v>13</v>
      </c>
      <c r="G234">
        <v>5000000</v>
      </c>
      <c r="H234" s="2">
        <v>45135</v>
      </c>
      <c r="I234">
        <v>2023</v>
      </c>
      <c r="J234">
        <v>71821.879887087503</v>
      </c>
      <c r="K234">
        <v>186828.54011291199</v>
      </c>
      <c r="L234">
        <v>980521.5</v>
      </c>
      <c r="M234">
        <v>2140969.02</v>
      </c>
      <c r="N234">
        <v>3380140.94</v>
      </c>
      <c r="O234" t="s">
        <v>2176</v>
      </c>
    </row>
    <row r="235" spans="1:15" x14ac:dyDescent="0.25">
      <c r="A235" t="s">
        <v>144</v>
      </c>
      <c r="B235" t="s">
        <v>2628</v>
      </c>
      <c r="C235" t="s">
        <v>2629</v>
      </c>
      <c r="D235" t="s">
        <v>734</v>
      </c>
      <c r="E235" s="2">
        <v>44885</v>
      </c>
      <c r="F235" t="s">
        <v>12</v>
      </c>
      <c r="G235">
        <v>5000000</v>
      </c>
      <c r="H235" s="2">
        <v>45154</v>
      </c>
      <c r="I235">
        <v>2023</v>
      </c>
      <c r="J235">
        <v>2019.0875067874799</v>
      </c>
      <c r="K235">
        <v>5946.76249321253</v>
      </c>
      <c r="L235">
        <v>23856.52</v>
      </c>
      <c r="M235">
        <v>27149.95</v>
      </c>
      <c r="N235">
        <v>58972.32</v>
      </c>
      <c r="O235" t="s">
        <v>2166</v>
      </c>
    </row>
    <row r="236" spans="1:15" x14ac:dyDescent="0.25">
      <c r="A236" t="s">
        <v>2630</v>
      </c>
      <c r="B236" t="s">
        <v>2631</v>
      </c>
      <c r="C236" t="s">
        <v>2632</v>
      </c>
      <c r="D236" t="s">
        <v>734</v>
      </c>
      <c r="E236" s="2">
        <v>44977</v>
      </c>
      <c r="F236" t="s">
        <v>26</v>
      </c>
      <c r="G236">
        <v>2000000</v>
      </c>
      <c r="H236" s="2">
        <v>45211</v>
      </c>
      <c r="I236">
        <v>2023</v>
      </c>
      <c r="J236">
        <v>0</v>
      </c>
      <c r="K236">
        <v>0</v>
      </c>
      <c r="L236">
        <v>0</v>
      </c>
      <c r="M236">
        <v>100510.55</v>
      </c>
      <c r="N236">
        <v>100510.55</v>
      </c>
      <c r="O236" t="s">
        <v>2110</v>
      </c>
    </row>
    <row r="237" spans="1:15" x14ac:dyDescent="0.25">
      <c r="A237" t="s">
        <v>2021</v>
      </c>
      <c r="B237" t="s">
        <v>2633</v>
      </c>
      <c r="C237" t="s">
        <v>2634</v>
      </c>
      <c r="D237" t="s">
        <v>734</v>
      </c>
      <c r="E237" s="2">
        <v>45040</v>
      </c>
      <c r="F237" t="s">
        <v>41</v>
      </c>
      <c r="G237">
        <v>2000000</v>
      </c>
      <c r="H237" s="2">
        <v>45191</v>
      </c>
      <c r="I237">
        <v>2023</v>
      </c>
      <c r="J237">
        <v>1990.9862204293199</v>
      </c>
      <c r="K237">
        <v>5095.5537795706796</v>
      </c>
      <c r="L237">
        <v>31442.15</v>
      </c>
      <c r="M237">
        <v>119160.95</v>
      </c>
      <c r="N237">
        <v>157689.64000000001</v>
      </c>
      <c r="O237" t="s">
        <v>2074</v>
      </c>
    </row>
    <row r="238" spans="1:15" x14ac:dyDescent="0.25">
      <c r="A238" t="s">
        <v>158</v>
      </c>
      <c r="B238" t="s">
        <v>2635</v>
      </c>
      <c r="C238" t="s">
        <v>2636</v>
      </c>
      <c r="D238" t="s">
        <v>734</v>
      </c>
      <c r="E238" s="2">
        <v>44155</v>
      </c>
      <c r="F238" t="s">
        <v>9</v>
      </c>
      <c r="G238">
        <v>5000000</v>
      </c>
      <c r="H238" s="2">
        <v>44274</v>
      </c>
      <c r="I238">
        <v>2021</v>
      </c>
      <c r="J238">
        <v>0</v>
      </c>
      <c r="K238">
        <v>0</v>
      </c>
      <c r="L238">
        <v>0</v>
      </c>
      <c r="M238">
        <v>117923.38</v>
      </c>
      <c r="N238">
        <v>117923.38</v>
      </c>
      <c r="O238" t="s">
        <v>2110</v>
      </c>
    </row>
    <row r="239" spans="1:15" x14ac:dyDescent="0.25">
      <c r="A239" t="s">
        <v>165</v>
      </c>
      <c r="B239" t="s">
        <v>2637</v>
      </c>
      <c r="C239" t="s">
        <v>2638</v>
      </c>
      <c r="D239" t="s">
        <v>734</v>
      </c>
      <c r="E239" s="2">
        <v>44979</v>
      </c>
      <c r="F239" t="s">
        <v>50</v>
      </c>
      <c r="G239">
        <v>4000000</v>
      </c>
      <c r="H239" s="2">
        <v>45227</v>
      </c>
      <c r="I239">
        <v>2023</v>
      </c>
      <c r="J239">
        <v>0</v>
      </c>
      <c r="K239">
        <v>0</v>
      </c>
      <c r="L239">
        <v>0</v>
      </c>
      <c r="M239">
        <v>76965.63</v>
      </c>
      <c r="N239">
        <v>76965.63</v>
      </c>
      <c r="O239" t="s">
        <v>2094</v>
      </c>
    </row>
    <row r="240" spans="1:15" x14ac:dyDescent="0.25">
      <c r="A240" t="s">
        <v>2639</v>
      </c>
      <c r="B240" t="s">
        <v>2640</v>
      </c>
      <c r="C240" t="s">
        <v>2641</v>
      </c>
      <c r="D240" t="s">
        <v>734</v>
      </c>
      <c r="E240" s="2">
        <v>44731</v>
      </c>
      <c r="F240" t="s">
        <v>11</v>
      </c>
      <c r="G240">
        <v>2000000</v>
      </c>
      <c r="H240" s="2">
        <v>45045</v>
      </c>
      <c r="I240">
        <v>2023</v>
      </c>
      <c r="J240">
        <v>0</v>
      </c>
      <c r="K240">
        <v>0</v>
      </c>
      <c r="L240">
        <v>0</v>
      </c>
      <c r="M240">
        <v>89384.8</v>
      </c>
      <c r="N240">
        <v>89384.8</v>
      </c>
      <c r="O240" t="s">
        <v>233</v>
      </c>
    </row>
    <row r="241" spans="1:15" x14ac:dyDescent="0.25">
      <c r="A241" t="s">
        <v>2642</v>
      </c>
      <c r="B241" t="s">
        <v>2643</v>
      </c>
      <c r="C241" t="s">
        <v>2644</v>
      </c>
      <c r="D241" t="s">
        <v>734</v>
      </c>
      <c r="E241" s="2">
        <v>44922</v>
      </c>
      <c r="F241" t="s">
        <v>54</v>
      </c>
      <c r="G241">
        <v>10000000</v>
      </c>
      <c r="H241" s="2">
        <v>45218</v>
      </c>
      <c r="I241">
        <v>2023</v>
      </c>
      <c r="J241">
        <v>0</v>
      </c>
      <c r="K241">
        <v>0</v>
      </c>
      <c r="L241">
        <v>0</v>
      </c>
      <c r="M241">
        <v>137543.32999999999</v>
      </c>
      <c r="N241">
        <v>137543.32999999999</v>
      </c>
      <c r="O241" t="s">
        <v>2094</v>
      </c>
    </row>
    <row r="242" spans="1:15" x14ac:dyDescent="0.25">
      <c r="A242" t="s">
        <v>2645</v>
      </c>
      <c r="B242" t="s">
        <v>2646</v>
      </c>
      <c r="C242" t="s">
        <v>2647</v>
      </c>
      <c r="D242" t="s">
        <v>734</v>
      </c>
      <c r="E242" s="2">
        <v>45143</v>
      </c>
      <c r="F242" t="s">
        <v>50</v>
      </c>
      <c r="G242">
        <v>3000000</v>
      </c>
      <c r="H242" s="2">
        <v>45196</v>
      </c>
      <c r="I242">
        <v>2023</v>
      </c>
      <c r="J242">
        <v>0</v>
      </c>
      <c r="K242">
        <v>0</v>
      </c>
      <c r="L242">
        <v>0</v>
      </c>
      <c r="M242">
        <v>201022.02</v>
      </c>
      <c r="N242">
        <v>201022.02</v>
      </c>
      <c r="O242" t="s">
        <v>2051</v>
      </c>
    </row>
    <row r="243" spans="1:15" x14ac:dyDescent="0.25">
      <c r="A243" t="s">
        <v>2648</v>
      </c>
      <c r="B243" t="s">
        <v>2649</v>
      </c>
      <c r="C243" t="s">
        <v>2650</v>
      </c>
      <c r="D243" t="s">
        <v>734</v>
      </c>
      <c r="E243" s="2">
        <v>44898</v>
      </c>
      <c r="F243" t="s">
        <v>40</v>
      </c>
      <c r="G243">
        <v>5000000</v>
      </c>
      <c r="H243" s="2">
        <v>45210</v>
      </c>
      <c r="I243">
        <v>2023</v>
      </c>
      <c r="J243">
        <v>0</v>
      </c>
      <c r="K243">
        <v>0</v>
      </c>
      <c r="L243">
        <v>0</v>
      </c>
      <c r="M243">
        <v>280334.84000000003</v>
      </c>
      <c r="N243">
        <v>280334.84000000003</v>
      </c>
      <c r="O243" t="s">
        <v>179</v>
      </c>
    </row>
    <row r="244" spans="1:15" x14ac:dyDescent="0.25">
      <c r="E244" s="2"/>
      <c r="H244" s="2"/>
    </row>
    <row r="245" spans="1:15" x14ac:dyDescent="0.25">
      <c r="E245" s="2"/>
      <c r="H245" s="2"/>
    </row>
    <row r="246" spans="1:15" x14ac:dyDescent="0.25">
      <c r="E246" s="2"/>
      <c r="H246" s="2"/>
    </row>
    <row r="247" spans="1:15" x14ac:dyDescent="0.25">
      <c r="E247" s="2"/>
      <c r="H247" s="2"/>
    </row>
    <row r="248" spans="1:15" x14ac:dyDescent="0.25">
      <c r="E248" s="2"/>
      <c r="H248" s="2"/>
    </row>
    <row r="249" spans="1:15" x14ac:dyDescent="0.25">
      <c r="E249" s="2"/>
      <c r="H249" s="2"/>
    </row>
    <row r="250" spans="1:15" x14ac:dyDescent="0.25">
      <c r="E250" s="2"/>
      <c r="H250" s="2"/>
    </row>
    <row r="251" spans="1:15" x14ac:dyDescent="0.25">
      <c r="E251" s="2"/>
      <c r="H251" s="2"/>
    </row>
    <row r="252" spans="1:15" x14ac:dyDescent="0.25">
      <c r="E252" s="2"/>
      <c r="H252" s="2"/>
    </row>
    <row r="253" spans="1:15" x14ac:dyDescent="0.25">
      <c r="E253" s="2"/>
      <c r="H253" s="2"/>
    </row>
    <row r="254" spans="1:15" x14ac:dyDescent="0.25">
      <c r="E254" s="2"/>
      <c r="H254" s="2"/>
    </row>
    <row r="255" spans="1:15" x14ac:dyDescent="0.25">
      <c r="E255" s="2"/>
      <c r="H255" s="2"/>
    </row>
    <row r="256" spans="1:15" x14ac:dyDescent="0.25">
      <c r="E256" s="2"/>
      <c r="H256" s="2"/>
    </row>
    <row r="257" spans="5:8" x14ac:dyDescent="0.25">
      <c r="E257" s="2"/>
      <c r="H257" s="2"/>
    </row>
    <row r="258" spans="5:8" x14ac:dyDescent="0.25">
      <c r="E258" s="2"/>
      <c r="H258" s="2"/>
    </row>
    <row r="259" spans="5:8" x14ac:dyDescent="0.25">
      <c r="E259" s="2"/>
      <c r="H259" s="2"/>
    </row>
    <row r="260" spans="5:8" x14ac:dyDescent="0.25">
      <c r="E260" s="2"/>
      <c r="H260" s="2"/>
    </row>
    <row r="261" spans="5:8" x14ac:dyDescent="0.25">
      <c r="E261" s="2"/>
      <c r="H261" s="2"/>
    </row>
    <row r="262" spans="5:8" x14ac:dyDescent="0.25">
      <c r="E262" s="2"/>
      <c r="H262" s="2"/>
    </row>
    <row r="263" spans="5:8" x14ac:dyDescent="0.25">
      <c r="E263" s="2"/>
      <c r="H263" s="2"/>
    </row>
    <row r="264" spans="5:8" x14ac:dyDescent="0.25">
      <c r="E264" s="2"/>
      <c r="H264" s="2"/>
    </row>
    <row r="265" spans="5:8" x14ac:dyDescent="0.25">
      <c r="E265" s="2"/>
      <c r="H265" s="2"/>
    </row>
    <row r="266" spans="5:8" x14ac:dyDescent="0.25">
      <c r="E266" s="2"/>
      <c r="H266" s="2"/>
    </row>
    <row r="267" spans="5:8" x14ac:dyDescent="0.25">
      <c r="E267" s="2"/>
      <c r="H267" s="2"/>
    </row>
    <row r="268" spans="5:8" x14ac:dyDescent="0.25">
      <c r="E268" s="2"/>
      <c r="H268" s="2"/>
    </row>
    <row r="269" spans="5:8" x14ac:dyDescent="0.25">
      <c r="E269" s="2"/>
      <c r="H269" s="2"/>
    </row>
    <row r="270" spans="5:8" x14ac:dyDescent="0.25">
      <c r="E270" s="2"/>
      <c r="H270" s="2"/>
    </row>
    <row r="271" spans="5:8" x14ac:dyDescent="0.25">
      <c r="E271" s="2"/>
      <c r="H271" s="2"/>
    </row>
    <row r="272" spans="5:8" x14ac:dyDescent="0.25">
      <c r="E272" s="2"/>
      <c r="H272" s="2"/>
    </row>
    <row r="273" spans="5:8" x14ac:dyDescent="0.25">
      <c r="E273" s="2"/>
      <c r="H273" s="2"/>
    </row>
    <row r="274" spans="5:8" x14ac:dyDescent="0.25">
      <c r="E274" s="2"/>
      <c r="H274" s="2"/>
    </row>
    <row r="275" spans="5:8" x14ac:dyDescent="0.25">
      <c r="E275" s="2"/>
      <c r="H275" s="2"/>
    </row>
    <row r="276" spans="5:8" x14ac:dyDescent="0.25">
      <c r="E276" s="2"/>
      <c r="H276" s="2"/>
    </row>
    <row r="277" spans="5:8" x14ac:dyDescent="0.25">
      <c r="E277" s="2"/>
      <c r="H277" s="2"/>
    </row>
    <row r="278" spans="5:8" x14ac:dyDescent="0.25">
      <c r="E278" s="2"/>
      <c r="H278" s="2"/>
    </row>
    <row r="279" spans="5:8" x14ac:dyDescent="0.25">
      <c r="E279" s="2"/>
      <c r="H279" s="2"/>
    </row>
    <row r="280" spans="5:8" x14ac:dyDescent="0.25">
      <c r="E280" s="2"/>
      <c r="H280" s="2"/>
    </row>
    <row r="281" spans="5:8" x14ac:dyDescent="0.25">
      <c r="E281" s="2"/>
      <c r="H281" s="2"/>
    </row>
    <row r="282" spans="5:8" x14ac:dyDescent="0.25">
      <c r="E282" s="2"/>
      <c r="H282" s="2"/>
    </row>
    <row r="283" spans="5:8" x14ac:dyDescent="0.25">
      <c r="E283" s="2"/>
      <c r="H283" s="2"/>
    </row>
    <row r="284" spans="5:8" x14ac:dyDescent="0.25">
      <c r="E284" s="2"/>
      <c r="H284" s="2"/>
    </row>
    <row r="285" spans="5:8" x14ac:dyDescent="0.25">
      <c r="E285" s="2"/>
      <c r="H285" s="2"/>
    </row>
    <row r="286" spans="5:8" x14ac:dyDescent="0.25">
      <c r="E286" s="2"/>
      <c r="H286" s="2"/>
    </row>
    <row r="287" spans="5:8" x14ac:dyDescent="0.25">
      <c r="E287" s="2"/>
      <c r="H287" s="2"/>
    </row>
    <row r="288" spans="5:8" x14ac:dyDescent="0.25">
      <c r="E288" s="2"/>
      <c r="H288" s="2"/>
    </row>
    <row r="289" spans="5:8" x14ac:dyDescent="0.25">
      <c r="E289" s="2"/>
      <c r="H289" s="2"/>
    </row>
    <row r="290" spans="5:8" x14ac:dyDescent="0.25">
      <c r="E290" s="2"/>
      <c r="H290" s="2"/>
    </row>
    <row r="291" spans="5:8" x14ac:dyDescent="0.25">
      <c r="E291" s="2"/>
      <c r="H291" s="2"/>
    </row>
    <row r="292" spans="5:8" x14ac:dyDescent="0.25">
      <c r="E292" s="2"/>
      <c r="H292" s="2"/>
    </row>
    <row r="293" spans="5:8" x14ac:dyDescent="0.25">
      <c r="E293" s="2"/>
      <c r="H293" s="2"/>
    </row>
    <row r="294" spans="5:8" x14ac:dyDescent="0.25">
      <c r="E294" s="2"/>
      <c r="H294" s="2"/>
    </row>
    <row r="295" spans="5:8" x14ac:dyDescent="0.25">
      <c r="E295" s="2"/>
      <c r="H295" s="2"/>
    </row>
    <row r="296" spans="5:8" x14ac:dyDescent="0.25">
      <c r="E296" s="2"/>
      <c r="H296" s="2"/>
    </row>
    <row r="297" spans="5:8" x14ac:dyDescent="0.25">
      <c r="E297" s="2"/>
      <c r="H297" s="2"/>
    </row>
    <row r="298" spans="5:8" x14ac:dyDescent="0.25">
      <c r="E298" s="2"/>
      <c r="H298" s="2"/>
    </row>
    <row r="299" spans="5:8" x14ac:dyDescent="0.25">
      <c r="E299" s="2"/>
      <c r="H299" s="2"/>
    </row>
    <row r="300" spans="5:8" x14ac:dyDescent="0.25">
      <c r="E300" s="2"/>
      <c r="H300" s="2"/>
    </row>
    <row r="301" spans="5:8" x14ac:dyDescent="0.25">
      <c r="E301" s="2"/>
      <c r="H301" s="2"/>
    </row>
    <row r="302" spans="5:8" x14ac:dyDescent="0.25">
      <c r="E302" s="2"/>
      <c r="H302" s="2"/>
    </row>
    <row r="303" spans="5:8" x14ac:dyDescent="0.25">
      <c r="E303" s="2"/>
      <c r="H303" s="2"/>
    </row>
    <row r="304" spans="5:8" x14ac:dyDescent="0.25">
      <c r="E304" s="2"/>
      <c r="H304" s="2"/>
    </row>
    <row r="305" spans="5:8" x14ac:dyDescent="0.25">
      <c r="E305" s="2"/>
      <c r="H305" s="2"/>
    </row>
    <row r="306" spans="5:8" x14ac:dyDescent="0.25">
      <c r="E306" s="2"/>
      <c r="H306" s="2"/>
    </row>
    <row r="307" spans="5:8" x14ac:dyDescent="0.25">
      <c r="E307" s="2"/>
      <c r="H307" s="2"/>
    </row>
    <row r="308" spans="5:8" x14ac:dyDescent="0.25">
      <c r="E308" s="2"/>
      <c r="H308" s="2"/>
    </row>
    <row r="309" spans="5:8" x14ac:dyDescent="0.25">
      <c r="E309" s="2"/>
      <c r="H309" s="2"/>
    </row>
    <row r="310" spans="5:8" x14ac:dyDescent="0.25">
      <c r="E310" s="2"/>
      <c r="H310" s="2"/>
    </row>
    <row r="311" spans="5:8" x14ac:dyDescent="0.25">
      <c r="E311" s="2"/>
      <c r="H311" s="2"/>
    </row>
    <row r="312" spans="5:8" x14ac:dyDescent="0.25">
      <c r="E312" s="2"/>
      <c r="H312" s="2"/>
    </row>
    <row r="313" spans="5:8" x14ac:dyDescent="0.25">
      <c r="E313" s="2"/>
      <c r="H313" s="2"/>
    </row>
    <row r="314" spans="5:8" x14ac:dyDescent="0.25">
      <c r="E314" s="2"/>
      <c r="H314" s="2"/>
    </row>
    <row r="315" spans="5:8" x14ac:dyDescent="0.25">
      <c r="E315" s="2"/>
      <c r="H315" s="2"/>
    </row>
    <row r="316" spans="5:8" x14ac:dyDescent="0.25">
      <c r="E316" s="2"/>
      <c r="H316" s="2"/>
    </row>
    <row r="317" spans="5:8" x14ac:dyDescent="0.25">
      <c r="E317" s="2"/>
      <c r="H317" s="2"/>
    </row>
    <row r="318" spans="5:8" x14ac:dyDescent="0.25">
      <c r="E318" s="2"/>
      <c r="H318" s="2"/>
    </row>
    <row r="319" spans="5:8" x14ac:dyDescent="0.25">
      <c r="E319" s="2"/>
      <c r="H319" s="2"/>
    </row>
    <row r="320" spans="5:8" x14ac:dyDescent="0.25">
      <c r="E320" s="2"/>
      <c r="H320" s="2"/>
    </row>
    <row r="321" spans="5:8" x14ac:dyDescent="0.25">
      <c r="E321" s="2"/>
      <c r="H321" s="2"/>
    </row>
    <row r="322" spans="5:8" x14ac:dyDescent="0.25">
      <c r="E322" s="2"/>
      <c r="H322" s="2"/>
    </row>
    <row r="323" spans="5:8" x14ac:dyDescent="0.25">
      <c r="E323" s="2"/>
      <c r="H323" s="2"/>
    </row>
    <row r="324" spans="5:8" x14ac:dyDescent="0.25">
      <c r="E324" s="2"/>
      <c r="H324" s="2"/>
    </row>
    <row r="325" spans="5:8" x14ac:dyDescent="0.25">
      <c r="E325" s="2"/>
      <c r="H325" s="2"/>
    </row>
    <row r="326" spans="5:8" x14ac:dyDescent="0.25">
      <c r="E326" s="2"/>
      <c r="H326" s="2"/>
    </row>
    <row r="327" spans="5:8" x14ac:dyDescent="0.25">
      <c r="E327" s="2"/>
      <c r="H327" s="2"/>
    </row>
    <row r="328" spans="5:8" x14ac:dyDescent="0.25">
      <c r="E328" s="2"/>
      <c r="H328" s="2"/>
    </row>
    <row r="329" spans="5:8" x14ac:dyDescent="0.25">
      <c r="E329" s="2"/>
      <c r="H329" s="2"/>
    </row>
    <row r="330" spans="5:8" x14ac:dyDescent="0.25">
      <c r="E330" s="2"/>
      <c r="H330" s="2"/>
    </row>
    <row r="331" spans="5:8" x14ac:dyDescent="0.25">
      <c r="E331" s="2"/>
      <c r="H331" s="2"/>
    </row>
    <row r="332" spans="5:8" x14ac:dyDescent="0.25">
      <c r="E332" s="2"/>
      <c r="H332" s="2"/>
    </row>
    <row r="333" spans="5:8" x14ac:dyDescent="0.25">
      <c r="E333" s="2"/>
      <c r="H333" s="2"/>
    </row>
    <row r="334" spans="5:8" x14ac:dyDescent="0.25">
      <c r="E334" s="2"/>
      <c r="H334" s="2"/>
    </row>
    <row r="335" spans="5:8" x14ac:dyDescent="0.25">
      <c r="E335" s="2"/>
      <c r="H335" s="2"/>
    </row>
    <row r="336" spans="5:8" x14ac:dyDescent="0.25">
      <c r="E336" s="2"/>
      <c r="H336" s="2"/>
    </row>
    <row r="337" spans="5:8" x14ac:dyDescent="0.25">
      <c r="E337" s="2"/>
      <c r="H337" s="2"/>
    </row>
    <row r="338" spans="5:8" x14ac:dyDescent="0.25">
      <c r="E338" s="2"/>
      <c r="H338" s="2"/>
    </row>
    <row r="339" spans="5:8" x14ac:dyDescent="0.25">
      <c r="E339" s="2"/>
      <c r="H339" s="2"/>
    </row>
    <row r="340" spans="5:8" x14ac:dyDescent="0.25">
      <c r="E340" s="2"/>
      <c r="H340" s="2"/>
    </row>
    <row r="341" spans="5:8" x14ac:dyDescent="0.25">
      <c r="E341" s="2"/>
      <c r="H341" s="2"/>
    </row>
    <row r="342" spans="5:8" x14ac:dyDescent="0.25">
      <c r="E342" s="2"/>
      <c r="H342" s="2"/>
    </row>
    <row r="343" spans="5:8" x14ac:dyDescent="0.25">
      <c r="E343" s="2"/>
      <c r="H343" s="2"/>
    </row>
    <row r="344" spans="5:8" x14ac:dyDescent="0.25">
      <c r="E344" s="2"/>
      <c r="H344" s="2"/>
    </row>
    <row r="345" spans="5:8" x14ac:dyDescent="0.25">
      <c r="E345" s="2"/>
      <c r="H345" s="2"/>
    </row>
    <row r="346" spans="5:8" x14ac:dyDescent="0.25">
      <c r="E346" s="2"/>
      <c r="H346" s="2"/>
    </row>
    <row r="347" spans="5:8" x14ac:dyDescent="0.25">
      <c r="E347" s="2"/>
      <c r="H347" s="2"/>
    </row>
    <row r="348" spans="5:8" x14ac:dyDescent="0.25">
      <c r="E348" s="2"/>
      <c r="H348" s="2"/>
    </row>
    <row r="349" spans="5:8" x14ac:dyDescent="0.25">
      <c r="E349" s="2"/>
      <c r="H349" s="2"/>
    </row>
    <row r="350" spans="5:8" x14ac:dyDescent="0.25">
      <c r="E350" s="2"/>
      <c r="H350" s="2"/>
    </row>
    <row r="351" spans="5:8" x14ac:dyDescent="0.25">
      <c r="E351" s="2"/>
      <c r="H351" s="2"/>
    </row>
    <row r="352" spans="5:8" x14ac:dyDescent="0.25">
      <c r="E352" s="2"/>
      <c r="H352" s="2"/>
    </row>
    <row r="353" spans="5:8" x14ac:dyDescent="0.25">
      <c r="E353" s="2"/>
      <c r="H353" s="2"/>
    </row>
    <row r="354" spans="5:8" x14ac:dyDescent="0.25">
      <c r="E354" s="2"/>
      <c r="H354" s="2"/>
    </row>
    <row r="355" spans="5:8" x14ac:dyDescent="0.25">
      <c r="E355" s="2"/>
      <c r="H355" s="2"/>
    </row>
    <row r="356" spans="5:8" x14ac:dyDescent="0.25">
      <c r="E356" s="2"/>
      <c r="H356" s="2"/>
    </row>
    <row r="357" spans="5:8" x14ac:dyDescent="0.25">
      <c r="E357" s="2"/>
      <c r="H357" s="2"/>
    </row>
    <row r="358" spans="5:8" x14ac:dyDescent="0.25">
      <c r="E358" s="2"/>
      <c r="H358" s="2"/>
    </row>
    <row r="359" spans="5:8" x14ac:dyDescent="0.25">
      <c r="E359" s="2"/>
      <c r="H359" s="2"/>
    </row>
    <row r="360" spans="5:8" x14ac:dyDescent="0.25">
      <c r="E360" s="2"/>
      <c r="H360" s="2"/>
    </row>
    <row r="361" spans="5:8" x14ac:dyDescent="0.25">
      <c r="E361" s="2"/>
      <c r="H361" s="2"/>
    </row>
    <row r="362" spans="5:8" x14ac:dyDescent="0.25">
      <c r="E362" s="2"/>
      <c r="H362" s="2"/>
    </row>
    <row r="363" spans="5:8" x14ac:dyDescent="0.25">
      <c r="E363" s="2"/>
      <c r="H363" s="2"/>
    </row>
    <row r="364" spans="5:8" x14ac:dyDescent="0.25">
      <c r="E364" s="2"/>
      <c r="H364" s="2"/>
    </row>
    <row r="365" spans="5:8" x14ac:dyDescent="0.25">
      <c r="E365" s="2"/>
      <c r="H365" s="2"/>
    </row>
    <row r="366" spans="5:8" x14ac:dyDescent="0.25">
      <c r="E366" s="2"/>
      <c r="H366" s="2"/>
    </row>
    <row r="367" spans="5:8" x14ac:dyDescent="0.25">
      <c r="E367" s="2"/>
      <c r="H367" s="2"/>
    </row>
    <row r="368" spans="5:8" x14ac:dyDescent="0.25">
      <c r="E368" s="2"/>
      <c r="H368" s="2"/>
    </row>
    <row r="369" spans="5:8" x14ac:dyDescent="0.25">
      <c r="E369" s="2"/>
      <c r="H369" s="2"/>
    </row>
    <row r="370" spans="5:8" x14ac:dyDescent="0.25">
      <c r="E370" s="2"/>
      <c r="H370" s="2"/>
    </row>
    <row r="371" spans="5:8" x14ac:dyDescent="0.25">
      <c r="E371" s="2"/>
      <c r="H371" s="2"/>
    </row>
    <row r="372" spans="5:8" x14ac:dyDescent="0.25">
      <c r="E372" s="2"/>
      <c r="H372" s="2"/>
    </row>
    <row r="373" spans="5:8" x14ac:dyDescent="0.25">
      <c r="E373" s="2"/>
      <c r="H373" s="2"/>
    </row>
    <row r="374" spans="5:8" x14ac:dyDescent="0.25">
      <c r="E374" s="2"/>
      <c r="H374" s="2"/>
    </row>
    <row r="375" spans="5:8" x14ac:dyDescent="0.25">
      <c r="E375" s="2"/>
      <c r="H375" s="2"/>
    </row>
    <row r="376" spans="5:8" x14ac:dyDescent="0.25">
      <c r="E376" s="2"/>
      <c r="H376" s="2"/>
    </row>
    <row r="377" spans="5:8" x14ac:dyDescent="0.25">
      <c r="E377" s="2"/>
      <c r="H377" s="2"/>
    </row>
    <row r="378" spans="5:8" x14ac:dyDescent="0.25">
      <c r="E378" s="2"/>
      <c r="H378" s="2"/>
    </row>
    <row r="379" spans="5:8" x14ac:dyDescent="0.25">
      <c r="E379" s="2"/>
      <c r="H379" s="2"/>
    </row>
    <row r="380" spans="5:8" x14ac:dyDescent="0.25">
      <c r="E380" s="2"/>
      <c r="H380" s="2"/>
    </row>
    <row r="381" spans="5:8" x14ac:dyDescent="0.25">
      <c r="E381" s="2"/>
      <c r="H381" s="2"/>
    </row>
    <row r="382" spans="5:8" x14ac:dyDescent="0.25">
      <c r="E382" s="2"/>
      <c r="H382" s="2"/>
    </row>
    <row r="383" spans="5:8" x14ac:dyDescent="0.25">
      <c r="E383" s="2"/>
      <c r="H383" s="2"/>
    </row>
    <row r="384" spans="5:8" x14ac:dyDescent="0.25">
      <c r="E384" s="2"/>
      <c r="H384" s="2"/>
    </row>
    <row r="385" spans="5:8" x14ac:dyDescent="0.25">
      <c r="E385" s="2"/>
      <c r="H385" s="2"/>
    </row>
    <row r="386" spans="5:8" x14ac:dyDescent="0.25">
      <c r="E386" s="2"/>
      <c r="H386" s="2"/>
    </row>
    <row r="387" spans="5:8" x14ac:dyDescent="0.25">
      <c r="E387" s="2"/>
      <c r="H387" s="2"/>
    </row>
    <row r="388" spans="5:8" x14ac:dyDescent="0.25">
      <c r="E388" s="2"/>
      <c r="H388" s="2"/>
    </row>
    <row r="389" spans="5:8" x14ac:dyDescent="0.25">
      <c r="E389" s="2"/>
      <c r="H389" s="2"/>
    </row>
    <row r="390" spans="5:8" x14ac:dyDescent="0.25">
      <c r="E390" s="2"/>
      <c r="H390" s="2"/>
    </row>
    <row r="391" spans="5:8" x14ac:dyDescent="0.25">
      <c r="E391" s="2"/>
      <c r="H391" s="2"/>
    </row>
    <row r="392" spans="5:8" x14ac:dyDescent="0.25">
      <c r="E392" s="2"/>
      <c r="H392" s="2"/>
    </row>
    <row r="393" spans="5:8" x14ac:dyDescent="0.25">
      <c r="E393" s="2"/>
      <c r="H393" s="2"/>
    </row>
    <row r="394" spans="5:8" x14ac:dyDescent="0.25">
      <c r="E394" s="2"/>
      <c r="H394" s="2"/>
    </row>
    <row r="395" spans="5:8" x14ac:dyDescent="0.25">
      <c r="E395" s="2"/>
      <c r="H395" s="2"/>
    </row>
    <row r="396" spans="5:8" x14ac:dyDescent="0.25">
      <c r="E396" s="2"/>
      <c r="H396" s="2"/>
    </row>
    <row r="397" spans="5:8" x14ac:dyDescent="0.25">
      <c r="E397" s="2"/>
      <c r="H397" s="2"/>
    </row>
    <row r="398" spans="5:8" x14ac:dyDescent="0.25">
      <c r="E398" s="2"/>
      <c r="H398" s="2"/>
    </row>
    <row r="399" spans="5:8" x14ac:dyDescent="0.25">
      <c r="E399" s="2"/>
      <c r="H399" s="2"/>
    </row>
    <row r="400" spans="5:8" x14ac:dyDescent="0.25">
      <c r="E400" s="2"/>
      <c r="H400" s="2"/>
    </row>
    <row r="401" spans="5:8" x14ac:dyDescent="0.25">
      <c r="E401" s="2"/>
      <c r="H401" s="2"/>
    </row>
    <row r="402" spans="5:8" x14ac:dyDescent="0.25">
      <c r="E402" s="2"/>
      <c r="H402" s="2"/>
    </row>
    <row r="403" spans="5:8" x14ac:dyDescent="0.25">
      <c r="E403" s="2"/>
      <c r="H403" s="2"/>
    </row>
    <row r="404" spans="5:8" x14ac:dyDescent="0.25">
      <c r="E404" s="2"/>
      <c r="H404" s="2"/>
    </row>
    <row r="405" spans="5:8" x14ac:dyDescent="0.25">
      <c r="E405" s="2"/>
      <c r="H405" s="2"/>
    </row>
    <row r="406" spans="5:8" x14ac:dyDescent="0.25">
      <c r="E406" s="2"/>
      <c r="H406" s="2"/>
    </row>
    <row r="407" spans="5:8" x14ac:dyDescent="0.25">
      <c r="E407" s="2"/>
      <c r="H407" s="2"/>
    </row>
    <row r="408" spans="5:8" x14ac:dyDescent="0.25">
      <c r="E408" s="2"/>
      <c r="H408" s="2"/>
    </row>
    <row r="409" spans="5:8" x14ac:dyDescent="0.25">
      <c r="E409" s="2"/>
      <c r="H409" s="2"/>
    </row>
    <row r="410" spans="5:8" x14ac:dyDescent="0.25">
      <c r="E410" s="2"/>
      <c r="H410" s="2"/>
    </row>
    <row r="411" spans="5:8" x14ac:dyDescent="0.25">
      <c r="E411" s="2"/>
      <c r="H411" s="2"/>
    </row>
    <row r="412" spans="5:8" x14ac:dyDescent="0.25">
      <c r="E412" s="2"/>
      <c r="H412" s="2"/>
    </row>
    <row r="413" spans="5:8" x14ac:dyDescent="0.25">
      <c r="E413" s="2"/>
      <c r="H413" s="2"/>
    </row>
    <row r="414" spans="5:8" x14ac:dyDescent="0.25">
      <c r="E414" s="2"/>
      <c r="H414" s="2"/>
    </row>
    <row r="415" spans="5:8" x14ac:dyDescent="0.25">
      <c r="E415" s="2"/>
      <c r="H415" s="2"/>
    </row>
    <row r="416" spans="5:8" x14ac:dyDescent="0.25">
      <c r="E416" s="2"/>
      <c r="H416" s="2"/>
    </row>
    <row r="417" spans="5:8" x14ac:dyDescent="0.25">
      <c r="E417" s="2"/>
      <c r="H417" s="2"/>
    </row>
    <row r="418" spans="5:8" x14ac:dyDescent="0.25">
      <c r="E418" s="2"/>
      <c r="H418" s="2"/>
    </row>
    <row r="419" spans="5:8" x14ac:dyDescent="0.25">
      <c r="E419" s="2"/>
      <c r="H419" s="2"/>
    </row>
    <row r="420" spans="5:8" x14ac:dyDescent="0.25">
      <c r="E420" s="2"/>
      <c r="H420" s="2"/>
    </row>
    <row r="421" spans="5:8" x14ac:dyDescent="0.25">
      <c r="E421" s="2"/>
      <c r="H421" s="2"/>
    </row>
    <row r="422" spans="5:8" x14ac:dyDescent="0.25">
      <c r="E422" s="2"/>
      <c r="H422" s="2"/>
    </row>
    <row r="423" spans="5:8" x14ac:dyDescent="0.25">
      <c r="E423" s="2"/>
      <c r="H423" s="2"/>
    </row>
    <row r="424" spans="5:8" x14ac:dyDescent="0.25">
      <c r="E424" s="2"/>
      <c r="H424" s="2"/>
    </row>
    <row r="425" spans="5:8" x14ac:dyDescent="0.25">
      <c r="E425" s="2"/>
      <c r="H425" s="2"/>
    </row>
    <row r="426" spans="5:8" x14ac:dyDescent="0.25">
      <c r="E426" s="2"/>
      <c r="H426" s="2"/>
    </row>
    <row r="427" spans="5:8" x14ac:dyDescent="0.25">
      <c r="E427" s="2"/>
      <c r="H427" s="2"/>
    </row>
    <row r="428" spans="5:8" x14ac:dyDescent="0.25">
      <c r="E428" s="2"/>
      <c r="H428" s="2"/>
    </row>
    <row r="429" spans="5:8" x14ac:dyDescent="0.25">
      <c r="E429" s="2"/>
      <c r="H429" s="2"/>
    </row>
    <row r="430" spans="5:8" x14ac:dyDescent="0.25">
      <c r="E430" s="2"/>
      <c r="H430" s="2"/>
    </row>
    <row r="431" spans="5:8" x14ac:dyDescent="0.25">
      <c r="E431" s="2"/>
      <c r="H431" s="2"/>
    </row>
    <row r="432" spans="5:8" x14ac:dyDescent="0.25">
      <c r="E432" s="2"/>
      <c r="H432" s="2"/>
    </row>
    <row r="433" spans="5:8" x14ac:dyDescent="0.25">
      <c r="E433" s="2"/>
      <c r="H433" s="2"/>
    </row>
    <row r="434" spans="5:8" x14ac:dyDescent="0.25">
      <c r="E434" s="2"/>
      <c r="H434" s="2"/>
    </row>
    <row r="435" spans="5:8" x14ac:dyDescent="0.25">
      <c r="E435" s="2"/>
      <c r="H435" s="2"/>
    </row>
    <row r="436" spans="5:8" x14ac:dyDescent="0.25">
      <c r="E436" s="2"/>
      <c r="H436" s="2"/>
    </row>
    <row r="437" spans="5:8" x14ac:dyDescent="0.25">
      <c r="E437" s="2"/>
      <c r="H437" s="2"/>
    </row>
    <row r="438" spans="5:8" x14ac:dyDescent="0.25">
      <c r="E438" s="2"/>
      <c r="H438" s="2"/>
    </row>
    <row r="439" spans="5:8" x14ac:dyDescent="0.25">
      <c r="E439" s="2"/>
      <c r="H439" s="2"/>
    </row>
    <row r="440" spans="5:8" x14ac:dyDescent="0.25">
      <c r="E440" s="2"/>
      <c r="H440" s="2"/>
    </row>
    <row r="441" spans="5:8" x14ac:dyDescent="0.25">
      <c r="E441" s="2"/>
      <c r="H441" s="2"/>
    </row>
    <row r="442" spans="5:8" x14ac:dyDescent="0.25">
      <c r="E442" s="2"/>
      <c r="H442" s="2"/>
    </row>
    <row r="443" spans="5:8" x14ac:dyDescent="0.25">
      <c r="E443" s="2"/>
      <c r="H443" s="2"/>
    </row>
    <row r="444" spans="5:8" x14ac:dyDescent="0.25">
      <c r="E444" s="2"/>
      <c r="H444" s="2"/>
    </row>
    <row r="445" spans="5:8" x14ac:dyDescent="0.25">
      <c r="E445" s="2"/>
      <c r="H445" s="2"/>
    </row>
    <row r="446" spans="5:8" x14ac:dyDescent="0.25">
      <c r="E446" s="2"/>
      <c r="H446" s="2"/>
    </row>
    <row r="447" spans="5:8" x14ac:dyDescent="0.25">
      <c r="E447" s="2"/>
      <c r="H447" s="2"/>
    </row>
    <row r="448" spans="5:8" x14ac:dyDescent="0.25">
      <c r="E448" s="2"/>
      <c r="H448" s="2"/>
    </row>
    <row r="449" spans="5:8" x14ac:dyDescent="0.25">
      <c r="E449" s="2"/>
      <c r="H449" s="2"/>
    </row>
    <row r="450" spans="5:8" x14ac:dyDescent="0.25">
      <c r="E450" s="2"/>
      <c r="H450" s="2"/>
    </row>
    <row r="451" spans="5:8" x14ac:dyDescent="0.25">
      <c r="E451" s="2"/>
      <c r="H451" s="2"/>
    </row>
    <row r="452" spans="5:8" x14ac:dyDescent="0.25">
      <c r="E452" s="2"/>
      <c r="H452" s="2"/>
    </row>
    <row r="453" spans="5:8" x14ac:dyDescent="0.25">
      <c r="E453" s="2"/>
      <c r="H453" s="2"/>
    </row>
    <row r="454" spans="5:8" x14ac:dyDescent="0.25">
      <c r="E454" s="2"/>
      <c r="H454" s="2"/>
    </row>
    <row r="455" spans="5:8" x14ac:dyDescent="0.25">
      <c r="E455" s="2"/>
      <c r="H455" s="2"/>
    </row>
    <row r="456" spans="5:8" x14ac:dyDescent="0.25">
      <c r="E456" s="2"/>
      <c r="H456" s="2"/>
    </row>
    <row r="457" spans="5:8" x14ac:dyDescent="0.25">
      <c r="E457" s="2"/>
      <c r="H457" s="2"/>
    </row>
    <row r="458" spans="5:8" x14ac:dyDescent="0.25">
      <c r="E458" s="2"/>
      <c r="H458" s="2"/>
    </row>
    <row r="459" spans="5:8" x14ac:dyDescent="0.25">
      <c r="E459" s="2"/>
      <c r="H459" s="2"/>
    </row>
    <row r="460" spans="5:8" x14ac:dyDescent="0.25">
      <c r="E460" s="2"/>
      <c r="H460" s="2"/>
    </row>
    <row r="461" spans="5:8" x14ac:dyDescent="0.25">
      <c r="E461" s="2"/>
      <c r="H461" s="2"/>
    </row>
    <row r="462" spans="5:8" x14ac:dyDescent="0.25">
      <c r="E462" s="2"/>
      <c r="H462" s="2"/>
    </row>
    <row r="463" spans="5:8" x14ac:dyDescent="0.25">
      <c r="E463" s="2"/>
      <c r="H463" s="2"/>
    </row>
    <row r="464" spans="5:8" x14ac:dyDescent="0.25">
      <c r="E464" s="2"/>
      <c r="H464" s="2"/>
    </row>
    <row r="465" spans="5:8" x14ac:dyDescent="0.25">
      <c r="E465" s="2"/>
      <c r="H465" s="2"/>
    </row>
    <row r="466" spans="5:8" x14ac:dyDescent="0.25">
      <c r="E466" s="2"/>
      <c r="H466" s="2"/>
    </row>
    <row r="467" spans="5:8" x14ac:dyDescent="0.25">
      <c r="E467" s="2"/>
      <c r="H467" s="2"/>
    </row>
    <row r="468" spans="5:8" x14ac:dyDescent="0.25">
      <c r="E468" s="2"/>
      <c r="H468" s="2"/>
    </row>
    <row r="469" spans="5:8" x14ac:dyDescent="0.25">
      <c r="E469" s="2"/>
      <c r="H469" s="2"/>
    </row>
    <row r="470" spans="5:8" x14ac:dyDescent="0.25">
      <c r="E470" s="2"/>
      <c r="H470" s="2"/>
    </row>
    <row r="471" spans="5:8" x14ac:dyDescent="0.25">
      <c r="E471" s="2"/>
      <c r="H471" s="2"/>
    </row>
    <row r="472" spans="5:8" x14ac:dyDescent="0.25">
      <c r="E472" s="2"/>
      <c r="H472" s="2"/>
    </row>
    <row r="473" spans="5:8" x14ac:dyDescent="0.25">
      <c r="E473" s="2"/>
      <c r="H473" s="2"/>
    </row>
    <row r="474" spans="5:8" x14ac:dyDescent="0.25">
      <c r="E474" s="2"/>
      <c r="H474" s="2"/>
    </row>
    <row r="475" spans="5:8" x14ac:dyDescent="0.25">
      <c r="E475" s="2"/>
      <c r="H475" s="2"/>
    </row>
    <row r="476" spans="5:8" x14ac:dyDescent="0.25">
      <c r="E476" s="2"/>
      <c r="H476" s="2"/>
    </row>
    <row r="477" spans="5:8" x14ac:dyDescent="0.25">
      <c r="E477" s="2"/>
      <c r="H477" s="2"/>
    </row>
    <row r="478" spans="5:8" x14ac:dyDescent="0.25">
      <c r="E478" s="2"/>
      <c r="H478" s="2"/>
    </row>
    <row r="479" spans="5:8" x14ac:dyDescent="0.25">
      <c r="E479" s="2"/>
      <c r="H479" s="2"/>
    </row>
    <row r="480" spans="5:8" x14ac:dyDescent="0.25">
      <c r="E480" s="2"/>
      <c r="H480" s="2"/>
    </row>
    <row r="481" spans="5:8" x14ac:dyDescent="0.25">
      <c r="E481" s="2"/>
      <c r="H481" s="2"/>
    </row>
    <row r="482" spans="5:8" x14ac:dyDescent="0.25">
      <c r="E482" s="2"/>
      <c r="H482" s="2"/>
    </row>
    <row r="483" spans="5:8" x14ac:dyDescent="0.25">
      <c r="E483" s="2"/>
      <c r="H483" s="2"/>
    </row>
    <row r="484" spans="5:8" x14ac:dyDescent="0.25">
      <c r="E484" s="2"/>
      <c r="H484" s="2"/>
    </row>
    <row r="485" spans="5:8" x14ac:dyDescent="0.25">
      <c r="E485" s="2"/>
      <c r="H485" s="2"/>
    </row>
    <row r="486" spans="5:8" x14ac:dyDescent="0.25">
      <c r="E486" s="2"/>
      <c r="H486" s="2"/>
    </row>
    <row r="487" spans="5:8" x14ac:dyDescent="0.25">
      <c r="E487" s="2"/>
      <c r="H487" s="2"/>
    </row>
    <row r="488" spans="5:8" x14ac:dyDescent="0.25">
      <c r="E488" s="2"/>
      <c r="H488" s="2"/>
    </row>
    <row r="489" spans="5:8" x14ac:dyDescent="0.25">
      <c r="E489" s="2"/>
      <c r="H489" s="2"/>
    </row>
    <row r="490" spans="5:8" x14ac:dyDescent="0.25">
      <c r="E490" s="2"/>
      <c r="H490" s="2"/>
    </row>
    <row r="491" spans="5:8" x14ac:dyDescent="0.25">
      <c r="E491" s="2"/>
      <c r="H491" s="2"/>
    </row>
    <row r="492" spans="5:8" x14ac:dyDescent="0.25">
      <c r="E492" s="2"/>
      <c r="H492" s="2"/>
    </row>
    <row r="493" spans="5:8" x14ac:dyDescent="0.25">
      <c r="E493" s="2"/>
      <c r="H493" s="2"/>
    </row>
    <row r="494" spans="5:8" x14ac:dyDescent="0.25">
      <c r="E494" s="2"/>
      <c r="H494" s="2"/>
    </row>
    <row r="495" spans="5:8" x14ac:dyDescent="0.25">
      <c r="E495" s="2"/>
      <c r="H495" s="2"/>
    </row>
    <row r="496" spans="5:8" x14ac:dyDescent="0.25">
      <c r="E496" s="2"/>
      <c r="H496" s="2"/>
    </row>
    <row r="497" spans="5:8" x14ac:dyDescent="0.25">
      <c r="E497" s="2"/>
      <c r="H497" s="2"/>
    </row>
    <row r="498" spans="5:8" x14ac:dyDescent="0.25">
      <c r="E498" s="2"/>
      <c r="H498" s="2"/>
    </row>
    <row r="499" spans="5:8" x14ac:dyDescent="0.25">
      <c r="E499" s="2"/>
      <c r="H499" s="2"/>
    </row>
    <row r="500" spans="5:8" x14ac:dyDescent="0.25">
      <c r="E500" s="2"/>
      <c r="H500" s="2"/>
    </row>
    <row r="501" spans="5:8" x14ac:dyDescent="0.25">
      <c r="E501" s="2"/>
      <c r="H501" s="2"/>
    </row>
    <row r="502" spans="5:8" x14ac:dyDescent="0.25">
      <c r="E502" s="2"/>
      <c r="H502" s="2"/>
    </row>
    <row r="503" spans="5:8" x14ac:dyDescent="0.25">
      <c r="E503" s="2"/>
      <c r="H503" s="2"/>
    </row>
    <row r="504" spans="5:8" x14ac:dyDescent="0.25">
      <c r="E504" s="2"/>
      <c r="H504" s="2"/>
    </row>
    <row r="505" spans="5:8" x14ac:dyDescent="0.25">
      <c r="E505" s="2"/>
      <c r="H505" s="2"/>
    </row>
    <row r="506" spans="5:8" x14ac:dyDescent="0.25">
      <c r="E506" s="2"/>
      <c r="H506" s="2"/>
    </row>
    <row r="507" spans="5:8" x14ac:dyDescent="0.25">
      <c r="E507" s="2"/>
      <c r="H507" s="2"/>
    </row>
    <row r="508" spans="5:8" x14ac:dyDescent="0.25">
      <c r="E508" s="2"/>
      <c r="H508" s="2"/>
    </row>
    <row r="509" spans="5:8" x14ac:dyDescent="0.25">
      <c r="E509" s="2"/>
      <c r="H509" s="2"/>
    </row>
    <row r="510" spans="5:8" x14ac:dyDescent="0.25">
      <c r="E510" s="2"/>
      <c r="H510" s="2"/>
    </row>
    <row r="511" spans="5:8" x14ac:dyDescent="0.25">
      <c r="E511" s="2"/>
      <c r="H511" s="2"/>
    </row>
    <row r="512" spans="5:8" x14ac:dyDescent="0.25">
      <c r="E512" s="2"/>
      <c r="H512" s="2"/>
    </row>
    <row r="513" spans="5:8" x14ac:dyDescent="0.25">
      <c r="E513" s="2"/>
      <c r="H513" s="2"/>
    </row>
    <row r="514" spans="5:8" x14ac:dyDescent="0.25">
      <c r="E514" s="2"/>
      <c r="H514" s="2"/>
    </row>
    <row r="515" spans="5:8" x14ac:dyDescent="0.25">
      <c r="E515" s="2"/>
      <c r="H515" s="2"/>
    </row>
    <row r="516" spans="5:8" x14ac:dyDescent="0.25">
      <c r="E516" s="2"/>
      <c r="H516" s="2"/>
    </row>
    <row r="517" spans="5:8" x14ac:dyDescent="0.25">
      <c r="E517" s="2"/>
      <c r="H517" s="2"/>
    </row>
    <row r="518" spans="5:8" x14ac:dyDescent="0.25">
      <c r="E518" s="2"/>
      <c r="H518" s="2"/>
    </row>
    <row r="519" spans="5:8" x14ac:dyDescent="0.25">
      <c r="E519" s="2"/>
      <c r="H519" s="2"/>
    </row>
    <row r="520" spans="5:8" x14ac:dyDescent="0.25">
      <c r="E520" s="2"/>
      <c r="H520" s="2"/>
    </row>
    <row r="521" spans="5:8" x14ac:dyDescent="0.25">
      <c r="E521" s="2"/>
      <c r="H521" s="2"/>
    </row>
    <row r="522" spans="5:8" x14ac:dyDescent="0.25">
      <c r="E522" s="2"/>
      <c r="H522" s="2"/>
    </row>
    <row r="523" spans="5:8" x14ac:dyDescent="0.25">
      <c r="E523" s="2"/>
      <c r="H523" s="2"/>
    </row>
    <row r="524" spans="5:8" x14ac:dyDescent="0.25">
      <c r="E524" s="2"/>
      <c r="H524" s="2"/>
    </row>
    <row r="525" spans="5:8" x14ac:dyDescent="0.25">
      <c r="E525" s="2"/>
      <c r="H525" s="2"/>
    </row>
    <row r="526" spans="5:8" x14ac:dyDescent="0.25">
      <c r="E526" s="2"/>
      <c r="H526" s="2"/>
    </row>
    <row r="527" spans="5:8" x14ac:dyDescent="0.25">
      <c r="E527" s="2"/>
      <c r="H527" s="2"/>
    </row>
    <row r="528" spans="5:8" x14ac:dyDescent="0.25">
      <c r="E528" s="2"/>
      <c r="H528" s="2"/>
    </row>
    <row r="529" spans="5:8" x14ac:dyDescent="0.25">
      <c r="E529" s="2"/>
      <c r="H529" s="2"/>
    </row>
    <row r="530" spans="5:8" x14ac:dyDescent="0.25">
      <c r="E530" s="2"/>
      <c r="H530" s="2"/>
    </row>
    <row r="531" spans="5:8" x14ac:dyDescent="0.25">
      <c r="E531" s="2"/>
      <c r="H531" s="2"/>
    </row>
    <row r="532" spans="5:8" x14ac:dyDescent="0.25">
      <c r="E532" s="2"/>
      <c r="H532" s="2"/>
    </row>
    <row r="533" spans="5:8" x14ac:dyDescent="0.25">
      <c r="E533" s="2"/>
      <c r="H533" s="2"/>
    </row>
    <row r="534" spans="5:8" x14ac:dyDescent="0.25">
      <c r="E534" s="2"/>
      <c r="H534" s="2"/>
    </row>
    <row r="535" spans="5:8" x14ac:dyDescent="0.25">
      <c r="E535" s="2"/>
      <c r="H535" s="2"/>
    </row>
    <row r="536" spans="5:8" x14ac:dyDescent="0.25">
      <c r="E536" s="2"/>
      <c r="H536" s="2"/>
    </row>
    <row r="537" spans="5:8" x14ac:dyDescent="0.25">
      <c r="E537" s="2"/>
      <c r="H537" s="2"/>
    </row>
    <row r="538" spans="5:8" x14ac:dyDescent="0.25">
      <c r="E538" s="2"/>
      <c r="H538" s="2"/>
    </row>
    <row r="539" spans="5:8" x14ac:dyDescent="0.25">
      <c r="E539" s="2"/>
      <c r="H539" s="2"/>
    </row>
    <row r="540" spans="5:8" x14ac:dyDescent="0.25">
      <c r="E540" s="2"/>
      <c r="H540" s="2"/>
    </row>
    <row r="541" spans="5:8" x14ac:dyDescent="0.25">
      <c r="E541" s="2"/>
      <c r="H541" s="2"/>
    </row>
    <row r="542" spans="5:8" x14ac:dyDescent="0.25">
      <c r="E542" s="2"/>
      <c r="H542" s="2"/>
    </row>
    <row r="543" spans="5:8" x14ac:dyDescent="0.25">
      <c r="E543" s="2"/>
      <c r="H543" s="2"/>
    </row>
    <row r="544" spans="5:8" x14ac:dyDescent="0.25">
      <c r="E544" s="2"/>
      <c r="H544" s="2"/>
    </row>
    <row r="545" spans="5:8" x14ac:dyDescent="0.25">
      <c r="E545" s="2"/>
      <c r="H545" s="2"/>
    </row>
    <row r="546" spans="5:8" x14ac:dyDescent="0.25">
      <c r="E546" s="2"/>
      <c r="H546" s="2"/>
    </row>
    <row r="547" spans="5:8" x14ac:dyDescent="0.25">
      <c r="E547" s="2"/>
      <c r="H547" s="2"/>
    </row>
    <row r="548" spans="5:8" x14ac:dyDescent="0.25">
      <c r="E548" s="2"/>
      <c r="H548" s="2"/>
    </row>
    <row r="549" spans="5:8" x14ac:dyDescent="0.25">
      <c r="E549" s="2"/>
      <c r="H549" s="2"/>
    </row>
    <row r="550" spans="5:8" x14ac:dyDescent="0.25">
      <c r="E550" s="2"/>
      <c r="H550" s="2"/>
    </row>
    <row r="551" spans="5:8" x14ac:dyDescent="0.25">
      <c r="E551" s="2"/>
      <c r="H551" s="2"/>
    </row>
    <row r="552" spans="5:8" x14ac:dyDescent="0.25">
      <c r="E552" s="2"/>
      <c r="H552" s="2"/>
    </row>
    <row r="553" spans="5:8" x14ac:dyDescent="0.25">
      <c r="E553" s="2"/>
      <c r="H553" s="2"/>
    </row>
    <row r="554" spans="5:8" x14ac:dyDescent="0.25">
      <c r="E554" s="2"/>
      <c r="H554" s="2"/>
    </row>
    <row r="555" spans="5:8" x14ac:dyDescent="0.25">
      <c r="E555" s="2"/>
      <c r="H555" s="2"/>
    </row>
    <row r="556" spans="5:8" x14ac:dyDescent="0.25">
      <c r="E556" s="2"/>
      <c r="H556" s="2"/>
    </row>
    <row r="557" spans="5:8" x14ac:dyDescent="0.25">
      <c r="E557" s="2"/>
      <c r="H557" s="2"/>
    </row>
    <row r="558" spans="5:8" x14ac:dyDescent="0.25">
      <c r="E558" s="2"/>
      <c r="H558" s="2"/>
    </row>
    <row r="559" spans="5:8" x14ac:dyDescent="0.25">
      <c r="E559" s="2"/>
      <c r="H559" s="2"/>
    </row>
    <row r="560" spans="5:8" x14ac:dyDescent="0.25">
      <c r="E560" s="2"/>
      <c r="H560" s="2"/>
    </row>
    <row r="561" spans="5:8" x14ac:dyDescent="0.25">
      <c r="E561" s="2"/>
      <c r="H561" s="2"/>
    </row>
    <row r="562" spans="5:8" x14ac:dyDescent="0.25">
      <c r="E562" s="2"/>
      <c r="H562" s="2"/>
    </row>
    <row r="563" spans="5:8" x14ac:dyDescent="0.25">
      <c r="E563" s="2"/>
      <c r="H563" s="2"/>
    </row>
    <row r="564" spans="5:8" x14ac:dyDescent="0.25">
      <c r="E564" s="2"/>
      <c r="H564" s="2"/>
    </row>
    <row r="565" spans="5:8" x14ac:dyDescent="0.25">
      <c r="E565" s="2"/>
      <c r="H565" s="2"/>
    </row>
    <row r="566" spans="5:8" x14ac:dyDescent="0.25">
      <c r="E566" s="2"/>
      <c r="H566" s="2"/>
    </row>
    <row r="567" spans="5:8" x14ac:dyDescent="0.25">
      <c r="E567" s="2"/>
      <c r="H567" s="2"/>
    </row>
    <row r="568" spans="5:8" x14ac:dyDescent="0.25">
      <c r="E568" s="2"/>
      <c r="H568" s="2"/>
    </row>
    <row r="569" spans="5:8" x14ac:dyDescent="0.25">
      <c r="E569" s="2"/>
      <c r="H569" s="2"/>
    </row>
    <row r="570" spans="5:8" x14ac:dyDescent="0.25">
      <c r="E570" s="2"/>
      <c r="H570" s="2"/>
    </row>
    <row r="571" spans="5:8" x14ac:dyDescent="0.25">
      <c r="E571" s="2"/>
      <c r="H571" s="2"/>
    </row>
    <row r="572" spans="5:8" x14ac:dyDescent="0.25">
      <c r="E572" s="2"/>
      <c r="H572" s="2"/>
    </row>
    <row r="573" spans="5:8" x14ac:dyDescent="0.25">
      <c r="E573" s="2"/>
      <c r="H573" s="2"/>
    </row>
    <row r="574" spans="5:8" x14ac:dyDescent="0.25">
      <c r="E574" s="2"/>
      <c r="H574" s="2"/>
    </row>
    <row r="575" spans="5:8" x14ac:dyDescent="0.25">
      <c r="E575" s="2"/>
      <c r="H575" s="2"/>
    </row>
    <row r="576" spans="5:8" x14ac:dyDescent="0.25">
      <c r="E576" s="2"/>
      <c r="H576" s="2"/>
    </row>
    <row r="577" spans="5:8" x14ac:dyDescent="0.25">
      <c r="E577" s="2"/>
      <c r="H577" s="2"/>
    </row>
    <row r="578" spans="5:8" x14ac:dyDescent="0.25">
      <c r="E578" s="2"/>
      <c r="H578" s="2"/>
    </row>
    <row r="579" spans="5:8" x14ac:dyDescent="0.25">
      <c r="E579" s="2"/>
      <c r="H579" s="2"/>
    </row>
    <row r="580" spans="5:8" x14ac:dyDescent="0.25">
      <c r="E580" s="2"/>
      <c r="H580" s="2"/>
    </row>
    <row r="581" spans="5:8" x14ac:dyDescent="0.25">
      <c r="E581" s="2"/>
      <c r="H581" s="2"/>
    </row>
    <row r="582" spans="5:8" x14ac:dyDescent="0.25">
      <c r="E582" s="2"/>
      <c r="H582" s="2"/>
    </row>
    <row r="583" spans="5:8" x14ac:dyDescent="0.25">
      <c r="E583" s="2"/>
      <c r="H583" s="2"/>
    </row>
    <row r="584" spans="5:8" x14ac:dyDescent="0.25">
      <c r="E584" s="2"/>
      <c r="H584" s="2"/>
    </row>
    <row r="585" spans="5:8" x14ac:dyDescent="0.25">
      <c r="E585" s="2"/>
      <c r="H585" s="2"/>
    </row>
    <row r="586" spans="5:8" x14ac:dyDescent="0.25">
      <c r="E586" s="2"/>
      <c r="H586" s="2"/>
    </row>
    <row r="587" spans="5:8" x14ac:dyDescent="0.25">
      <c r="E587" s="2"/>
      <c r="H587" s="2"/>
    </row>
    <row r="588" spans="5:8" x14ac:dyDescent="0.25">
      <c r="E588" s="2"/>
      <c r="H588" s="2"/>
    </row>
    <row r="589" spans="5:8" x14ac:dyDescent="0.25">
      <c r="E589" s="2"/>
      <c r="H589" s="2"/>
    </row>
    <row r="590" spans="5:8" x14ac:dyDescent="0.25">
      <c r="E590" s="2"/>
      <c r="H590" s="2"/>
    </row>
    <row r="591" spans="5:8" x14ac:dyDescent="0.25">
      <c r="E591" s="2"/>
      <c r="H591" s="2"/>
    </row>
    <row r="592" spans="5:8" x14ac:dyDescent="0.25">
      <c r="E592" s="2"/>
      <c r="H592" s="2"/>
    </row>
    <row r="593" spans="5:8" x14ac:dyDescent="0.25">
      <c r="E593" s="2"/>
      <c r="H593" s="2"/>
    </row>
    <row r="594" spans="5:8" x14ac:dyDescent="0.25">
      <c r="E594" s="2"/>
      <c r="H594" s="2"/>
    </row>
    <row r="595" spans="5:8" x14ac:dyDescent="0.25">
      <c r="E595" s="2"/>
      <c r="H595" s="2"/>
    </row>
    <row r="596" spans="5:8" x14ac:dyDescent="0.25">
      <c r="E596" s="2"/>
      <c r="H596" s="2"/>
    </row>
    <row r="597" spans="5:8" x14ac:dyDescent="0.25">
      <c r="E597" s="2"/>
      <c r="H597" s="2"/>
    </row>
    <row r="598" spans="5:8" x14ac:dyDescent="0.25">
      <c r="E598" s="2"/>
      <c r="H598" s="2"/>
    </row>
    <row r="599" spans="5:8" x14ac:dyDescent="0.25">
      <c r="E599" s="2"/>
      <c r="H599" s="2"/>
    </row>
    <row r="600" spans="5:8" x14ac:dyDescent="0.25">
      <c r="E600" s="2"/>
      <c r="H600" s="2"/>
    </row>
    <row r="601" spans="5:8" x14ac:dyDescent="0.25">
      <c r="E601" s="2"/>
      <c r="H601" s="2"/>
    </row>
    <row r="602" spans="5:8" x14ac:dyDescent="0.25">
      <c r="E602" s="2"/>
      <c r="H602" s="2"/>
    </row>
    <row r="603" spans="5:8" x14ac:dyDescent="0.25">
      <c r="E603" s="2"/>
      <c r="H603" s="2"/>
    </row>
    <row r="604" spans="5:8" x14ac:dyDescent="0.25">
      <c r="E604" s="2"/>
      <c r="H604" s="2"/>
    </row>
    <row r="605" spans="5:8" x14ac:dyDescent="0.25">
      <c r="E605" s="2"/>
      <c r="H605" s="2"/>
    </row>
    <row r="606" spans="5:8" x14ac:dyDescent="0.25">
      <c r="E606" s="2"/>
      <c r="H606" s="2"/>
    </row>
    <row r="607" spans="5:8" x14ac:dyDescent="0.25">
      <c r="E607" s="2"/>
      <c r="H607" s="2"/>
    </row>
    <row r="608" spans="5:8" x14ac:dyDescent="0.25">
      <c r="E608" s="2"/>
      <c r="H608" s="2"/>
    </row>
    <row r="609" spans="5:8" x14ac:dyDescent="0.25">
      <c r="E609" s="2"/>
      <c r="H609" s="2"/>
    </row>
    <row r="610" spans="5:8" x14ac:dyDescent="0.25">
      <c r="E610" s="2"/>
      <c r="H610" s="2"/>
    </row>
    <row r="611" spans="5:8" x14ac:dyDescent="0.25">
      <c r="E611" s="2"/>
      <c r="H611" s="2"/>
    </row>
    <row r="612" spans="5:8" x14ac:dyDescent="0.25">
      <c r="E612" s="2"/>
      <c r="H612" s="2"/>
    </row>
    <row r="613" spans="5:8" x14ac:dyDescent="0.25">
      <c r="E613" s="2"/>
      <c r="H613" s="2"/>
    </row>
    <row r="614" spans="5:8" x14ac:dyDescent="0.25">
      <c r="E614" s="2"/>
      <c r="H614" s="2"/>
    </row>
    <row r="615" spans="5:8" x14ac:dyDescent="0.25">
      <c r="E615" s="2"/>
      <c r="H615" s="2"/>
    </row>
    <row r="616" spans="5:8" x14ac:dyDescent="0.25">
      <c r="E616" s="2"/>
      <c r="H616" s="2"/>
    </row>
    <row r="617" spans="5:8" x14ac:dyDescent="0.25">
      <c r="E617" s="2"/>
      <c r="H617" s="2"/>
    </row>
    <row r="618" spans="5:8" x14ac:dyDescent="0.25">
      <c r="E618" s="2"/>
      <c r="H618" s="2"/>
    </row>
    <row r="619" spans="5:8" x14ac:dyDescent="0.25">
      <c r="E619" s="2"/>
      <c r="H619" s="2"/>
    </row>
    <row r="620" spans="5:8" x14ac:dyDescent="0.25">
      <c r="E620" s="2"/>
      <c r="H620" s="2"/>
    </row>
    <row r="621" spans="5:8" x14ac:dyDescent="0.25">
      <c r="E621" s="2"/>
      <c r="H621" s="2"/>
    </row>
    <row r="622" spans="5:8" x14ac:dyDescent="0.25">
      <c r="E622" s="2"/>
      <c r="H622" s="2"/>
    </row>
    <row r="623" spans="5:8" x14ac:dyDescent="0.25">
      <c r="E623" s="2"/>
      <c r="H623" s="2"/>
    </row>
    <row r="624" spans="5:8" x14ac:dyDescent="0.25">
      <c r="E624" s="2"/>
      <c r="H624" s="2"/>
    </row>
    <row r="625" spans="5:8" x14ac:dyDescent="0.25">
      <c r="E625" s="2"/>
      <c r="H625" s="2"/>
    </row>
    <row r="626" spans="5:8" x14ac:dyDescent="0.25">
      <c r="E626" s="2"/>
      <c r="H626" s="2"/>
    </row>
    <row r="627" spans="5:8" x14ac:dyDescent="0.25">
      <c r="E627" s="2"/>
      <c r="H627" s="2"/>
    </row>
    <row r="628" spans="5:8" x14ac:dyDescent="0.25">
      <c r="E628" s="2"/>
      <c r="H628" s="2"/>
    </row>
    <row r="629" spans="5:8" x14ac:dyDescent="0.25">
      <c r="E629" s="2"/>
      <c r="H629" s="2"/>
    </row>
    <row r="630" spans="5:8" x14ac:dyDescent="0.25">
      <c r="E630" s="2"/>
      <c r="H630" s="2"/>
    </row>
    <row r="631" spans="5:8" x14ac:dyDescent="0.25">
      <c r="E631" s="2"/>
      <c r="H631" s="2"/>
    </row>
    <row r="632" spans="5:8" x14ac:dyDescent="0.25">
      <c r="E632" s="2"/>
      <c r="H632" s="2"/>
    </row>
    <row r="633" spans="5:8" x14ac:dyDescent="0.25">
      <c r="E633" s="2"/>
      <c r="H633" s="2"/>
    </row>
    <row r="634" spans="5:8" x14ac:dyDescent="0.25">
      <c r="E634" s="2"/>
      <c r="H634" s="2"/>
    </row>
    <row r="635" spans="5:8" x14ac:dyDescent="0.25">
      <c r="E635" s="2"/>
      <c r="H635" s="2"/>
    </row>
    <row r="636" spans="5:8" x14ac:dyDescent="0.25">
      <c r="E636" s="2"/>
      <c r="H636" s="2"/>
    </row>
    <row r="637" spans="5:8" x14ac:dyDescent="0.25">
      <c r="E637" s="2"/>
      <c r="H637" s="2"/>
    </row>
    <row r="638" spans="5:8" x14ac:dyDescent="0.25">
      <c r="E638" s="2"/>
      <c r="H638" s="2"/>
    </row>
    <row r="639" spans="5:8" x14ac:dyDescent="0.25">
      <c r="E639" s="2"/>
      <c r="H639" s="2"/>
    </row>
    <row r="640" spans="5:8" x14ac:dyDescent="0.25">
      <c r="E640" s="2"/>
      <c r="H640" s="2"/>
    </row>
    <row r="641" spans="5:8" x14ac:dyDescent="0.25">
      <c r="E641" s="2"/>
      <c r="H641" s="2"/>
    </row>
    <row r="642" spans="5:8" x14ac:dyDescent="0.25">
      <c r="E642" s="2"/>
      <c r="H642" s="2"/>
    </row>
    <row r="643" spans="5:8" x14ac:dyDescent="0.25">
      <c r="E643" s="2"/>
      <c r="H643" s="2"/>
    </row>
    <row r="644" spans="5:8" x14ac:dyDescent="0.25">
      <c r="E644" s="2"/>
      <c r="H644" s="2"/>
    </row>
    <row r="645" spans="5:8" x14ac:dyDescent="0.25">
      <c r="E645" s="2"/>
      <c r="H645" s="2"/>
    </row>
    <row r="646" spans="5:8" x14ac:dyDescent="0.25">
      <c r="E646" s="2"/>
      <c r="H646" s="2"/>
    </row>
    <row r="647" spans="5:8" x14ac:dyDescent="0.25">
      <c r="E647" s="2"/>
      <c r="H647" s="2"/>
    </row>
    <row r="648" spans="5:8" x14ac:dyDescent="0.25">
      <c r="E648" s="2"/>
      <c r="H648" s="2"/>
    </row>
    <row r="649" spans="5:8" x14ac:dyDescent="0.25">
      <c r="E649" s="2"/>
      <c r="H649" s="2"/>
    </row>
    <row r="650" spans="5:8" x14ac:dyDescent="0.25">
      <c r="E650" s="2"/>
      <c r="H650" s="2"/>
    </row>
    <row r="651" spans="5:8" x14ac:dyDescent="0.25">
      <c r="E651" s="2"/>
      <c r="H651" s="2"/>
    </row>
    <row r="652" spans="5:8" x14ac:dyDescent="0.25">
      <c r="E652" s="2"/>
      <c r="H652" s="2"/>
    </row>
    <row r="653" spans="5:8" x14ac:dyDescent="0.25">
      <c r="E653" s="2"/>
      <c r="H653" s="2"/>
    </row>
    <row r="654" spans="5:8" x14ac:dyDescent="0.25">
      <c r="E654" s="2"/>
      <c r="H654" s="2"/>
    </row>
    <row r="655" spans="5:8" x14ac:dyDescent="0.25">
      <c r="E655" s="2"/>
      <c r="H655" s="2"/>
    </row>
    <row r="656" spans="5:8" x14ac:dyDescent="0.25">
      <c r="E656" s="2"/>
      <c r="H656" s="2"/>
    </row>
    <row r="657" spans="5:8" x14ac:dyDescent="0.25">
      <c r="E657" s="2"/>
      <c r="H657" s="2"/>
    </row>
    <row r="658" spans="5:8" x14ac:dyDescent="0.25">
      <c r="E658" s="2"/>
      <c r="H658" s="2"/>
    </row>
    <row r="659" spans="5:8" x14ac:dyDescent="0.25">
      <c r="E659" s="2"/>
      <c r="H659" s="2"/>
    </row>
    <row r="660" spans="5:8" x14ac:dyDescent="0.25">
      <c r="E660" s="2"/>
      <c r="H660" s="2"/>
    </row>
    <row r="661" spans="5:8" x14ac:dyDescent="0.25">
      <c r="E661" s="2"/>
      <c r="H661" s="2"/>
    </row>
    <row r="662" spans="5:8" x14ac:dyDescent="0.25">
      <c r="E662" s="2"/>
      <c r="H662" s="2"/>
    </row>
    <row r="663" spans="5:8" x14ac:dyDescent="0.25">
      <c r="E663" s="2"/>
      <c r="H663" s="2"/>
    </row>
    <row r="664" spans="5:8" x14ac:dyDescent="0.25">
      <c r="E664" s="2"/>
      <c r="H664" s="2"/>
    </row>
    <row r="665" spans="5:8" x14ac:dyDescent="0.25">
      <c r="E665" s="2"/>
      <c r="H665" s="2"/>
    </row>
    <row r="666" spans="5:8" x14ac:dyDescent="0.25">
      <c r="E666" s="2"/>
      <c r="H666" s="2"/>
    </row>
    <row r="667" spans="5:8" x14ac:dyDescent="0.25">
      <c r="E667" s="2"/>
      <c r="H667" s="2"/>
    </row>
    <row r="668" spans="5:8" x14ac:dyDescent="0.25">
      <c r="E668" s="2"/>
      <c r="H668" s="2"/>
    </row>
    <row r="669" spans="5:8" x14ac:dyDescent="0.25">
      <c r="E669" s="2"/>
      <c r="H669" s="2"/>
    </row>
    <row r="670" spans="5:8" x14ac:dyDescent="0.25">
      <c r="E670" s="2"/>
      <c r="H670" s="2"/>
    </row>
    <row r="671" spans="5:8" x14ac:dyDescent="0.25">
      <c r="E671" s="2"/>
      <c r="H671" s="2"/>
    </row>
    <row r="672" spans="5:8" x14ac:dyDescent="0.25">
      <c r="E672" s="2"/>
      <c r="H672" s="2"/>
    </row>
    <row r="673" spans="5:8" x14ac:dyDescent="0.25">
      <c r="E673" s="2"/>
      <c r="H673" s="2"/>
    </row>
    <row r="674" spans="5:8" x14ac:dyDescent="0.25">
      <c r="E674" s="2"/>
      <c r="H674" s="2"/>
    </row>
    <row r="675" spans="5:8" x14ac:dyDescent="0.25">
      <c r="E675" s="2"/>
      <c r="H675" s="2"/>
    </row>
    <row r="676" spans="5:8" x14ac:dyDescent="0.25">
      <c r="E676" s="2"/>
      <c r="H676" s="2"/>
    </row>
    <row r="677" spans="5:8" x14ac:dyDescent="0.25">
      <c r="E677" s="2"/>
      <c r="H677" s="2"/>
    </row>
    <row r="678" spans="5:8" x14ac:dyDescent="0.25">
      <c r="E678" s="2"/>
      <c r="H678" s="2"/>
    </row>
    <row r="679" spans="5:8" x14ac:dyDescent="0.25">
      <c r="E679" s="2"/>
      <c r="H679" s="2"/>
    </row>
    <row r="680" spans="5:8" x14ac:dyDescent="0.25">
      <c r="E680" s="2"/>
      <c r="H680" s="2"/>
    </row>
    <row r="681" spans="5:8" x14ac:dyDescent="0.25">
      <c r="E681" s="2"/>
      <c r="H681" s="2"/>
    </row>
    <row r="682" spans="5:8" x14ac:dyDescent="0.25">
      <c r="E682" s="2"/>
      <c r="H682" s="2"/>
    </row>
    <row r="683" spans="5:8" x14ac:dyDescent="0.25">
      <c r="E683" s="2"/>
      <c r="H683" s="2"/>
    </row>
    <row r="684" spans="5:8" x14ac:dyDescent="0.25">
      <c r="E684" s="2"/>
      <c r="H684" s="2"/>
    </row>
    <row r="685" spans="5:8" x14ac:dyDescent="0.25">
      <c r="E685" s="2"/>
      <c r="H685" s="2"/>
    </row>
    <row r="686" spans="5:8" x14ac:dyDescent="0.25">
      <c r="E686" s="2"/>
      <c r="H686" s="2"/>
    </row>
    <row r="687" spans="5:8" x14ac:dyDescent="0.25">
      <c r="E687" s="2"/>
      <c r="H687" s="2"/>
    </row>
    <row r="688" spans="5:8" x14ac:dyDescent="0.25">
      <c r="E688" s="2"/>
      <c r="H688" s="2"/>
    </row>
    <row r="689" spans="5:8" x14ac:dyDescent="0.25">
      <c r="E689" s="2"/>
      <c r="H689" s="2"/>
    </row>
    <row r="690" spans="5:8" x14ac:dyDescent="0.25">
      <c r="E690" s="2"/>
      <c r="H690" s="2"/>
    </row>
    <row r="691" spans="5:8" x14ac:dyDescent="0.25">
      <c r="E691" s="2"/>
      <c r="H691" s="2"/>
    </row>
    <row r="692" spans="5:8" x14ac:dyDescent="0.25">
      <c r="E692" s="2"/>
      <c r="H692" s="2"/>
    </row>
    <row r="693" spans="5:8" x14ac:dyDescent="0.25">
      <c r="E693" s="2"/>
      <c r="H693" s="2"/>
    </row>
    <row r="694" spans="5:8" x14ac:dyDescent="0.25">
      <c r="E694" s="2"/>
      <c r="H694" s="2"/>
    </row>
    <row r="695" spans="5:8" x14ac:dyDescent="0.25">
      <c r="E695" s="2"/>
      <c r="H695" s="2"/>
    </row>
    <row r="696" spans="5:8" x14ac:dyDescent="0.25">
      <c r="E696" s="2"/>
      <c r="H696" s="2"/>
    </row>
    <row r="697" spans="5:8" x14ac:dyDescent="0.25">
      <c r="E697" s="2"/>
      <c r="H697" s="2"/>
    </row>
    <row r="698" spans="5:8" x14ac:dyDescent="0.25">
      <c r="E698" s="2"/>
      <c r="H698" s="2"/>
    </row>
    <row r="699" spans="5:8" x14ac:dyDescent="0.25">
      <c r="E699" s="2"/>
      <c r="H699" s="2"/>
    </row>
    <row r="700" spans="5:8" x14ac:dyDescent="0.25">
      <c r="E700" s="2"/>
      <c r="H700" s="2"/>
    </row>
    <row r="701" spans="5:8" x14ac:dyDescent="0.25">
      <c r="E701" s="2"/>
      <c r="H701" s="2"/>
    </row>
    <row r="702" spans="5:8" x14ac:dyDescent="0.25">
      <c r="E702" s="2"/>
      <c r="H702" s="2"/>
    </row>
    <row r="703" spans="5:8" x14ac:dyDescent="0.25">
      <c r="E703" s="2"/>
      <c r="H703" s="2"/>
    </row>
    <row r="704" spans="5:8" x14ac:dyDescent="0.25">
      <c r="E704" s="2"/>
      <c r="H704" s="2"/>
    </row>
    <row r="705" spans="5:8" x14ac:dyDescent="0.25">
      <c r="E705" s="2"/>
      <c r="H705" s="2"/>
    </row>
    <row r="706" spans="5:8" x14ac:dyDescent="0.25">
      <c r="E706" s="2"/>
      <c r="H706" s="2"/>
    </row>
    <row r="707" spans="5:8" x14ac:dyDescent="0.25">
      <c r="E707" s="2"/>
      <c r="H707" s="2"/>
    </row>
    <row r="708" spans="5:8" x14ac:dyDescent="0.25">
      <c r="E708" s="2"/>
      <c r="H708" s="2"/>
    </row>
    <row r="709" spans="5:8" x14ac:dyDescent="0.25">
      <c r="E709" s="2"/>
      <c r="H709" s="2"/>
    </row>
    <row r="710" spans="5:8" x14ac:dyDescent="0.25">
      <c r="E710" s="2"/>
      <c r="H710" s="2"/>
    </row>
    <row r="711" spans="5:8" x14ac:dyDescent="0.25">
      <c r="E711" s="2"/>
      <c r="H711" s="2"/>
    </row>
    <row r="712" spans="5:8" x14ac:dyDescent="0.25">
      <c r="E712" s="2"/>
      <c r="H712" s="2"/>
    </row>
    <row r="713" spans="5:8" x14ac:dyDescent="0.25">
      <c r="E713" s="2"/>
      <c r="H713" s="2"/>
    </row>
    <row r="714" spans="5:8" x14ac:dyDescent="0.25">
      <c r="E714" s="2"/>
      <c r="H714" s="2"/>
    </row>
    <row r="715" spans="5:8" x14ac:dyDescent="0.25">
      <c r="E715" s="2"/>
      <c r="H715" s="2"/>
    </row>
    <row r="716" spans="5:8" x14ac:dyDescent="0.25">
      <c r="E716" s="2"/>
      <c r="H716" s="2"/>
    </row>
    <row r="717" spans="5:8" x14ac:dyDescent="0.25">
      <c r="E717" s="2"/>
      <c r="H717" s="2"/>
    </row>
    <row r="718" spans="5:8" x14ac:dyDescent="0.25">
      <c r="E718" s="2"/>
      <c r="H718" s="2"/>
    </row>
    <row r="719" spans="5:8" x14ac:dyDescent="0.25">
      <c r="E719" s="2"/>
      <c r="H719" s="2"/>
    </row>
    <row r="720" spans="5:8" x14ac:dyDescent="0.25">
      <c r="E720" s="2"/>
      <c r="H720" s="2"/>
    </row>
    <row r="721" spans="5:8" x14ac:dyDescent="0.25">
      <c r="E721" s="2"/>
      <c r="H721" s="2"/>
    </row>
    <row r="722" spans="5:8" x14ac:dyDescent="0.25">
      <c r="E722" s="2"/>
      <c r="H722" s="2"/>
    </row>
    <row r="723" spans="5:8" x14ac:dyDescent="0.25">
      <c r="E723" s="2"/>
      <c r="H723" s="2"/>
    </row>
    <row r="724" spans="5:8" x14ac:dyDescent="0.25">
      <c r="E724" s="2"/>
      <c r="H724" s="2"/>
    </row>
    <row r="725" spans="5:8" x14ac:dyDescent="0.25">
      <c r="E725" s="2"/>
      <c r="H725" s="2"/>
    </row>
    <row r="726" spans="5:8" x14ac:dyDescent="0.25">
      <c r="E726" s="2"/>
      <c r="H726" s="2"/>
    </row>
    <row r="727" spans="5:8" x14ac:dyDescent="0.25">
      <c r="E727" s="2"/>
      <c r="H727" s="2"/>
    </row>
    <row r="728" spans="5:8" x14ac:dyDescent="0.25">
      <c r="E728" s="2"/>
      <c r="H728" s="2"/>
    </row>
    <row r="729" spans="5:8" x14ac:dyDescent="0.25">
      <c r="E729" s="2"/>
      <c r="H729" s="2"/>
    </row>
    <row r="730" spans="5:8" x14ac:dyDescent="0.25">
      <c r="E730" s="2"/>
      <c r="H730" s="2"/>
    </row>
    <row r="731" spans="5:8" x14ac:dyDescent="0.25">
      <c r="E731" s="2"/>
      <c r="H731" s="2"/>
    </row>
    <row r="732" spans="5:8" x14ac:dyDescent="0.25">
      <c r="E732" s="2"/>
      <c r="H732" s="2"/>
    </row>
    <row r="733" spans="5:8" x14ac:dyDescent="0.25">
      <c r="E733" s="2"/>
      <c r="H733" s="2"/>
    </row>
    <row r="734" spans="5:8" x14ac:dyDescent="0.25">
      <c r="E734" s="2"/>
      <c r="H734" s="2"/>
    </row>
    <row r="735" spans="5:8" x14ac:dyDescent="0.25">
      <c r="E735" s="2"/>
      <c r="H735" s="2"/>
    </row>
    <row r="736" spans="5:8" x14ac:dyDescent="0.25">
      <c r="E736" s="2"/>
      <c r="H736" s="2"/>
    </row>
    <row r="737" spans="5:8" x14ac:dyDescent="0.25">
      <c r="E737" s="2"/>
      <c r="H737" s="2"/>
    </row>
    <row r="738" spans="5:8" x14ac:dyDescent="0.25">
      <c r="E738" s="2"/>
      <c r="H738" s="2"/>
    </row>
    <row r="739" spans="5:8" x14ac:dyDescent="0.25">
      <c r="E739" s="2"/>
      <c r="H739" s="2"/>
    </row>
    <row r="740" spans="5:8" x14ac:dyDescent="0.25">
      <c r="E740" s="2"/>
      <c r="H740" s="2"/>
    </row>
    <row r="741" spans="5:8" x14ac:dyDescent="0.25">
      <c r="E741" s="2"/>
      <c r="H741" s="2"/>
    </row>
    <row r="742" spans="5:8" x14ac:dyDescent="0.25">
      <c r="E742" s="2"/>
      <c r="H742" s="2"/>
    </row>
    <row r="743" spans="5:8" x14ac:dyDescent="0.25">
      <c r="E743" s="2"/>
      <c r="H743" s="2"/>
    </row>
    <row r="744" spans="5:8" x14ac:dyDescent="0.25">
      <c r="E744" s="2"/>
      <c r="H744" s="2"/>
    </row>
    <row r="745" spans="5:8" x14ac:dyDescent="0.25">
      <c r="E745" s="2"/>
      <c r="H745" s="2"/>
    </row>
    <row r="746" spans="5:8" x14ac:dyDescent="0.25">
      <c r="E746" s="2"/>
      <c r="H746" s="2"/>
    </row>
    <row r="747" spans="5:8" x14ac:dyDescent="0.25">
      <c r="E747" s="2"/>
      <c r="H747" s="2"/>
    </row>
    <row r="748" spans="5:8" x14ac:dyDescent="0.25">
      <c r="E748" s="2"/>
      <c r="H748" s="2"/>
    </row>
    <row r="749" spans="5:8" x14ac:dyDescent="0.25">
      <c r="E749" s="2"/>
      <c r="H749" s="2"/>
    </row>
    <row r="750" spans="5:8" x14ac:dyDescent="0.25">
      <c r="E750" s="2"/>
      <c r="H750" s="2"/>
    </row>
    <row r="751" spans="5:8" x14ac:dyDescent="0.25">
      <c r="E751" s="2"/>
      <c r="H751" s="2"/>
    </row>
    <row r="752" spans="5:8" x14ac:dyDescent="0.25">
      <c r="E752" s="2"/>
      <c r="H752" s="2"/>
    </row>
    <row r="753" spans="5:8" x14ac:dyDescent="0.25">
      <c r="E753" s="2"/>
      <c r="H753" s="2"/>
    </row>
    <row r="754" spans="5:8" x14ac:dyDescent="0.25">
      <c r="E754" s="2"/>
      <c r="H754" s="2"/>
    </row>
    <row r="755" spans="5:8" x14ac:dyDescent="0.25">
      <c r="E755" s="2"/>
      <c r="H755" s="2"/>
    </row>
    <row r="756" spans="5:8" x14ac:dyDescent="0.25">
      <c r="E756" s="2"/>
      <c r="H756" s="2"/>
    </row>
    <row r="757" spans="5:8" x14ac:dyDescent="0.25">
      <c r="E757" s="2"/>
      <c r="H757" s="2"/>
    </row>
    <row r="758" spans="5:8" x14ac:dyDescent="0.25">
      <c r="E758" s="2"/>
      <c r="H758" s="2"/>
    </row>
    <row r="759" spans="5:8" x14ac:dyDescent="0.25">
      <c r="E759" s="2"/>
      <c r="H759" s="2"/>
    </row>
    <row r="760" spans="5:8" x14ac:dyDescent="0.25">
      <c r="E760" s="2"/>
      <c r="H760" s="2"/>
    </row>
    <row r="761" spans="5:8" x14ac:dyDescent="0.25">
      <c r="E761" s="2"/>
      <c r="H761" s="2"/>
    </row>
    <row r="762" spans="5:8" x14ac:dyDescent="0.25">
      <c r="E762" s="2"/>
      <c r="H762" s="2"/>
    </row>
    <row r="763" spans="5:8" x14ac:dyDescent="0.25">
      <c r="E763" s="2"/>
      <c r="H763" s="2"/>
    </row>
    <row r="764" spans="5:8" x14ac:dyDescent="0.25">
      <c r="E764" s="2"/>
      <c r="H764" s="2"/>
    </row>
    <row r="765" spans="5:8" x14ac:dyDescent="0.25">
      <c r="E765" s="2"/>
      <c r="H765" s="2"/>
    </row>
    <row r="766" spans="5:8" x14ac:dyDescent="0.25">
      <c r="E766" s="2"/>
      <c r="H766" s="2"/>
    </row>
    <row r="767" spans="5:8" x14ac:dyDescent="0.25">
      <c r="E767" s="2"/>
      <c r="H767" s="2"/>
    </row>
    <row r="768" spans="5:8" x14ac:dyDescent="0.25">
      <c r="E768" s="2"/>
      <c r="H768" s="2"/>
    </row>
    <row r="769" spans="5:8" x14ac:dyDescent="0.25">
      <c r="E769" s="2"/>
      <c r="H769" s="2"/>
    </row>
    <row r="770" spans="5:8" x14ac:dyDescent="0.25">
      <c r="E770" s="2"/>
      <c r="H770" s="2"/>
    </row>
    <row r="771" spans="5:8" x14ac:dyDescent="0.25">
      <c r="E771" s="2"/>
      <c r="H771" s="2"/>
    </row>
    <row r="772" spans="5:8" x14ac:dyDescent="0.25">
      <c r="E772" s="2"/>
      <c r="H772" s="2"/>
    </row>
    <row r="773" spans="5:8" x14ac:dyDescent="0.25">
      <c r="E773" s="2"/>
      <c r="H773" s="2"/>
    </row>
    <row r="774" spans="5:8" x14ac:dyDescent="0.25">
      <c r="E774" s="2"/>
      <c r="H774" s="2"/>
    </row>
    <row r="775" spans="5:8" x14ac:dyDescent="0.25">
      <c r="E775" s="2"/>
      <c r="H775" s="2"/>
    </row>
    <row r="776" spans="5:8" x14ac:dyDescent="0.25">
      <c r="E776" s="2"/>
      <c r="H776" s="2"/>
    </row>
    <row r="777" spans="5:8" x14ac:dyDescent="0.25">
      <c r="E777" s="2"/>
      <c r="H777" s="2"/>
    </row>
    <row r="778" spans="5:8" x14ac:dyDescent="0.25">
      <c r="E778" s="2"/>
      <c r="H778" s="2"/>
    </row>
    <row r="779" spans="5:8" x14ac:dyDescent="0.25">
      <c r="E779" s="2"/>
      <c r="H779" s="2"/>
    </row>
    <row r="780" spans="5:8" x14ac:dyDescent="0.25">
      <c r="E780" s="2"/>
      <c r="H780" s="2"/>
    </row>
    <row r="781" spans="5:8" x14ac:dyDescent="0.25">
      <c r="E781" s="2"/>
      <c r="H781" s="2"/>
    </row>
    <row r="782" spans="5:8" x14ac:dyDescent="0.25">
      <c r="E782" s="2"/>
      <c r="H782" s="2"/>
    </row>
    <row r="783" spans="5:8" x14ac:dyDescent="0.25">
      <c r="E783" s="2"/>
      <c r="H783" s="2"/>
    </row>
    <row r="784" spans="5:8" x14ac:dyDescent="0.25">
      <c r="E784" s="2"/>
      <c r="H784" s="2"/>
    </row>
    <row r="785" spans="5:8" x14ac:dyDescent="0.25">
      <c r="E785" s="2"/>
      <c r="H785" s="2"/>
    </row>
    <row r="786" spans="5:8" x14ac:dyDescent="0.25">
      <c r="E786" s="2"/>
      <c r="H786" s="2"/>
    </row>
    <row r="787" spans="5:8" x14ac:dyDescent="0.25">
      <c r="E787" s="2"/>
      <c r="H787" s="2"/>
    </row>
    <row r="788" spans="5:8" x14ac:dyDescent="0.25">
      <c r="E788" s="2"/>
      <c r="H788" s="2"/>
    </row>
    <row r="789" spans="5:8" x14ac:dyDescent="0.25">
      <c r="E789" s="2"/>
      <c r="H789" s="2"/>
    </row>
    <row r="790" spans="5:8" x14ac:dyDescent="0.25">
      <c r="E790" s="2"/>
      <c r="H790" s="2"/>
    </row>
    <row r="791" spans="5:8" x14ac:dyDescent="0.25">
      <c r="E791" s="2"/>
      <c r="H791" s="2"/>
    </row>
    <row r="792" spans="5:8" x14ac:dyDescent="0.25">
      <c r="E792" s="2"/>
      <c r="H792" s="2"/>
    </row>
    <row r="793" spans="5:8" x14ac:dyDescent="0.25">
      <c r="E793" s="2"/>
      <c r="H793" s="2"/>
    </row>
    <row r="794" spans="5:8" x14ac:dyDescent="0.25">
      <c r="E794" s="2"/>
      <c r="H794" s="2"/>
    </row>
    <row r="795" spans="5:8" x14ac:dyDescent="0.25">
      <c r="E795" s="2"/>
      <c r="H795" s="2"/>
    </row>
    <row r="796" spans="5:8" x14ac:dyDescent="0.25">
      <c r="E796" s="2"/>
      <c r="H796" s="2"/>
    </row>
    <row r="797" spans="5:8" x14ac:dyDescent="0.25">
      <c r="E797" s="2"/>
      <c r="H797" s="2"/>
    </row>
    <row r="798" spans="5:8" x14ac:dyDescent="0.25">
      <c r="E798" s="2"/>
      <c r="H798" s="2"/>
    </row>
    <row r="799" spans="5:8" x14ac:dyDescent="0.25">
      <c r="E799" s="2"/>
      <c r="H799" s="2"/>
    </row>
    <row r="800" spans="5:8" x14ac:dyDescent="0.25">
      <c r="E800" s="2"/>
      <c r="H800" s="2"/>
    </row>
    <row r="801" spans="5:8" x14ac:dyDescent="0.25">
      <c r="E801" s="2"/>
      <c r="H801" s="2"/>
    </row>
    <row r="802" spans="5:8" x14ac:dyDescent="0.25">
      <c r="E802" s="2"/>
      <c r="H802" s="2"/>
    </row>
    <row r="803" spans="5:8" x14ac:dyDescent="0.25">
      <c r="E803" s="2"/>
      <c r="H803" s="2"/>
    </row>
    <row r="804" spans="5:8" x14ac:dyDescent="0.25">
      <c r="E804" s="2"/>
      <c r="H804" s="2"/>
    </row>
    <row r="805" spans="5:8" x14ac:dyDescent="0.25">
      <c r="E805" s="2"/>
      <c r="H805" s="2"/>
    </row>
    <row r="806" spans="5:8" x14ac:dyDescent="0.25">
      <c r="E806" s="2"/>
      <c r="H806" s="2"/>
    </row>
    <row r="807" spans="5:8" x14ac:dyDescent="0.25">
      <c r="E807" s="2"/>
      <c r="H807" s="2"/>
    </row>
    <row r="808" spans="5:8" x14ac:dyDescent="0.25">
      <c r="E808" s="2"/>
      <c r="H808" s="2"/>
    </row>
    <row r="809" spans="5:8" x14ac:dyDescent="0.25">
      <c r="E809" s="2"/>
      <c r="H809" s="2"/>
    </row>
    <row r="810" spans="5:8" x14ac:dyDescent="0.25">
      <c r="E810" s="2"/>
      <c r="H810" s="2"/>
    </row>
    <row r="811" spans="5:8" x14ac:dyDescent="0.25">
      <c r="E811" s="2"/>
      <c r="H811" s="2"/>
    </row>
    <row r="812" spans="5:8" x14ac:dyDescent="0.25">
      <c r="E812" s="2"/>
      <c r="H812" s="2"/>
    </row>
    <row r="813" spans="5:8" x14ac:dyDescent="0.25">
      <c r="E813" s="2"/>
      <c r="H813" s="2"/>
    </row>
    <row r="814" spans="5:8" x14ac:dyDescent="0.25">
      <c r="E814" s="2"/>
      <c r="H814" s="2"/>
    </row>
    <row r="815" spans="5:8" x14ac:dyDescent="0.25">
      <c r="E815" s="2"/>
      <c r="H815" s="2"/>
    </row>
    <row r="816" spans="5:8" x14ac:dyDescent="0.25">
      <c r="E816" s="2"/>
      <c r="H816" s="2"/>
    </row>
    <row r="817" spans="5:8" x14ac:dyDescent="0.25">
      <c r="E817" s="2"/>
      <c r="H817" s="2"/>
    </row>
    <row r="818" spans="5:8" x14ac:dyDescent="0.25">
      <c r="E818" s="2"/>
      <c r="H818" s="2"/>
    </row>
    <row r="819" spans="5:8" x14ac:dyDescent="0.25">
      <c r="E819" s="2"/>
      <c r="H819" s="2"/>
    </row>
    <row r="820" spans="5:8" x14ac:dyDescent="0.25">
      <c r="E820" s="2"/>
      <c r="H820" s="2"/>
    </row>
    <row r="821" spans="5:8" x14ac:dyDescent="0.25">
      <c r="E821" s="2"/>
      <c r="H821" s="2"/>
    </row>
    <row r="822" spans="5:8" x14ac:dyDescent="0.25">
      <c r="E822" s="2"/>
      <c r="H822" s="2"/>
    </row>
    <row r="823" spans="5:8" x14ac:dyDescent="0.25">
      <c r="E823" s="2"/>
      <c r="H823" s="2"/>
    </row>
    <row r="824" spans="5:8" x14ac:dyDescent="0.25">
      <c r="E824" s="2"/>
      <c r="H824" s="2"/>
    </row>
    <row r="825" spans="5:8" x14ac:dyDescent="0.25">
      <c r="E825" s="2"/>
      <c r="H825" s="2"/>
    </row>
    <row r="826" spans="5:8" x14ac:dyDescent="0.25">
      <c r="E826" s="2"/>
      <c r="H826" s="2"/>
    </row>
    <row r="827" spans="5:8" x14ac:dyDescent="0.25">
      <c r="E827" s="2"/>
      <c r="H827" s="2"/>
    </row>
    <row r="828" spans="5:8" x14ac:dyDescent="0.25">
      <c r="E828" s="2"/>
      <c r="H828" s="2"/>
    </row>
    <row r="829" spans="5:8" x14ac:dyDescent="0.25">
      <c r="E829" s="2"/>
      <c r="H829" s="2"/>
    </row>
    <row r="830" spans="5:8" x14ac:dyDescent="0.25">
      <c r="E830" s="2"/>
      <c r="H830" s="2"/>
    </row>
    <row r="831" spans="5:8" x14ac:dyDescent="0.25">
      <c r="E831" s="2"/>
      <c r="H831" s="2"/>
    </row>
    <row r="832" spans="5:8" x14ac:dyDescent="0.25">
      <c r="E832" s="2"/>
      <c r="H832" s="2"/>
    </row>
    <row r="833" spans="5:8" x14ac:dyDescent="0.25">
      <c r="E833" s="2"/>
      <c r="H833" s="2"/>
    </row>
    <row r="834" spans="5:8" x14ac:dyDescent="0.25">
      <c r="E834" s="2"/>
      <c r="H834" s="2"/>
    </row>
    <row r="835" spans="5:8" x14ac:dyDescent="0.25">
      <c r="E835" s="2"/>
      <c r="H835" s="2"/>
    </row>
    <row r="836" spans="5:8" x14ac:dyDescent="0.25">
      <c r="E836" s="2"/>
      <c r="H836" s="2"/>
    </row>
    <row r="837" spans="5:8" x14ac:dyDescent="0.25">
      <c r="E837" s="2"/>
      <c r="H837" s="2"/>
    </row>
    <row r="838" spans="5:8" x14ac:dyDescent="0.25">
      <c r="E838" s="2"/>
      <c r="H838" s="2"/>
    </row>
    <row r="839" spans="5:8" x14ac:dyDescent="0.25">
      <c r="E839" s="2"/>
      <c r="H839" s="2"/>
    </row>
    <row r="840" spans="5:8" x14ac:dyDescent="0.25">
      <c r="E840" s="2"/>
      <c r="H840" s="2"/>
    </row>
    <row r="841" spans="5:8" x14ac:dyDescent="0.25">
      <c r="E841" s="2"/>
      <c r="H841" s="2"/>
    </row>
    <row r="842" spans="5:8" x14ac:dyDescent="0.25">
      <c r="E842" s="2"/>
      <c r="H842" s="2"/>
    </row>
    <row r="843" spans="5:8" x14ac:dyDescent="0.25">
      <c r="E843" s="2"/>
      <c r="H843" s="2"/>
    </row>
    <row r="844" spans="5:8" x14ac:dyDescent="0.25">
      <c r="E844" s="2"/>
      <c r="H844" s="2"/>
    </row>
    <row r="845" spans="5:8" x14ac:dyDescent="0.25">
      <c r="E845" s="2"/>
      <c r="H845" s="2"/>
    </row>
    <row r="846" spans="5:8" x14ac:dyDescent="0.25">
      <c r="E846" s="2"/>
      <c r="H846" s="2"/>
    </row>
    <row r="847" spans="5:8" x14ac:dyDescent="0.25">
      <c r="E847" s="2"/>
      <c r="H847" s="2"/>
    </row>
    <row r="848" spans="5:8" x14ac:dyDescent="0.25">
      <c r="E848" s="2"/>
      <c r="H848" s="2"/>
    </row>
    <row r="849" spans="5:8" x14ac:dyDescent="0.25">
      <c r="E849" s="2"/>
      <c r="H849" s="2"/>
    </row>
    <row r="850" spans="5:8" x14ac:dyDescent="0.25">
      <c r="E850" s="2"/>
      <c r="H850" s="2"/>
    </row>
    <row r="851" spans="5:8" x14ac:dyDescent="0.25">
      <c r="E851" s="2"/>
      <c r="H851" s="2"/>
    </row>
    <row r="852" spans="5:8" x14ac:dyDescent="0.25">
      <c r="E852" s="2"/>
      <c r="H852" s="2"/>
    </row>
    <row r="853" spans="5:8" x14ac:dyDescent="0.25">
      <c r="E853" s="2"/>
      <c r="H853" s="2"/>
    </row>
    <row r="854" spans="5:8" x14ac:dyDescent="0.25">
      <c r="E854" s="2"/>
      <c r="H854" s="2"/>
    </row>
    <row r="855" spans="5:8" x14ac:dyDescent="0.25">
      <c r="E855" s="2"/>
      <c r="H855" s="2"/>
    </row>
    <row r="856" spans="5:8" x14ac:dyDescent="0.25">
      <c r="E856" s="2"/>
      <c r="H856" s="2"/>
    </row>
    <row r="857" spans="5:8" x14ac:dyDescent="0.25">
      <c r="E857" s="2"/>
      <c r="H857" s="2"/>
    </row>
    <row r="858" spans="5:8" x14ac:dyDescent="0.25">
      <c r="E858" s="2"/>
      <c r="H858" s="2"/>
    </row>
    <row r="859" spans="5:8" x14ac:dyDescent="0.25">
      <c r="E859" s="2"/>
      <c r="H859" s="2"/>
    </row>
    <row r="860" spans="5:8" x14ac:dyDescent="0.25">
      <c r="E860" s="2"/>
      <c r="H860" s="2"/>
    </row>
    <row r="861" spans="5:8" x14ac:dyDescent="0.25">
      <c r="E861" s="2"/>
      <c r="H861" s="2"/>
    </row>
    <row r="862" spans="5:8" x14ac:dyDescent="0.25">
      <c r="E862" s="2"/>
      <c r="H862" s="2"/>
    </row>
    <row r="863" spans="5:8" x14ac:dyDescent="0.25">
      <c r="E863" s="2"/>
      <c r="H863" s="2"/>
    </row>
    <row r="864" spans="5:8" x14ac:dyDescent="0.25">
      <c r="E864" s="2"/>
      <c r="H864" s="2"/>
    </row>
    <row r="865" spans="5:8" x14ac:dyDescent="0.25">
      <c r="E865" s="2"/>
      <c r="H865" s="2"/>
    </row>
    <row r="866" spans="5:8" x14ac:dyDescent="0.25">
      <c r="E866" s="2"/>
      <c r="H866" s="2"/>
    </row>
    <row r="867" spans="5:8" x14ac:dyDescent="0.25">
      <c r="E867" s="2"/>
      <c r="H867" s="2"/>
    </row>
    <row r="868" spans="5:8" x14ac:dyDescent="0.25">
      <c r="E868" s="2"/>
      <c r="H868" s="2"/>
    </row>
    <row r="869" spans="5:8" x14ac:dyDescent="0.25">
      <c r="E869" s="2"/>
      <c r="H869" s="2"/>
    </row>
    <row r="870" spans="5:8" x14ac:dyDescent="0.25">
      <c r="E870" s="2"/>
      <c r="H870" s="2"/>
    </row>
    <row r="871" spans="5:8" x14ac:dyDescent="0.25">
      <c r="E871" s="2"/>
      <c r="H871" s="2"/>
    </row>
    <row r="872" spans="5:8" x14ac:dyDescent="0.25">
      <c r="E872" s="2"/>
      <c r="H872" s="2"/>
    </row>
    <row r="873" spans="5:8" x14ac:dyDescent="0.25">
      <c r="E873" s="2"/>
      <c r="H873" s="2"/>
    </row>
    <row r="874" spans="5:8" x14ac:dyDescent="0.25">
      <c r="E874" s="2"/>
      <c r="H874" s="2"/>
    </row>
    <row r="875" spans="5:8" x14ac:dyDescent="0.25">
      <c r="E875" s="2"/>
      <c r="H875" s="2"/>
    </row>
    <row r="876" spans="5:8" x14ac:dyDescent="0.25">
      <c r="E876" s="2"/>
      <c r="H876" s="2"/>
    </row>
    <row r="877" spans="5:8" x14ac:dyDescent="0.25">
      <c r="E877" s="2"/>
      <c r="H877" s="2"/>
    </row>
    <row r="878" spans="5:8" x14ac:dyDescent="0.25">
      <c r="E878" s="2"/>
      <c r="H878" s="2"/>
    </row>
    <row r="879" spans="5:8" x14ac:dyDescent="0.25">
      <c r="E879" s="2"/>
      <c r="H879" s="2"/>
    </row>
    <row r="880" spans="5:8" x14ac:dyDescent="0.25">
      <c r="E880" s="2"/>
      <c r="H880" s="2"/>
    </row>
    <row r="881" spans="5:8" x14ac:dyDescent="0.25">
      <c r="E881" s="2"/>
      <c r="H881" s="2"/>
    </row>
    <row r="882" spans="5:8" x14ac:dyDescent="0.25">
      <c r="E882" s="2"/>
      <c r="H882" s="2"/>
    </row>
    <row r="883" spans="5:8" x14ac:dyDescent="0.25">
      <c r="E883" s="2"/>
      <c r="H883" s="2"/>
    </row>
    <row r="884" spans="5:8" x14ac:dyDescent="0.25">
      <c r="E884" s="2"/>
      <c r="H884" s="2"/>
    </row>
    <row r="885" spans="5:8" x14ac:dyDescent="0.25">
      <c r="E885" s="2"/>
      <c r="H885" s="2"/>
    </row>
    <row r="886" spans="5:8" x14ac:dyDescent="0.25">
      <c r="E886" s="2"/>
      <c r="H886" s="2"/>
    </row>
    <row r="887" spans="5:8" x14ac:dyDescent="0.25">
      <c r="E887" s="2"/>
      <c r="H887" s="2"/>
    </row>
    <row r="888" spans="5:8" x14ac:dyDescent="0.25">
      <c r="E888" s="2"/>
      <c r="H888" s="2"/>
    </row>
    <row r="889" spans="5:8" x14ac:dyDescent="0.25">
      <c r="E889" s="2"/>
      <c r="H889" s="2"/>
    </row>
    <row r="890" spans="5:8" x14ac:dyDescent="0.25">
      <c r="E890" s="2"/>
      <c r="H890" s="2"/>
    </row>
    <row r="891" spans="5:8" x14ac:dyDescent="0.25">
      <c r="E891" s="2"/>
      <c r="H891" s="2"/>
    </row>
    <row r="892" spans="5:8" x14ac:dyDescent="0.25">
      <c r="E892" s="2"/>
      <c r="H892" s="2"/>
    </row>
    <row r="893" spans="5:8" x14ac:dyDescent="0.25">
      <c r="E893" s="2"/>
      <c r="H893" s="2"/>
    </row>
    <row r="894" spans="5:8" x14ac:dyDescent="0.25">
      <c r="E894" s="2"/>
      <c r="H894" s="2"/>
    </row>
    <row r="895" spans="5:8" x14ac:dyDescent="0.25">
      <c r="E895" s="2"/>
      <c r="H895" s="2"/>
    </row>
    <row r="896" spans="5:8" x14ac:dyDescent="0.25">
      <c r="E896" s="2"/>
      <c r="H896" s="2"/>
    </row>
    <row r="897" spans="5:8" x14ac:dyDescent="0.25">
      <c r="E897" s="2"/>
      <c r="H897" s="2"/>
    </row>
    <row r="898" spans="5:8" x14ac:dyDescent="0.25">
      <c r="E898" s="2"/>
      <c r="H898" s="2"/>
    </row>
    <row r="899" spans="5:8" x14ac:dyDescent="0.25">
      <c r="E899" s="2"/>
      <c r="H899" s="2"/>
    </row>
    <row r="900" spans="5:8" x14ac:dyDescent="0.25">
      <c r="E900" s="2"/>
      <c r="H900" s="2"/>
    </row>
    <row r="901" spans="5:8" x14ac:dyDescent="0.25">
      <c r="E901" s="2"/>
      <c r="H901" s="2"/>
    </row>
    <row r="902" spans="5:8" x14ac:dyDescent="0.25">
      <c r="E902" s="2"/>
      <c r="H902" s="2"/>
    </row>
    <row r="903" spans="5:8" x14ac:dyDescent="0.25">
      <c r="E903" s="2"/>
      <c r="H903" s="2"/>
    </row>
    <row r="904" spans="5:8" x14ac:dyDescent="0.25">
      <c r="E904" s="2"/>
      <c r="H904" s="2"/>
    </row>
    <row r="905" spans="5:8" x14ac:dyDescent="0.25">
      <c r="E905" s="2"/>
      <c r="H905" s="2"/>
    </row>
    <row r="906" spans="5:8" x14ac:dyDescent="0.25">
      <c r="E906" s="2"/>
      <c r="H906" s="2"/>
    </row>
    <row r="907" spans="5:8" x14ac:dyDescent="0.25">
      <c r="E907" s="2"/>
      <c r="H907" s="2"/>
    </row>
    <row r="908" spans="5:8" x14ac:dyDescent="0.25">
      <c r="E908" s="2"/>
      <c r="H908" s="2"/>
    </row>
    <row r="909" spans="5:8" x14ac:dyDescent="0.25">
      <c r="E909" s="2"/>
      <c r="H909" s="2"/>
    </row>
    <row r="910" spans="5:8" x14ac:dyDescent="0.25">
      <c r="E910" s="2"/>
      <c r="H910" s="2"/>
    </row>
    <row r="911" spans="5:8" x14ac:dyDescent="0.25">
      <c r="E911" s="2"/>
      <c r="H911" s="2"/>
    </row>
    <row r="912" spans="5:8" x14ac:dyDescent="0.25">
      <c r="E912" s="2"/>
      <c r="H912" s="2"/>
    </row>
    <row r="913" spans="5:8" x14ac:dyDescent="0.25">
      <c r="E913" s="2"/>
      <c r="H913" s="2"/>
    </row>
    <row r="914" spans="5:8" x14ac:dyDescent="0.25">
      <c r="E914" s="2"/>
      <c r="H914" s="2"/>
    </row>
    <row r="915" spans="5:8" x14ac:dyDescent="0.25">
      <c r="E915" s="2"/>
      <c r="H915" s="2"/>
    </row>
    <row r="916" spans="5:8" x14ac:dyDescent="0.25">
      <c r="E916" s="2"/>
      <c r="H916" s="2"/>
    </row>
    <row r="917" spans="5:8" x14ac:dyDescent="0.25">
      <c r="E917" s="2"/>
      <c r="H917" s="2"/>
    </row>
    <row r="918" spans="5:8" x14ac:dyDescent="0.25">
      <c r="E918" s="2"/>
      <c r="H918" s="2"/>
    </row>
    <row r="919" spans="5:8" x14ac:dyDescent="0.25">
      <c r="E919" s="2"/>
      <c r="H919" s="2"/>
    </row>
    <row r="920" spans="5:8" x14ac:dyDescent="0.25">
      <c r="E920" s="2"/>
      <c r="H920" s="2"/>
    </row>
    <row r="921" spans="5:8" x14ac:dyDescent="0.25">
      <c r="E921" s="2"/>
      <c r="H921" s="2"/>
    </row>
    <row r="922" spans="5:8" x14ac:dyDescent="0.25">
      <c r="E922" s="2"/>
      <c r="H922" s="2"/>
    </row>
    <row r="923" spans="5:8" x14ac:dyDescent="0.25">
      <c r="E923" s="2"/>
      <c r="H923" s="2"/>
    </row>
    <row r="924" spans="5:8" x14ac:dyDescent="0.25">
      <c r="E924" s="2"/>
      <c r="H924" s="2"/>
    </row>
    <row r="925" spans="5:8" x14ac:dyDescent="0.25">
      <c r="E925" s="2"/>
      <c r="H925" s="2"/>
    </row>
    <row r="926" spans="5:8" x14ac:dyDescent="0.25">
      <c r="E926" s="2"/>
      <c r="H926" s="2"/>
    </row>
    <row r="927" spans="5:8" x14ac:dyDescent="0.25">
      <c r="E927" s="2"/>
      <c r="H927" s="2"/>
    </row>
    <row r="928" spans="5:8" x14ac:dyDescent="0.25">
      <c r="E928" s="2"/>
      <c r="H928" s="2"/>
    </row>
    <row r="929" spans="5:8" x14ac:dyDescent="0.25">
      <c r="E929" s="2"/>
      <c r="H929" s="2"/>
    </row>
    <row r="930" spans="5:8" x14ac:dyDescent="0.25">
      <c r="E930" s="2"/>
      <c r="H930" s="2"/>
    </row>
    <row r="931" spans="5:8" x14ac:dyDescent="0.25">
      <c r="E931" s="2"/>
      <c r="H931" s="2"/>
    </row>
    <row r="932" spans="5:8" x14ac:dyDescent="0.25">
      <c r="E932" s="2"/>
      <c r="H932" s="2"/>
    </row>
    <row r="933" spans="5:8" x14ac:dyDescent="0.25">
      <c r="E933" s="2"/>
      <c r="H933" s="2"/>
    </row>
    <row r="934" spans="5:8" x14ac:dyDescent="0.25">
      <c r="E934" s="2"/>
      <c r="H934" s="2"/>
    </row>
    <row r="935" spans="5:8" x14ac:dyDescent="0.25">
      <c r="E935" s="2"/>
      <c r="H935" s="2"/>
    </row>
    <row r="936" spans="5:8" x14ac:dyDescent="0.25">
      <c r="E936" s="2"/>
      <c r="H936" s="2"/>
    </row>
    <row r="937" spans="5:8" x14ac:dyDescent="0.25">
      <c r="E937" s="2"/>
      <c r="H937" s="2"/>
    </row>
    <row r="938" spans="5:8" x14ac:dyDescent="0.25">
      <c r="E938" s="2"/>
      <c r="H938" s="2"/>
    </row>
    <row r="939" spans="5:8" x14ac:dyDescent="0.25">
      <c r="E939" s="2"/>
      <c r="H939" s="2"/>
    </row>
    <row r="940" spans="5:8" x14ac:dyDescent="0.25">
      <c r="E940" s="2"/>
      <c r="H940" s="2"/>
    </row>
    <row r="941" spans="5:8" x14ac:dyDescent="0.25">
      <c r="E941" s="2"/>
      <c r="H941" s="2"/>
    </row>
    <row r="942" spans="5:8" x14ac:dyDescent="0.25">
      <c r="E942" s="2"/>
      <c r="H942" s="2"/>
    </row>
    <row r="943" spans="5:8" x14ac:dyDescent="0.25">
      <c r="E943" s="2"/>
      <c r="H943" s="2"/>
    </row>
    <row r="944" spans="5:8" x14ac:dyDescent="0.25">
      <c r="E944" s="2"/>
      <c r="H944" s="2"/>
    </row>
    <row r="945" spans="5:8" x14ac:dyDescent="0.25">
      <c r="E945" s="2"/>
      <c r="H945" s="2"/>
    </row>
    <row r="946" spans="5:8" x14ac:dyDescent="0.25">
      <c r="E946" s="2"/>
      <c r="H946" s="2"/>
    </row>
    <row r="947" spans="5:8" x14ac:dyDescent="0.25">
      <c r="E947" s="2"/>
      <c r="H947" s="2"/>
    </row>
    <row r="948" spans="5:8" x14ac:dyDescent="0.25">
      <c r="E948" s="2"/>
      <c r="H948" s="2"/>
    </row>
    <row r="949" spans="5:8" x14ac:dyDescent="0.25">
      <c r="E949" s="2"/>
      <c r="H949" s="2"/>
    </row>
    <row r="950" spans="5:8" x14ac:dyDescent="0.25">
      <c r="E950" s="2"/>
      <c r="H950" s="2"/>
    </row>
    <row r="951" spans="5:8" x14ac:dyDescent="0.25">
      <c r="E951" s="2"/>
      <c r="H951" s="2"/>
    </row>
    <row r="952" spans="5:8" x14ac:dyDescent="0.25">
      <c r="E952" s="2"/>
      <c r="H952" s="2"/>
    </row>
    <row r="953" spans="5:8" x14ac:dyDescent="0.25">
      <c r="E953" s="2"/>
      <c r="H953" s="2"/>
    </row>
    <row r="954" spans="5:8" x14ac:dyDescent="0.25">
      <c r="E954" s="2"/>
      <c r="H954" s="2"/>
    </row>
    <row r="955" spans="5:8" x14ac:dyDescent="0.25">
      <c r="E955" s="2"/>
      <c r="H955" s="2"/>
    </row>
    <row r="956" spans="5:8" x14ac:dyDescent="0.25">
      <c r="E956" s="2"/>
      <c r="H956" s="2"/>
    </row>
    <row r="957" spans="5:8" x14ac:dyDescent="0.25">
      <c r="E957" s="2"/>
      <c r="H957" s="2"/>
    </row>
    <row r="958" spans="5:8" x14ac:dyDescent="0.25">
      <c r="E958" s="2"/>
      <c r="H958" s="2"/>
    </row>
    <row r="959" spans="5:8" x14ac:dyDescent="0.25">
      <c r="E959" s="2"/>
      <c r="H959" s="2"/>
    </row>
    <row r="960" spans="5:8" x14ac:dyDescent="0.25">
      <c r="E960" s="2"/>
      <c r="H960" s="2"/>
    </row>
    <row r="961" spans="5:8" x14ac:dyDescent="0.25">
      <c r="E961" s="2"/>
      <c r="H961" s="2"/>
    </row>
    <row r="962" spans="5:8" x14ac:dyDescent="0.25">
      <c r="E962" s="2"/>
      <c r="H962" s="2"/>
    </row>
    <row r="963" spans="5:8" x14ac:dyDescent="0.25">
      <c r="E963" s="2"/>
      <c r="H963" s="2"/>
    </row>
    <row r="964" spans="5:8" x14ac:dyDescent="0.25">
      <c r="E964" s="2"/>
      <c r="H964" s="2"/>
    </row>
    <row r="965" spans="5:8" x14ac:dyDescent="0.25">
      <c r="E965" s="2"/>
      <c r="H965" s="2"/>
    </row>
    <row r="966" spans="5:8" x14ac:dyDescent="0.25">
      <c r="E966" s="2"/>
      <c r="H966" s="2"/>
    </row>
    <row r="967" spans="5:8" x14ac:dyDescent="0.25">
      <c r="E967" s="2"/>
      <c r="H967" s="2"/>
    </row>
    <row r="968" spans="5:8" x14ac:dyDescent="0.25">
      <c r="E968" s="2"/>
      <c r="H968" s="2"/>
    </row>
    <row r="969" spans="5:8" x14ac:dyDescent="0.25">
      <c r="E969" s="2"/>
      <c r="H969" s="2"/>
    </row>
    <row r="970" spans="5:8" x14ac:dyDescent="0.25">
      <c r="E970" s="2"/>
      <c r="H970" s="2"/>
    </row>
    <row r="971" spans="5:8" x14ac:dyDescent="0.25">
      <c r="E971" s="2"/>
      <c r="H971" s="2"/>
    </row>
    <row r="972" spans="5:8" x14ac:dyDescent="0.25">
      <c r="E972" s="2"/>
      <c r="H972" s="2"/>
    </row>
    <row r="973" spans="5:8" x14ac:dyDescent="0.25">
      <c r="E973" s="2"/>
      <c r="H973" s="2"/>
    </row>
    <row r="974" spans="5:8" x14ac:dyDescent="0.25">
      <c r="E974" s="2"/>
      <c r="H974" s="2"/>
    </row>
    <row r="975" spans="5:8" x14ac:dyDescent="0.25">
      <c r="E975" s="2"/>
      <c r="H975" s="2"/>
    </row>
    <row r="976" spans="5:8" x14ac:dyDescent="0.25">
      <c r="E976" s="2"/>
      <c r="H976" s="2"/>
    </row>
    <row r="977" spans="5:8" x14ac:dyDescent="0.25">
      <c r="E977" s="2"/>
      <c r="H977" s="2"/>
    </row>
    <row r="978" spans="5:8" x14ac:dyDescent="0.25">
      <c r="E978" s="2"/>
      <c r="H978" s="2"/>
    </row>
    <row r="979" spans="5:8" x14ac:dyDescent="0.25">
      <c r="E979" s="2"/>
      <c r="H979" s="2"/>
    </row>
    <row r="980" spans="5:8" x14ac:dyDescent="0.25">
      <c r="E980" s="2"/>
      <c r="H980" s="2"/>
    </row>
    <row r="981" spans="5:8" x14ac:dyDescent="0.25">
      <c r="E981" s="2"/>
      <c r="H981" s="2"/>
    </row>
    <row r="982" spans="5:8" x14ac:dyDescent="0.25">
      <c r="E982" s="2"/>
      <c r="H982" s="2"/>
    </row>
    <row r="983" spans="5:8" x14ac:dyDescent="0.25">
      <c r="E983" s="2"/>
      <c r="H983" s="2"/>
    </row>
    <row r="984" spans="5:8" x14ac:dyDescent="0.25">
      <c r="E984" s="2"/>
      <c r="H984" s="2"/>
    </row>
    <row r="985" spans="5:8" x14ac:dyDescent="0.25">
      <c r="E985" s="2"/>
      <c r="H985" s="2"/>
    </row>
    <row r="986" spans="5:8" x14ac:dyDescent="0.25">
      <c r="E986" s="2"/>
      <c r="H986" s="2"/>
    </row>
    <row r="987" spans="5:8" x14ac:dyDescent="0.25">
      <c r="E987" s="2"/>
      <c r="H987" s="2"/>
    </row>
    <row r="988" spans="5:8" x14ac:dyDescent="0.25">
      <c r="E988" s="2"/>
      <c r="H988" s="2"/>
    </row>
    <row r="989" spans="5:8" x14ac:dyDescent="0.25">
      <c r="E989" s="2"/>
      <c r="H989" s="2"/>
    </row>
    <row r="990" spans="5:8" x14ac:dyDescent="0.25">
      <c r="E990" s="2"/>
      <c r="H990" s="2"/>
    </row>
    <row r="991" spans="5:8" x14ac:dyDescent="0.25">
      <c r="E991" s="2"/>
      <c r="H991" s="2"/>
    </row>
    <row r="992" spans="5:8" x14ac:dyDescent="0.25">
      <c r="E992" s="2"/>
      <c r="H992" s="2"/>
    </row>
    <row r="993" spans="5:8" x14ac:dyDescent="0.25">
      <c r="E993" s="2"/>
      <c r="H993" s="2"/>
    </row>
    <row r="994" spans="5:8" x14ac:dyDescent="0.25">
      <c r="E994" s="2"/>
      <c r="H994" s="2"/>
    </row>
    <row r="995" spans="5:8" x14ac:dyDescent="0.25">
      <c r="E995" s="2"/>
      <c r="H995" s="2"/>
    </row>
    <row r="996" spans="5:8" x14ac:dyDescent="0.25">
      <c r="E996" s="2"/>
      <c r="H996" s="2"/>
    </row>
    <row r="997" spans="5:8" x14ac:dyDescent="0.25">
      <c r="E997" s="2"/>
      <c r="H997" s="2"/>
    </row>
    <row r="998" spans="5:8" x14ac:dyDescent="0.25">
      <c r="E998" s="2"/>
      <c r="H998" s="2"/>
    </row>
    <row r="999" spans="5:8" x14ac:dyDescent="0.25">
      <c r="E999" s="2"/>
      <c r="H999" s="2"/>
    </row>
    <row r="1000" spans="5:8" x14ac:dyDescent="0.25">
      <c r="E1000" s="2"/>
      <c r="H1000" s="2"/>
    </row>
    <row r="1001" spans="5:8" x14ac:dyDescent="0.25">
      <c r="E1001" s="2"/>
      <c r="H1001" s="2"/>
    </row>
    <row r="1002" spans="5:8" x14ac:dyDescent="0.25">
      <c r="E1002" s="2"/>
      <c r="H1002" s="2"/>
    </row>
    <row r="1003" spans="5:8" x14ac:dyDescent="0.25">
      <c r="E1003" s="2"/>
      <c r="H1003" s="2"/>
    </row>
    <row r="1004" spans="5:8" x14ac:dyDescent="0.25">
      <c r="E1004" s="2"/>
      <c r="H1004" s="2"/>
    </row>
    <row r="1005" spans="5:8" x14ac:dyDescent="0.25">
      <c r="E1005" s="2"/>
      <c r="H1005" s="2"/>
    </row>
    <row r="1006" spans="5:8" x14ac:dyDescent="0.25">
      <c r="E1006" s="2"/>
      <c r="H1006" s="2"/>
    </row>
    <row r="1007" spans="5:8" x14ac:dyDescent="0.25">
      <c r="E1007" s="2"/>
      <c r="H1007" s="2"/>
    </row>
    <row r="1008" spans="5:8" x14ac:dyDescent="0.25">
      <c r="E1008" s="2"/>
      <c r="H1008" s="2"/>
    </row>
    <row r="1009" spans="5:8" x14ac:dyDescent="0.25">
      <c r="E1009" s="2"/>
      <c r="H1009" s="2"/>
    </row>
    <row r="1010" spans="5:8" x14ac:dyDescent="0.25">
      <c r="E1010" s="2"/>
      <c r="H1010" s="2"/>
    </row>
    <row r="1011" spans="5:8" x14ac:dyDescent="0.25">
      <c r="E1011" s="2"/>
      <c r="H1011" s="2"/>
    </row>
    <row r="1012" spans="5:8" x14ac:dyDescent="0.25">
      <c r="E1012" s="2"/>
      <c r="H1012" s="2"/>
    </row>
    <row r="1013" spans="5:8" x14ac:dyDescent="0.25">
      <c r="E1013" s="2"/>
      <c r="H1013" s="2"/>
    </row>
    <row r="1014" spans="5:8" x14ac:dyDescent="0.25">
      <c r="E1014" s="2"/>
      <c r="H1014" s="2"/>
    </row>
    <row r="1015" spans="5:8" x14ac:dyDescent="0.25">
      <c r="E1015" s="2"/>
      <c r="H1015" s="2"/>
    </row>
    <row r="1016" spans="5:8" x14ac:dyDescent="0.25">
      <c r="E1016" s="2"/>
      <c r="H1016" s="2"/>
    </row>
    <row r="1017" spans="5:8" x14ac:dyDescent="0.25">
      <c r="E1017" s="2"/>
      <c r="H1017" s="2"/>
    </row>
    <row r="1018" spans="5:8" x14ac:dyDescent="0.25">
      <c r="E1018" s="2"/>
      <c r="H1018" s="2"/>
    </row>
    <row r="1019" spans="5:8" x14ac:dyDescent="0.25">
      <c r="E1019" s="2"/>
      <c r="H1019" s="2"/>
    </row>
    <row r="1020" spans="5:8" x14ac:dyDescent="0.25">
      <c r="E1020" s="2"/>
      <c r="H1020" s="2"/>
    </row>
    <row r="1021" spans="5:8" x14ac:dyDescent="0.25">
      <c r="E1021" s="2"/>
      <c r="H1021" s="2"/>
    </row>
    <row r="1022" spans="5:8" x14ac:dyDescent="0.25">
      <c r="E1022" s="2"/>
      <c r="H1022" s="2"/>
    </row>
    <row r="1023" spans="5:8" x14ac:dyDescent="0.25">
      <c r="E1023" s="2"/>
      <c r="H1023" s="2"/>
    </row>
    <row r="1024" spans="5:8" x14ac:dyDescent="0.25">
      <c r="E1024" s="2"/>
      <c r="H1024" s="2"/>
    </row>
    <row r="1025" spans="5:8" x14ac:dyDescent="0.25">
      <c r="E1025" s="2"/>
      <c r="H1025" s="2"/>
    </row>
    <row r="1026" spans="5:8" x14ac:dyDescent="0.25">
      <c r="E1026" s="2"/>
      <c r="H1026" s="2"/>
    </row>
    <row r="1027" spans="5:8" x14ac:dyDescent="0.25">
      <c r="E1027" s="2"/>
      <c r="H1027" s="2"/>
    </row>
    <row r="1028" spans="5:8" x14ac:dyDescent="0.25">
      <c r="E1028" s="2"/>
      <c r="H1028" s="2"/>
    </row>
    <row r="1029" spans="5:8" x14ac:dyDescent="0.25">
      <c r="E1029" s="2"/>
      <c r="H1029" s="2"/>
    </row>
    <row r="1030" spans="5:8" x14ac:dyDescent="0.25">
      <c r="E1030" s="2"/>
      <c r="H1030" s="2"/>
    </row>
    <row r="1031" spans="5:8" x14ac:dyDescent="0.25">
      <c r="E1031" s="2"/>
      <c r="H1031" s="2"/>
    </row>
    <row r="1032" spans="5:8" x14ac:dyDescent="0.25">
      <c r="E1032" s="2"/>
      <c r="H1032" s="2"/>
    </row>
    <row r="1033" spans="5:8" x14ac:dyDescent="0.25">
      <c r="E1033" s="2"/>
      <c r="H1033" s="2"/>
    </row>
    <row r="1034" spans="5:8" x14ac:dyDescent="0.25">
      <c r="E1034" s="2"/>
      <c r="H1034" s="2"/>
    </row>
    <row r="1035" spans="5:8" x14ac:dyDescent="0.25">
      <c r="E1035" s="2"/>
      <c r="H1035" s="2"/>
    </row>
    <row r="1036" spans="5:8" x14ac:dyDescent="0.25">
      <c r="E1036" s="2"/>
      <c r="H1036" s="2"/>
    </row>
    <row r="1037" spans="5:8" x14ac:dyDescent="0.25">
      <c r="E1037" s="2"/>
      <c r="H1037" s="2"/>
    </row>
    <row r="1038" spans="5:8" x14ac:dyDescent="0.25">
      <c r="E1038" s="2"/>
      <c r="H1038" s="2"/>
    </row>
    <row r="1039" spans="5:8" x14ac:dyDescent="0.25">
      <c r="E1039" s="2"/>
      <c r="H1039" s="2"/>
    </row>
    <row r="1040" spans="5:8" x14ac:dyDescent="0.25">
      <c r="E1040" s="2"/>
      <c r="H1040" s="2"/>
    </row>
    <row r="1041" spans="5:8" x14ac:dyDescent="0.25">
      <c r="E1041" s="2"/>
      <c r="H1041" s="2"/>
    </row>
    <row r="1042" spans="5:8" x14ac:dyDescent="0.25">
      <c r="E1042" s="2"/>
      <c r="H1042" s="2"/>
    </row>
    <row r="1043" spans="5:8" x14ac:dyDescent="0.25">
      <c r="E1043" s="2"/>
      <c r="H1043" s="2"/>
    </row>
    <row r="1044" spans="5:8" x14ac:dyDescent="0.25">
      <c r="E1044" s="2"/>
      <c r="H1044" s="2"/>
    </row>
    <row r="1045" spans="5:8" x14ac:dyDescent="0.25">
      <c r="E1045" s="2"/>
      <c r="H1045" s="2"/>
    </row>
    <row r="1046" spans="5:8" x14ac:dyDescent="0.25">
      <c r="E1046" s="2"/>
      <c r="H1046" s="2"/>
    </row>
    <row r="1047" spans="5:8" x14ac:dyDescent="0.25">
      <c r="E1047" s="2"/>
      <c r="H1047" s="2"/>
    </row>
    <row r="1048" spans="5:8" x14ac:dyDescent="0.25">
      <c r="E1048" s="2"/>
      <c r="H1048" s="2"/>
    </row>
    <row r="1049" spans="5:8" x14ac:dyDescent="0.25">
      <c r="E1049" s="2"/>
      <c r="H1049" s="2"/>
    </row>
    <row r="1050" spans="5:8" x14ac:dyDescent="0.25">
      <c r="E1050" s="2"/>
      <c r="H1050" s="2"/>
    </row>
    <row r="1051" spans="5:8" x14ac:dyDescent="0.25">
      <c r="E1051" s="2"/>
      <c r="H1051" s="2"/>
    </row>
    <row r="1052" spans="5:8" x14ac:dyDescent="0.25">
      <c r="E1052" s="2"/>
      <c r="H1052" s="2"/>
    </row>
    <row r="1053" spans="5:8" x14ac:dyDescent="0.25">
      <c r="E1053" s="2"/>
      <c r="H1053" s="2"/>
    </row>
    <row r="1054" spans="5:8" x14ac:dyDescent="0.25">
      <c r="E1054" s="2"/>
      <c r="H1054" s="2"/>
    </row>
    <row r="1055" spans="5:8" x14ac:dyDescent="0.25">
      <c r="E1055" s="2"/>
      <c r="H1055" s="2"/>
    </row>
    <row r="1056" spans="5:8" x14ac:dyDescent="0.25">
      <c r="E1056" s="2"/>
      <c r="H1056" s="2"/>
    </row>
    <row r="1057" spans="5:8" x14ac:dyDescent="0.25">
      <c r="E1057" s="2"/>
      <c r="H1057" s="2"/>
    </row>
    <row r="1058" spans="5:8" x14ac:dyDescent="0.25">
      <c r="E1058" s="2"/>
      <c r="H1058" s="2"/>
    </row>
    <row r="1059" spans="5:8" x14ac:dyDescent="0.25">
      <c r="E1059" s="2"/>
      <c r="H1059" s="2"/>
    </row>
    <row r="1060" spans="5:8" x14ac:dyDescent="0.25">
      <c r="E1060" s="2"/>
      <c r="H1060" s="2"/>
    </row>
    <row r="1061" spans="5:8" x14ac:dyDescent="0.25">
      <c r="E1061" s="2"/>
      <c r="H1061" s="2"/>
    </row>
    <row r="1062" spans="5:8" x14ac:dyDescent="0.25">
      <c r="E1062" s="2"/>
      <c r="H1062" s="2"/>
    </row>
    <row r="1063" spans="5:8" x14ac:dyDescent="0.25">
      <c r="E1063" s="2"/>
      <c r="H1063" s="2"/>
    </row>
    <row r="1064" spans="5:8" x14ac:dyDescent="0.25">
      <c r="E1064" s="2"/>
      <c r="H1064" s="2"/>
    </row>
    <row r="1065" spans="5:8" x14ac:dyDescent="0.25">
      <c r="E1065" s="2"/>
      <c r="H1065" s="2"/>
    </row>
    <row r="1066" spans="5:8" x14ac:dyDescent="0.25">
      <c r="E1066" s="2"/>
      <c r="H1066" s="2"/>
    </row>
    <row r="1067" spans="5:8" x14ac:dyDescent="0.25">
      <c r="E1067" s="2"/>
      <c r="H1067" s="2"/>
    </row>
    <row r="1068" spans="5:8" x14ac:dyDescent="0.25">
      <c r="E1068" s="2"/>
      <c r="H1068" s="2"/>
    </row>
    <row r="1069" spans="5:8" x14ac:dyDescent="0.25">
      <c r="E1069" s="2"/>
      <c r="H1069" s="2"/>
    </row>
    <row r="1070" spans="5:8" x14ac:dyDescent="0.25">
      <c r="E1070" s="2"/>
      <c r="H1070" s="2"/>
    </row>
    <row r="1071" spans="5:8" x14ac:dyDescent="0.25">
      <c r="E1071" s="2"/>
      <c r="H1071" s="2"/>
    </row>
    <row r="1072" spans="5:8" x14ac:dyDescent="0.25">
      <c r="E1072" s="2"/>
      <c r="H1072" s="2"/>
    </row>
    <row r="1073" spans="5:8" x14ac:dyDescent="0.25">
      <c r="E1073" s="2"/>
      <c r="H1073" s="2"/>
    </row>
    <row r="1074" spans="5:8" x14ac:dyDescent="0.25">
      <c r="E1074" s="2"/>
      <c r="H1074" s="2"/>
    </row>
    <row r="1075" spans="5:8" x14ac:dyDescent="0.25">
      <c r="E1075" s="2"/>
      <c r="H1075" s="2"/>
    </row>
    <row r="1076" spans="5:8" x14ac:dyDescent="0.25">
      <c r="E1076" s="2"/>
      <c r="H1076" s="2"/>
    </row>
    <row r="1077" spans="5:8" x14ac:dyDescent="0.25">
      <c r="E1077" s="2"/>
      <c r="H1077" s="2"/>
    </row>
    <row r="1078" spans="5:8" x14ac:dyDescent="0.25">
      <c r="E1078" s="2"/>
      <c r="H1078" s="2"/>
    </row>
    <row r="1079" spans="5:8" x14ac:dyDescent="0.25">
      <c r="E1079" s="2"/>
      <c r="H1079" s="2"/>
    </row>
    <row r="1080" spans="5:8" x14ac:dyDescent="0.25">
      <c r="E1080" s="2"/>
      <c r="H1080" s="2"/>
    </row>
    <row r="1081" spans="5:8" x14ac:dyDescent="0.25">
      <c r="E1081" s="2"/>
      <c r="H1081" s="2"/>
    </row>
    <row r="1082" spans="5:8" x14ac:dyDescent="0.25">
      <c r="E1082" s="2"/>
      <c r="H1082" s="2"/>
    </row>
    <row r="1083" spans="5:8" x14ac:dyDescent="0.25">
      <c r="E1083" s="2"/>
      <c r="H1083" s="2"/>
    </row>
    <row r="1084" spans="5:8" x14ac:dyDescent="0.25">
      <c r="E1084" s="2"/>
      <c r="H1084" s="2"/>
    </row>
    <row r="1085" spans="5:8" x14ac:dyDescent="0.25">
      <c r="E1085" s="2"/>
      <c r="H1085" s="2"/>
    </row>
    <row r="1086" spans="5:8" x14ac:dyDescent="0.25">
      <c r="E1086" s="2"/>
      <c r="H1086" s="2"/>
    </row>
    <row r="1087" spans="5:8" x14ac:dyDescent="0.25">
      <c r="E1087" s="2"/>
      <c r="H1087" s="2"/>
    </row>
    <row r="1088" spans="5:8" x14ac:dyDescent="0.25">
      <c r="E1088" s="2"/>
      <c r="H1088" s="2"/>
    </row>
    <row r="1089" spans="5:8" x14ac:dyDescent="0.25">
      <c r="E1089" s="2"/>
      <c r="H1089" s="2"/>
    </row>
    <row r="1090" spans="5:8" x14ac:dyDescent="0.25">
      <c r="E1090" s="2"/>
      <c r="H1090" s="2"/>
    </row>
    <row r="1091" spans="5:8" x14ac:dyDescent="0.25">
      <c r="E1091" s="2"/>
      <c r="H1091" s="2"/>
    </row>
    <row r="1092" spans="5:8" x14ac:dyDescent="0.25">
      <c r="E1092" s="2"/>
      <c r="H1092" s="2"/>
    </row>
    <row r="1093" spans="5:8" x14ac:dyDescent="0.25">
      <c r="E1093" s="2"/>
      <c r="H1093" s="2"/>
    </row>
    <row r="1094" spans="5:8" x14ac:dyDescent="0.25">
      <c r="E1094" s="2"/>
      <c r="H1094" s="2"/>
    </row>
    <row r="1095" spans="5:8" x14ac:dyDescent="0.25">
      <c r="E1095" s="2"/>
      <c r="H1095" s="2"/>
    </row>
    <row r="1096" spans="5:8" x14ac:dyDescent="0.25">
      <c r="E1096" s="2"/>
      <c r="H1096" s="2"/>
    </row>
    <row r="1097" spans="5:8" x14ac:dyDescent="0.25">
      <c r="E1097" s="2"/>
      <c r="H1097" s="2"/>
    </row>
    <row r="1098" spans="5:8" x14ac:dyDescent="0.25">
      <c r="E1098" s="2"/>
      <c r="H1098" s="2"/>
    </row>
    <row r="1099" spans="5:8" x14ac:dyDescent="0.25">
      <c r="E1099" s="2"/>
      <c r="H1099" s="2"/>
    </row>
    <row r="1100" spans="5:8" x14ac:dyDescent="0.25">
      <c r="E1100" s="2"/>
      <c r="H1100" s="2"/>
    </row>
    <row r="1101" spans="5:8" x14ac:dyDescent="0.25">
      <c r="E1101" s="2"/>
      <c r="H1101" s="2"/>
    </row>
    <row r="1102" spans="5:8" x14ac:dyDescent="0.25">
      <c r="E1102" s="2"/>
      <c r="H1102" s="2"/>
    </row>
    <row r="1103" spans="5:8" x14ac:dyDescent="0.25">
      <c r="E1103" s="2"/>
      <c r="H1103" s="2"/>
    </row>
    <row r="1104" spans="5:8" x14ac:dyDescent="0.25">
      <c r="E1104" s="2"/>
      <c r="H1104" s="2"/>
    </row>
    <row r="1105" spans="5:8" x14ac:dyDescent="0.25">
      <c r="E1105" s="2"/>
      <c r="H1105" s="2"/>
    </row>
    <row r="1106" spans="5:8" x14ac:dyDescent="0.25">
      <c r="E1106" s="2"/>
      <c r="H1106" s="2"/>
    </row>
    <row r="1107" spans="5:8" x14ac:dyDescent="0.25">
      <c r="E1107" s="2"/>
      <c r="H1107" s="2"/>
    </row>
    <row r="1108" spans="5:8" x14ac:dyDescent="0.25">
      <c r="E1108" s="2"/>
      <c r="H1108" s="2"/>
    </row>
    <row r="1109" spans="5:8" x14ac:dyDescent="0.25">
      <c r="E1109" s="2"/>
      <c r="H1109" s="2"/>
    </row>
    <row r="1110" spans="5:8" x14ac:dyDescent="0.25">
      <c r="E1110" s="2"/>
      <c r="H1110" s="2"/>
    </row>
    <row r="1111" spans="5:8" x14ac:dyDescent="0.25">
      <c r="E1111" s="2"/>
      <c r="H1111" s="2"/>
    </row>
    <row r="1112" spans="5:8" x14ac:dyDescent="0.25">
      <c r="E1112" s="2"/>
      <c r="H1112" s="2"/>
    </row>
    <row r="1113" spans="5:8" x14ac:dyDescent="0.25">
      <c r="E1113" s="2"/>
      <c r="H1113" s="2"/>
    </row>
    <row r="1114" spans="5:8" x14ac:dyDescent="0.25">
      <c r="E1114" s="2"/>
      <c r="H1114" s="2"/>
    </row>
    <row r="1115" spans="5:8" x14ac:dyDescent="0.25">
      <c r="E1115" s="2"/>
      <c r="H1115" s="2"/>
    </row>
    <row r="1116" spans="5:8" x14ac:dyDescent="0.25">
      <c r="E1116" s="2"/>
      <c r="H1116" s="2"/>
    </row>
    <row r="1117" spans="5:8" x14ac:dyDescent="0.25">
      <c r="E1117" s="2"/>
      <c r="H1117" s="2"/>
    </row>
    <row r="1118" spans="5:8" x14ac:dyDescent="0.25">
      <c r="E1118" s="2"/>
      <c r="H1118" s="2"/>
    </row>
    <row r="1119" spans="5:8" x14ac:dyDescent="0.25">
      <c r="E1119" s="2"/>
      <c r="H1119" s="2"/>
    </row>
    <row r="1120" spans="5:8" x14ac:dyDescent="0.25">
      <c r="E1120" s="2"/>
      <c r="H1120" s="2"/>
    </row>
    <row r="1121" spans="5:8" x14ac:dyDescent="0.25">
      <c r="E1121" s="2"/>
      <c r="H1121" s="2"/>
    </row>
    <row r="1122" spans="5:8" x14ac:dyDescent="0.25">
      <c r="E1122" s="2"/>
      <c r="H1122" s="2"/>
    </row>
    <row r="1123" spans="5:8" x14ac:dyDescent="0.25">
      <c r="E1123" s="2"/>
      <c r="H1123" s="2"/>
    </row>
    <row r="1124" spans="5:8" x14ac:dyDescent="0.25">
      <c r="E1124" s="2"/>
      <c r="H1124" s="2"/>
    </row>
    <row r="1125" spans="5:8" x14ac:dyDescent="0.25">
      <c r="E1125" s="2"/>
      <c r="H1125" s="2"/>
    </row>
    <row r="1126" spans="5:8" x14ac:dyDescent="0.25">
      <c r="E1126" s="2"/>
      <c r="H1126" s="2"/>
    </row>
    <row r="1127" spans="5:8" x14ac:dyDescent="0.25">
      <c r="E1127" s="2"/>
      <c r="H1127" s="2"/>
    </row>
    <row r="1128" spans="5:8" x14ac:dyDescent="0.25">
      <c r="E1128" s="2"/>
      <c r="H1128" s="2"/>
    </row>
    <row r="1129" spans="5:8" x14ac:dyDescent="0.25">
      <c r="E1129" s="2"/>
      <c r="H1129" s="2"/>
    </row>
    <row r="1130" spans="5:8" x14ac:dyDescent="0.25">
      <c r="E1130" s="2"/>
      <c r="H1130" s="2"/>
    </row>
    <row r="1131" spans="5:8" x14ac:dyDescent="0.25">
      <c r="E1131" s="2"/>
      <c r="H1131" s="2"/>
    </row>
    <row r="1132" spans="5:8" x14ac:dyDescent="0.25">
      <c r="E1132" s="2"/>
      <c r="H1132" s="2"/>
    </row>
    <row r="1133" spans="5:8" x14ac:dyDescent="0.25">
      <c r="E1133" s="2"/>
      <c r="H1133" s="2"/>
    </row>
    <row r="1134" spans="5:8" x14ac:dyDescent="0.25">
      <c r="E1134" s="2"/>
      <c r="H1134" s="2"/>
    </row>
    <row r="1135" spans="5:8" x14ac:dyDescent="0.25">
      <c r="E1135" s="2"/>
      <c r="H1135" s="2"/>
    </row>
    <row r="1136" spans="5:8" x14ac:dyDescent="0.25">
      <c r="E1136" s="2"/>
      <c r="H1136" s="2"/>
    </row>
    <row r="1137" spans="5:8" x14ac:dyDescent="0.25">
      <c r="E1137" s="2"/>
      <c r="H1137" s="2"/>
    </row>
    <row r="1138" spans="5:8" x14ac:dyDescent="0.25">
      <c r="E1138" s="2"/>
      <c r="H1138" s="2"/>
    </row>
    <row r="1139" spans="5:8" x14ac:dyDescent="0.25">
      <c r="E1139" s="2"/>
      <c r="H1139" s="2"/>
    </row>
    <row r="1140" spans="5:8" x14ac:dyDescent="0.25">
      <c r="E1140" s="2"/>
      <c r="H1140" s="2"/>
    </row>
    <row r="1141" spans="5:8" x14ac:dyDescent="0.25">
      <c r="E1141" s="2"/>
      <c r="H1141" s="2"/>
    </row>
    <row r="1142" spans="5:8" x14ac:dyDescent="0.25">
      <c r="E1142" s="2"/>
      <c r="H1142" s="2"/>
    </row>
    <row r="1143" spans="5:8" x14ac:dyDescent="0.25">
      <c r="E1143" s="2"/>
      <c r="H1143" s="2"/>
    </row>
    <row r="1144" spans="5:8" x14ac:dyDescent="0.25">
      <c r="E1144" s="2"/>
      <c r="H1144" s="2"/>
    </row>
    <row r="1145" spans="5:8" x14ac:dyDescent="0.25">
      <c r="E1145" s="2"/>
      <c r="H1145" s="2"/>
    </row>
    <row r="1146" spans="5:8" x14ac:dyDescent="0.25">
      <c r="E1146" s="2"/>
      <c r="H1146" s="2"/>
    </row>
    <row r="1147" spans="5:8" x14ac:dyDescent="0.25">
      <c r="E1147" s="2"/>
      <c r="H1147" s="2"/>
    </row>
    <row r="1148" spans="5:8" x14ac:dyDescent="0.25">
      <c r="E1148" s="2"/>
      <c r="H1148" s="2"/>
    </row>
    <row r="1149" spans="5:8" x14ac:dyDescent="0.25">
      <c r="E1149" s="2"/>
      <c r="H1149" s="2"/>
    </row>
    <row r="1150" spans="5:8" x14ac:dyDescent="0.25">
      <c r="E1150" s="2"/>
      <c r="H1150" s="2"/>
    </row>
    <row r="1151" spans="5:8" x14ac:dyDescent="0.25">
      <c r="E1151" s="2"/>
      <c r="H1151" s="2"/>
    </row>
    <row r="1152" spans="5:8" x14ac:dyDescent="0.25">
      <c r="E1152" s="2"/>
      <c r="H1152" s="2"/>
    </row>
    <row r="1153" spans="5:8" x14ac:dyDescent="0.25">
      <c r="E1153" s="2"/>
      <c r="H1153" s="2"/>
    </row>
    <row r="1154" spans="5:8" x14ac:dyDescent="0.25">
      <c r="E1154" s="2"/>
      <c r="H1154" s="2"/>
    </row>
    <row r="1155" spans="5:8" x14ac:dyDescent="0.25">
      <c r="E1155" s="2"/>
      <c r="H1155" s="2"/>
    </row>
    <row r="1156" spans="5:8" x14ac:dyDescent="0.25">
      <c r="E1156" s="2"/>
      <c r="H1156" s="2"/>
    </row>
    <row r="1157" spans="5:8" x14ac:dyDescent="0.25">
      <c r="E1157" s="2"/>
      <c r="H1157" s="2"/>
    </row>
    <row r="1158" spans="5:8" x14ac:dyDescent="0.25">
      <c r="E1158" s="2"/>
      <c r="H1158" s="2"/>
    </row>
    <row r="1159" spans="5:8" x14ac:dyDescent="0.25">
      <c r="E1159" s="2"/>
      <c r="H1159" s="2"/>
    </row>
    <row r="1160" spans="5:8" x14ac:dyDescent="0.25">
      <c r="E1160" s="2"/>
      <c r="H1160" s="2"/>
    </row>
    <row r="1161" spans="5:8" x14ac:dyDescent="0.25">
      <c r="E1161" s="2"/>
      <c r="H1161" s="2"/>
    </row>
    <row r="1162" spans="5:8" x14ac:dyDescent="0.25">
      <c r="E1162" s="2"/>
      <c r="H1162" s="2"/>
    </row>
    <row r="1163" spans="5:8" x14ac:dyDescent="0.25">
      <c r="E1163" s="2"/>
      <c r="H1163" s="2"/>
    </row>
    <row r="1164" spans="5:8" x14ac:dyDescent="0.25">
      <c r="E1164" s="2"/>
      <c r="H1164" s="2"/>
    </row>
    <row r="1165" spans="5:8" x14ac:dyDescent="0.25">
      <c r="E1165" s="2"/>
      <c r="H1165" s="2"/>
    </row>
    <row r="1166" spans="5:8" x14ac:dyDescent="0.25">
      <c r="E1166" s="2"/>
      <c r="H1166" s="2"/>
    </row>
    <row r="1167" spans="5:8" x14ac:dyDescent="0.25">
      <c r="E1167" s="2"/>
      <c r="H1167" s="2"/>
    </row>
    <row r="1168" spans="5:8" x14ac:dyDescent="0.25">
      <c r="E1168" s="2"/>
      <c r="H1168" s="2"/>
    </row>
    <row r="1169" spans="5:8" x14ac:dyDescent="0.25">
      <c r="E1169" s="2"/>
      <c r="H1169" s="2"/>
    </row>
    <row r="1170" spans="5:8" x14ac:dyDescent="0.25">
      <c r="E1170" s="2"/>
      <c r="H1170" s="2"/>
    </row>
    <row r="1171" spans="5:8" x14ac:dyDescent="0.25">
      <c r="E1171" s="2"/>
      <c r="H1171" s="2"/>
    </row>
    <row r="1172" spans="5:8" x14ac:dyDescent="0.25">
      <c r="E1172" s="2"/>
      <c r="H1172" s="2"/>
    </row>
    <row r="1173" spans="5:8" x14ac:dyDescent="0.25">
      <c r="E1173" s="2"/>
      <c r="H1173" s="2"/>
    </row>
    <row r="1174" spans="5:8" x14ac:dyDescent="0.25">
      <c r="E1174" s="2"/>
      <c r="H1174" s="2"/>
    </row>
    <row r="1175" spans="5:8" x14ac:dyDescent="0.25">
      <c r="E1175" s="2"/>
      <c r="H1175" s="2"/>
    </row>
    <row r="1176" spans="5:8" x14ac:dyDescent="0.25">
      <c r="E1176" s="2"/>
      <c r="H1176" s="2"/>
    </row>
    <row r="1177" spans="5:8" x14ac:dyDescent="0.25">
      <c r="E1177" s="2"/>
      <c r="H1177" s="2"/>
    </row>
    <row r="1178" spans="5:8" x14ac:dyDescent="0.25">
      <c r="E1178" s="2"/>
      <c r="H1178" s="2"/>
    </row>
    <row r="1179" spans="5:8" x14ac:dyDescent="0.25">
      <c r="E1179" s="2"/>
      <c r="H1179" s="2"/>
    </row>
    <row r="1180" spans="5:8" x14ac:dyDescent="0.25">
      <c r="E1180" s="2"/>
      <c r="H1180" s="2"/>
    </row>
    <row r="1181" spans="5:8" x14ac:dyDescent="0.25">
      <c r="E1181" s="2"/>
      <c r="H1181" s="2"/>
    </row>
    <row r="1182" spans="5:8" x14ac:dyDescent="0.25">
      <c r="E1182" s="2"/>
      <c r="H1182" s="2"/>
    </row>
    <row r="1183" spans="5:8" x14ac:dyDescent="0.25">
      <c r="E1183" s="2"/>
      <c r="H1183" s="2"/>
    </row>
    <row r="1184" spans="5:8" x14ac:dyDescent="0.25">
      <c r="E1184" s="2"/>
      <c r="H1184" s="2"/>
    </row>
    <row r="1185" spans="5:8" x14ac:dyDescent="0.25">
      <c r="E1185" s="2"/>
      <c r="H1185" s="2"/>
    </row>
    <row r="1186" spans="5:8" x14ac:dyDescent="0.25">
      <c r="E1186" s="2"/>
      <c r="H1186" s="2"/>
    </row>
    <row r="1187" spans="5:8" x14ac:dyDescent="0.25">
      <c r="E1187" s="2"/>
      <c r="H1187" s="2"/>
    </row>
    <row r="1188" spans="5:8" x14ac:dyDescent="0.25">
      <c r="E1188" s="2"/>
      <c r="H1188" s="2"/>
    </row>
    <row r="1189" spans="5:8" x14ac:dyDescent="0.25">
      <c r="E1189" s="2"/>
      <c r="H1189" s="2"/>
    </row>
    <row r="1190" spans="5:8" x14ac:dyDescent="0.25">
      <c r="E1190" s="2"/>
      <c r="H1190" s="2"/>
    </row>
    <row r="1191" spans="5:8" x14ac:dyDescent="0.25">
      <c r="E1191" s="2"/>
      <c r="H1191" s="2"/>
    </row>
    <row r="1192" spans="5:8" x14ac:dyDescent="0.25">
      <c r="E1192" s="2"/>
      <c r="H1192" s="2"/>
    </row>
    <row r="1193" spans="5:8" x14ac:dyDescent="0.25">
      <c r="E1193" s="2"/>
      <c r="H1193" s="2"/>
    </row>
    <row r="1194" spans="5:8" x14ac:dyDescent="0.25">
      <c r="E1194" s="2"/>
      <c r="H1194" s="2"/>
    </row>
    <row r="1195" spans="5:8" x14ac:dyDescent="0.25">
      <c r="E1195" s="2"/>
      <c r="H1195" s="2"/>
    </row>
    <row r="1196" spans="5:8" x14ac:dyDescent="0.25">
      <c r="E1196" s="2"/>
      <c r="H1196" s="2"/>
    </row>
    <row r="1197" spans="5:8" x14ac:dyDescent="0.25">
      <c r="E1197" s="2"/>
      <c r="H1197" s="2"/>
    </row>
    <row r="1198" spans="5:8" x14ac:dyDescent="0.25">
      <c r="E1198" s="2"/>
      <c r="H1198" s="2"/>
    </row>
    <row r="1199" spans="5:8" x14ac:dyDescent="0.25">
      <c r="E1199" s="2"/>
      <c r="H1199" s="2"/>
    </row>
    <row r="1200" spans="5:8" x14ac:dyDescent="0.25">
      <c r="E1200" s="2"/>
      <c r="H12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68A36-4237-4C56-A020-3FA3484E9036}">
  <dimension ref="A1:E458"/>
  <sheetViews>
    <sheetView workbookViewId="0">
      <selection activeCell="A9" sqref="A9:E458"/>
    </sheetView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tr">
        <f>'WP by State &amp; Segment'!A1</f>
        <v>Insurer NJ Umbrella</v>
      </c>
    </row>
    <row r="2" spans="1:5" x14ac:dyDescent="0.25">
      <c r="A2" t="str">
        <f>'WP by State &amp; Segment'!A2</f>
        <v>Umbrella Excess of Loss reinsurance program</v>
      </c>
    </row>
    <row r="3" spans="1:5" x14ac:dyDescent="0.25">
      <c r="A3" t="str">
        <f>'WP by State &amp; Segment'!A3</f>
        <v>Effective: 04/01/2024</v>
      </c>
    </row>
    <row r="4" spans="1:5" x14ac:dyDescent="0.25">
      <c r="A4" t="str">
        <f>'WP by State &amp; Segment'!A4</f>
        <v>Data as of: 11/30/2023</v>
      </c>
    </row>
    <row r="6" spans="1:5" x14ac:dyDescent="0.25">
      <c r="A6" t="s">
        <v>93</v>
      </c>
    </row>
    <row r="7" spans="1:5" x14ac:dyDescent="0.25">
      <c r="C7" t="s">
        <v>97</v>
      </c>
    </row>
    <row r="8" spans="1:5" x14ac:dyDescent="0.25">
      <c r="A8" t="s">
        <v>7</v>
      </c>
      <c r="B8" t="s">
        <v>95</v>
      </c>
      <c r="C8" t="s">
        <v>78</v>
      </c>
      <c r="D8" t="s">
        <v>79</v>
      </c>
      <c r="E8" t="s">
        <v>96</v>
      </c>
    </row>
    <row r="9" spans="1:5" x14ac:dyDescent="0.25">
      <c r="A9" t="s">
        <v>8</v>
      </c>
      <c r="B9">
        <v>2015</v>
      </c>
      <c r="C9">
        <v>5.8</v>
      </c>
      <c r="D9">
        <v>2.8</v>
      </c>
      <c r="E9">
        <v>3.5</v>
      </c>
    </row>
    <row r="10" spans="1:5" x14ac:dyDescent="0.25">
      <c r="A10" t="s">
        <v>9</v>
      </c>
      <c r="B10">
        <v>2015</v>
      </c>
      <c r="C10">
        <v>5.7</v>
      </c>
      <c r="D10">
        <v>2.6</v>
      </c>
      <c r="E10">
        <v>3.4</v>
      </c>
    </row>
    <row r="11" spans="1:5" x14ac:dyDescent="0.25">
      <c r="A11" t="s">
        <v>10</v>
      </c>
      <c r="B11">
        <v>2015</v>
      </c>
      <c r="C11">
        <v>8.6</v>
      </c>
      <c r="D11">
        <v>5.5</v>
      </c>
      <c r="E11">
        <v>6.5</v>
      </c>
    </row>
    <row r="12" spans="1:5" x14ac:dyDescent="0.25">
      <c r="A12" t="s">
        <v>11</v>
      </c>
      <c r="B12">
        <v>2015</v>
      </c>
      <c r="C12">
        <v>8.8000000000000007</v>
      </c>
      <c r="D12">
        <v>5.7</v>
      </c>
      <c r="E12">
        <v>6.6</v>
      </c>
    </row>
    <row r="13" spans="1:5" x14ac:dyDescent="0.25">
      <c r="A13" t="s">
        <v>12</v>
      </c>
      <c r="B13">
        <v>2015</v>
      </c>
      <c r="C13">
        <v>8.5</v>
      </c>
      <c r="D13">
        <v>5.5</v>
      </c>
      <c r="E13">
        <v>6.7</v>
      </c>
    </row>
    <row r="14" spans="1:5" x14ac:dyDescent="0.25">
      <c r="A14" t="s">
        <v>13</v>
      </c>
      <c r="B14">
        <v>2015</v>
      </c>
      <c r="C14">
        <v>8.5</v>
      </c>
      <c r="D14">
        <v>5.5</v>
      </c>
      <c r="E14">
        <v>6.5</v>
      </c>
    </row>
    <row r="15" spans="1:5" x14ac:dyDescent="0.25">
      <c r="A15" t="s">
        <v>14</v>
      </c>
      <c r="B15">
        <v>2015</v>
      </c>
      <c r="C15">
        <v>7.1</v>
      </c>
      <c r="D15">
        <v>4.0999999999999996</v>
      </c>
      <c r="E15">
        <v>4.9000000000000004</v>
      </c>
    </row>
    <row r="16" spans="1:5" x14ac:dyDescent="0.25">
      <c r="A16" t="s">
        <v>15</v>
      </c>
      <c r="B16">
        <v>2015</v>
      </c>
      <c r="C16">
        <v>8.6999999999999993</v>
      </c>
      <c r="D16">
        <v>5.7</v>
      </c>
      <c r="E16">
        <v>6.4</v>
      </c>
    </row>
    <row r="17" spans="1:5" x14ac:dyDescent="0.25">
      <c r="A17" t="s">
        <v>16</v>
      </c>
      <c r="B17">
        <v>2015</v>
      </c>
      <c r="C17">
        <v>8.6999999999999993</v>
      </c>
      <c r="D17">
        <v>5.6</v>
      </c>
      <c r="E17">
        <v>6.2</v>
      </c>
    </row>
    <row r="18" spans="1:5" x14ac:dyDescent="0.25">
      <c r="A18" t="s">
        <v>17</v>
      </c>
      <c r="B18">
        <v>2015</v>
      </c>
      <c r="C18">
        <v>7.2</v>
      </c>
      <c r="D18">
        <v>4.0999999999999996</v>
      </c>
      <c r="E18">
        <v>4.8</v>
      </c>
    </row>
    <row r="19" spans="1:5" x14ac:dyDescent="0.25">
      <c r="A19" t="s">
        <v>18</v>
      </c>
      <c r="B19">
        <v>2015</v>
      </c>
      <c r="C19">
        <v>5.5</v>
      </c>
      <c r="D19">
        <v>2.5</v>
      </c>
      <c r="E19">
        <v>3.1</v>
      </c>
    </row>
    <row r="20" spans="1:5" x14ac:dyDescent="0.25">
      <c r="A20" t="s">
        <v>19</v>
      </c>
      <c r="B20">
        <v>2015</v>
      </c>
      <c r="C20">
        <v>7.6</v>
      </c>
      <c r="D20">
        <v>4.5</v>
      </c>
      <c r="E20">
        <v>5.5</v>
      </c>
    </row>
    <row r="21" spans="1:5" x14ac:dyDescent="0.25">
      <c r="A21" t="s">
        <v>20</v>
      </c>
      <c r="B21">
        <v>2015</v>
      </c>
      <c r="C21">
        <v>7.2</v>
      </c>
      <c r="D21">
        <v>4.2</v>
      </c>
      <c r="E21">
        <v>4.8</v>
      </c>
    </row>
    <row r="22" spans="1:5" x14ac:dyDescent="0.25">
      <c r="A22" t="s">
        <v>21</v>
      </c>
      <c r="B22">
        <v>2015</v>
      </c>
      <c r="C22">
        <v>8.3000000000000007</v>
      </c>
      <c r="D22">
        <v>5.3</v>
      </c>
      <c r="E22">
        <v>6.1</v>
      </c>
    </row>
    <row r="23" spans="1:5" x14ac:dyDescent="0.25">
      <c r="A23" t="s">
        <v>22</v>
      </c>
      <c r="B23">
        <v>2015</v>
      </c>
      <c r="C23">
        <v>8.5</v>
      </c>
      <c r="D23">
        <v>5.4</v>
      </c>
      <c r="E23">
        <v>6.3</v>
      </c>
    </row>
    <row r="24" spans="1:5" x14ac:dyDescent="0.25">
      <c r="A24" t="s">
        <v>23</v>
      </c>
      <c r="B24">
        <v>2015</v>
      </c>
      <c r="C24">
        <v>8.4</v>
      </c>
      <c r="D24">
        <v>5.4</v>
      </c>
      <c r="E24">
        <v>6.5</v>
      </c>
    </row>
    <row r="25" spans="1:5" x14ac:dyDescent="0.25">
      <c r="A25" t="s">
        <v>24</v>
      </c>
      <c r="B25">
        <v>2015</v>
      </c>
      <c r="C25">
        <v>6.1</v>
      </c>
      <c r="D25">
        <v>3.1</v>
      </c>
      <c r="E25">
        <v>4</v>
      </c>
    </row>
    <row r="26" spans="1:5" x14ac:dyDescent="0.25">
      <c r="A26" t="s">
        <v>25</v>
      </c>
      <c r="B26">
        <v>2015</v>
      </c>
      <c r="C26">
        <v>7.2</v>
      </c>
      <c r="D26">
        <v>4.0999999999999996</v>
      </c>
      <c r="E26">
        <v>5</v>
      </c>
    </row>
    <row r="27" spans="1:5" x14ac:dyDescent="0.25">
      <c r="A27" t="s">
        <v>26</v>
      </c>
      <c r="B27">
        <v>2015</v>
      </c>
      <c r="C27">
        <v>7.4</v>
      </c>
      <c r="D27">
        <v>4.3</v>
      </c>
      <c r="E27">
        <v>4.9000000000000004</v>
      </c>
    </row>
    <row r="28" spans="1:5" x14ac:dyDescent="0.25">
      <c r="A28" t="s">
        <v>27</v>
      </c>
      <c r="B28">
        <v>2015</v>
      </c>
      <c r="C28">
        <v>9</v>
      </c>
      <c r="D28">
        <v>5.9</v>
      </c>
      <c r="E28">
        <v>6.9</v>
      </c>
    </row>
    <row r="29" spans="1:5" x14ac:dyDescent="0.25">
      <c r="A29" t="s">
        <v>28</v>
      </c>
      <c r="B29">
        <v>2015</v>
      </c>
      <c r="C29">
        <v>6.2</v>
      </c>
      <c r="D29">
        <v>3.1</v>
      </c>
      <c r="E29">
        <v>4</v>
      </c>
    </row>
    <row r="30" spans="1:5" x14ac:dyDescent="0.25">
      <c r="A30" t="s">
        <v>29</v>
      </c>
      <c r="B30">
        <v>2015</v>
      </c>
      <c r="C30">
        <v>7.2</v>
      </c>
      <c r="D30">
        <v>4.2</v>
      </c>
      <c r="E30">
        <v>5.2</v>
      </c>
    </row>
    <row r="31" spans="1:5" x14ac:dyDescent="0.25">
      <c r="A31" t="s">
        <v>30</v>
      </c>
      <c r="B31">
        <v>2015</v>
      </c>
      <c r="C31">
        <v>6.6</v>
      </c>
      <c r="D31">
        <v>3.6</v>
      </c>
      <c r="E31">
        <v>4.4000000000000004</v>
      </c>
    </row>
    <row r="32" spans="1:5" x14ac:dyDescent="0.25">
      <c r="A32" t="s">
        <v>31</v>
      </c>
      <c r="B32">
        <v>2015</v>
      </c>
      <c r="C32">
        <v>8.6999999999999993</v>
      </c>
      <c r="D32">
        <v>5.7</v>
      </c>
      <c r="E32">
        <v>6.7</v>
      </c>
    </row>
    <row r="33" spans="1:5" x14ac:dyDescent="0.25">
      <c r="A33" t="s">
        <v>32</v>
      </c>
      <c r="B33">
        <v>2015</v>
      </c>
      <c r="C33">
        <v>9.4</v>
      </c>
      <c r="D33">
        <v>6.3</v>
      </c>
      <c r="E33">
        <v>7.3</v>
      </c>
    </row>
    <row r="34" spans="1:5" x14ac:dyDescent="0.25">
      <c r="A34" t="s">
        <v>33</v>
      </c>
      <c r="B34">
        <v>2015</v>
      </c>
      <c r="C34">
        <v>6.6</v>
      </c>
      <c r="D34">
        <v>3.6</v>
      </c>
      <c r="E34">
        <v>4.5999999999999996</v>
      </c>
    </row>
    <row r="35" spans="1:5" x14ac:dyDescent="0.25">
      <c r="A35" t="s">
        <v>34</v>
      </c>
      <c r="B35">
        <v>2015</v>
      </c>
      <c r="C35">
        <v>7.2</v>
      </c>
      <c r="D35">
        <v>4.2</v>
      </c>
      <c r="E35">
        <v>4.9000000000000004</v>
      </c>
    </row>
    <row r="36" spans="1:5" x14ac:dyDescent="0.25">
      <c r="A36" t="s">
        <v>35</v>
      </c>
      <c r="B36">
        <v>2015</v>
      </c>
      <c r="C36">
        <v>6.8</v>
      </c>
      <c r="D36">
        <v>3.7</v>
      </c>
      <c r="E36">
        <v>4.4000000000000004</v>
      </c>
    </row>
    <row r="37" spans="1:5" x14ac:dyDescent="0.25">
      <c r="A37" t="s">
        <v>36</v>
      </c>
      <c r="B37">
        <v>2015</v>
      </c>
      <c r="C37">
        <v>8.5</v>
      </c>
      <c r="D37">
        <v>5.4</v>
      </c>
      <c r="E37">
        <v>6</v>
      </c>
    </row>
    <row r="38" spans="1:5" x14ac:dyDescent="0.25">
      <c r="A38" t="s">
        <v>37</v>
      </c>
      <c r="B38">
        <v>2015</v>
      </c>
      <c r="C38">
        <v>6.7</v>
      </c>
      <c r="D38">
        <v>3.6</v>
      </c>
      <c r="E38">
        <v>4.8</v>
      </c>
    </row>
    <row r="39" spans="1:5" x14ac:dyDescent="0.25">
      <c r="A39" t="s">
        <v>38</v>
      </c>
      <c r="B39">
        <v>2015</v>
      </c>
      <c r="C39">
        <v>7.5</v>
      </c>
      <c r="D39">
        <v>4.4000000000000004</v>
      </c>
      <c r="E39">
        <v>5.4</v>
      </c>
    </row>
    <row r="40" spans="1:5" x14ac:dyDescent="0.25">
      <c r="A40" t="s">
        <v>39</v>
      </c>
      <c r="B40">
        <v>2015</v>
      </c>
      <c r="C40">
        <v>7.4</v>
      </c>
      <c r="D40">
        <v>4.3</v>
      </c>
      <c r="E40">
        <v>5.3</v>
      </c>
    </row>
    <row r="41" spans="1:5" x14ac:dyDescent="0.25">
      <c r="A41" t="s">
        <v>40</v>
      </c>
      <c r="B41">
        <v>2015</v>
      </c>
      <c r="C41">
        <v>8.4</v>
      </c>
      <c r="D41">
        <v>5.3</v>
      </c>
      <c r="E41">
        <v>6.4</v>
      </c>
    </row>
    <row r="42" spans="1:5" x14ac:dyDescent="0.25">
      <c r="A42" t="s">
        <v>41</v>
      </c>
      <c r="B42">
        <v>2015</v>
      </c>
      <c r="C42">
        <v>7.5</v>
      </c>
      <c r="D42">
        <v>4.5</v>
      </c>
      <c r="E42">
        <v>5.3</v>
      </c>
    </row>
    <row r="43" spans="1:5" x14ac:dyDescent="0.25">
      <c r="A43" t="s">
        <v>42</v>
      </c>
      <c r="B43">
        <v>2015</v>
      </c>
      <c r="C43">
        <v>6.8</v>
      </c>
      <c r="D43">
        <v>3.7</v>
      </c>
      <c r="E43">
        <v>4.5</v>
      </c>
    </row>
    <row r="44" spans="1:5" x14ac:dyDescent="0.25">
      <c r="A44" t="s">
        <v>43</v>
      </c>
      <c r="B44">
        <v>2015</v>
      </c>
      <c r="C44">
        <v>7.9</v>
      </c>
      <c r="D44">
        <v>4.9000000000000004</v>
      </c>
      <c r="E44">
        <v>5.6</v>
      </c>
    </row>
    <row r="45" spans="1:5" x14ac:dyDescent="0.25">
      <c r="A45" t="s">
        <v>44</v>
      </c>
      <c r="B45">
        <v>2015</v>
      </c>
      <c r="C45">
        <v>5.7</v>
      </c>
      <c r="D45">
        <v>2.6</v>
      </c>
      <c r="E45">
        <v>3.7</v>
      </c>
    </row>
    <row r="46" spans="1:5" x14ac:dyDescent="0.25">
      <c r="A46" t="s">
        <v>45</v>
      </c>
      <c r="B46">
        <v>2015</v>
      </c>
      <c r="C46">
        <v>9</v>
      </c>
      <c r="D46">
        <v>6</v>
      </c>
      <c r="E46">
        <v>6.8</v>
      </c>
    </row>
    <row r="47" spans="1:5" x14ac:dyDescent="0.25">
      <c r="A47" t="s">
        <v>46</v>
      </c>
      <c r="B47">
        <v>2015</v>
      </c>
      <c r="C47">
        <v>6.1</v>
      </c>
      <c r="D47">
        <v>3</v>
      </c>
      <c r="E47">
        <v>3.7</v>
      </c>
    </row>
    <row r="48" spans="1:5" x14ac:dyDescent="0.25">
      <c r="A48" t="s">
        <v>47</v>
      </c>
      <c r="B48">
        <v>2015</v>
      </c>
      <c r="C48">
        <v>8.4</v>
      </c>
      <c r="D48">
        <v>5.4</v>
      </c>
      <c r="E48">
        <v>6.5</v>
      </c>
    </row>
    <row r="49" spans="1:5" x14ac:dyDescent="0.25">
      <c r="A49" t="s">
        <v>48</v>
      </c>
      <c r="B49">
        <v>2015</v>
      </c>
      <c r="C49">
        <v>7.2</v>
      </c>
      <c r="D49">
        <v>4.2</v>
      </c>
      <c r="E49">
        <v>5.0999999999999996</v>
      </c>
    </row>
    <row r="50" spans="1:5" x14ac:dyDescent="0.25">
      <c r="A50" t="s">
        <v>49</v>
      </c>
      <c r="B50">
        <v>2015</v>
      </c>
      <c r="C50">
        <v>9</v>
      </c>
      <c r="D50">
        <v>6</v>
      </c>
      <c r="E50">
        <v>7</v>
      </c>
    </row>
    <row r="51" spans="1:5" x14ac:dyDescent="0.25">
      <c r="A51" t="s">
        <v>50</v>
      </c>
      <c r="B51">
        <v>2015</v>
      </c>
      <c r="C51">
        <v>9</v>
      </c>
      <c r="D51">
        <v>6</v>
      </c>
      <c r="E51">
        <v>6.9</v>
      </c>
    </row>
    <row r="52" spans="1:5" x14ac:dyDescent="0.25">
      <c r="A52" t="s">
        <v>51</v>
      </c>
      <c r="B52">
        <v>2015</v>
      </c>
      <c r="C52">
        <v>7.3</v>
      </c>
      <c r="D52">
        <v>4.3</v>
      </c>
      <c r="E52">
        <v>5.0999999999999996</v>
      </c>
    </row>
    <row r="53" spans="1:5" x14ac:dyDescent="0.25">
      <c r="A53" t="s">
        <v>52</v>
      </c>
      <c r="B53">
        <v>2015</v>
      </c>
      <c r="C53">
        <v>9.1</v>
      </c>
      <c r="D53">
        <v>6</v>
      </c>
      <c r="E53">
        <v>6.8</v>
      </c>
    </row>
    <row r="54" spans="1:5" x14ac:dyDescent="0.25">
      <c r="A54" t="s">
        <v>53</v>
      </c>
      <c r="B54">
        <v>2015</v>
      </c>
      <c r="C54">
        <v>8.6</v>
      </c>
      <c r="D54">
        <v>5.6</v>
      </c>
      <c r="E54">
        <v>6.7</v>
      </c>
    </row>
    <row r="55" spans="1:5" x14ac:dyDescent="0.25">
      <c r="A55" t="s">
        <v>54</v>
      </c>
      <c r="B55">
        <v>2015</v>
      </c>
      <c r="C55">
        <v>8.6999999999999993</v>
      </c>
      <c r="D55">
        <v>5.6</v>
      </c>
      <c r="E55">
        <v>6.6</v>
      </c>
    </row>
    <row r="56" spans="1:5" x14ac:dyDescent="0.25">
      <c r="A56" t="s">
        <v>55</v>
      </c>
      <c r="B56">
        <v>2015</v>
      </c>
      <c r="C56">
        <v>5.6</v>
      </c>
      <c r="D56">
        <v>2.6</v>
      </c>
      <c r="E56">
        <v>3.7</v>
      </c>
    </row>
    <row r="57" spans="1:5" x14ac:dyDescent="0.25">
      <c r="A57" t="s">
        <v>56</v>
      </c>
      <c r="B57">
        <v>2015</v>
      </c>
      <c r="C57">
        <v>6.5</v>
      </c>
      <c r="D57">
        <v>3.4</v>
      </c>
      <c r="E57">
        <v>4.4000000000000004</v>
      </c>
    </row>
    <row r="58" spans="1:5" x14ac:dyDescent="0.25">
      <c r="A58" t="s">
        <v>57</v>
      </c>
      <c r="B58">
        <v>2015</v>
      </c>
      <c r="C58">
        <v>6.4</v>
      </c>
      <c r="D58">
        <v>3.4</v>
      </c>
      <c r="E58">
        <v>4.2</v>
      </c>
    </row>
    <row r="59" spans="1:5" x14ac:dyDescent="0.25">
      <c r="A59" t="s">
        <v>8</v>
      </c>
      <c r="B59">
        <v>2016</v>
      </c>
      <c r="C59">
        <v>-1.6</v>
      </c>
      <c r="D59">
        <v>-1.1000000000000001</v>
      </c>
      <c r="E59">
        <v>-1.3</v>
      </c>
    </row>
    <row r="60" spans="1:5" x14ac:dyDescent="0.25">
      <c r="A60" t="s">
        <v>9</v>
      </c>
      <c r="B60">
        <v>2016</v>
      </c>
      <c r="C60">
        <v>-1.3</v>
      </c>
      <c r="D60">
        <v>-0.8</v>
      </c>
      <c r="E60">
        <v>-1</v>
      </c>
    </row>
    <row r="61" spans="1:5" x14ac:dyDescent="0.25">
      <c r="A61" t="s">
        <v>10</v>
      </c>
      <c r="B61">
        <v>2016</v>
      </c>
      <c r="C61">
        <v>-0.4</v>
      </c>
      <c r="D61">
        <v>0.1</v>
      </c>
      <c r="E61">
        <v>-0.1</v>
      </c>
    </row>
    <row r="62" spans="1:5" x14ac:dyDescent="0.25">
      <c r="A62" t="s">
        <v>11</v>
      </c>
      <c r="B62">
        <v>2016</v>
      </c>
      <c r="C62">
        <v>-1.9</v>
      </c>
      <c r="D62">
        <v>-1.4</v>
      </c>
      <c r="E62">
        <v>-1.6</v>
      </c>
    </row>
    <row r="63" spans="1:5" x14ac:dyDescent="0.25">
      <c r="A63" t="s">
        <v>12</v>
      </c>
      <c r="B63">
        <v>2016</v>
      </c>
      <c r="C63">
        <v>-0.5</v>
      </c>
      <c r="D63">
        <v>0</v>
      </c>
      <c r="E63">
        <v>-0.2</v>
      </c>
    </row>
    <row r="64" spans="1:5" x14ac:dyDescent="0.25">
      <c r="A64" t="s">
        <v>13</v>
      </c>
      <c r="B64">
        <v>2016</v>
      </c>
      <c r="C64">
        <v>-3.2</v>
      </c>
      <c r="D64">
        <v>-2.7</v>
      </c>
      <c r="E64">
        <v>-2.9</v>
      </c>
    </row>
    <row r="65" spans="1:5" x14ac:dyDescent="0.25">
      <c r="A65" t="s">
        <v>14</v>
      </c>
      <c r="B65">
        <v>2016</v>
      </c>
      <c r="C65">
        <v>-3.2</v>
      </c>
      <c r="D65">
        <v>-2.7</v>
      </c>
      <c r="E65">
        <v>-2.9</v>
      </c>
    </row>
    <row r="66" spans="1:5" x14ac:dyDescent="0.25">
      <c r="A66" t="s">
        <v>15</v>
      </c>
      <c r="B66">
        <v>2016</v>
      </c>
      <c r="C66">
        <v>-0.8</v>
      </c>
      <c r="D66">
        <v>-0.3</v>
      </c>
      <c r="E66">
        <v>-0.5</v>
      </c>
    </row>
    <row r="67" spans="1:5" x14ac:dyDescent="0.25">
      <c r="A67" t="s">
        <v>16</v>
      </c>
      <c r="B67">
        <v>2016</v>
      </c>
      <c r="C67">
        <v>0.1</v>
      </c>
      <c r="D67">
        <v>0.6</v>
      </c>
      <c r="E67">
        <v>0.4</v>
      </c>
    </row>
    <row r="68" spans="1:5" x14ac:dyDescent="0.25">
      <c r="A68" t="s">
        <v>17</v>
      </c>
      <c r="B68">
        <v>2016</v>
      </c>
      <c r="C68">
        <v>-3.5</v>
      </c>
      <c r="D68">
        <v>-3</v>
      </c>
      <c r="E68">
        <v>-3.2</v>
      </c>
    </row>
    <row r="69" spans="1:5" x14ac:dyDescent="0.25">
      <c r="A69" t="s">
        <v>18</v>
      </c>
      <c r="B69">
        <v>2016</v>
      </c>
      <c r="C69">
        <v>-1.1000000000000001</v>
      </c>
      <c r="D69">
        <v>-0.6</v>
      </c>
      <c r="E69">
        <v>-0.7</v>
      </c>
    </row>
    <row r="70" spans="1:5" x14ac:dyDescent="0.25">
      <c r="A70" t="s">
        <v>19</v>
      </c>
      <c r="B70">
        <v>2016</v>
      </c>
      <c r="C70">
        <v>-2</v>
      </c>
      <c r="D70">
        <v>-1.6</v>
      </c>
      <c r="E70">
        <v>-1.7</v>
      </c>
    </row>
    <row r="71" spans="1:5" x14ac:dyDescent="0.25">
      <c r="A71" t="s">
        <v>20</v>
      </c>
      <c r="B71">
        <v>2016</v>
      </c>
      <c r="C71">
        <v>-2.8</v>
      </c>
      <c r="D71">
        <v>-2.2999999999999998</v>
      </c>
      <c r="E71">
        <v>-2.4</v>
      </c>
    </row>
    <row r="72" spans="1:5" x14ac:dyDescent="0.25">
      <c r="A72" t="s">
        <v>21</v>
      </c>
      <c r="B72">
        <v>2016</v>
      </c>
      <c r="C72">
        <v>-2.6</v>
      </c>
      <c r="D72">
        <v>-2.1</v>
      </c>
      <c r="E72">
        <v>-2.2999999999999998</v>
      </c>
    </row>
    <row r="73" spans="1:5" x14ac:dyDescent="0.25">
      <c r="A73" t="s">
        <v>22</v>
      </c>
      <c r="B73">
        <v>2016</v>
      </c>
      <c r="C73">
        <v>-3.5</v>
      </c>
      <c r="D73">
        <v>-3</v>
      </c>
      <c r="E73">
        <v>-3.2</v>
      </c>
    </row>
    <row r="74" spans="1:5" x14ac:dyDescent="0.25">
      <c r="A74" t="s">
        <v>23</v>
      </c>
      <c r="B74">
        <v>2016</v>
      </c>
      <c r="C74">
        <v>-1.6</v>
      </c>
      <c r="D74">
        <v>-1.1000000000000001</v>
      </c>
      <c r="E74">
        <v>-1.3</v>
      </c>
    </row>
    <row r="75" spans="1:5" x14ac:dyDescent="0.25">
      <c r="A75" t="s">
        <v>24</v>
      </c>
      <c r="B75">
        <v>2016</v>
      </c>
      <c r="C75">
        <v>0.3</v>
      </c>
      <c r="D75">
        <v>0.8</v>
      </c>
      <c r="E75">
        <v>0.7</v>
      </c>
    </row>
    <row r="76" spans="1:5" x14ac:dyDescent="0.25">
      <c r="A76" t="s">
        <v>25</v>
      </c>
      <c r="B76">
        <v>2016</v>
      </c>
      <c r="C76">
        <v>-2.6</v>
      </c>
      <c r="D76">
        <v>-2.1</v>
      </c>
      <c r="E76">
        <v>-2.2000000000000002</v>
      </c>
    </row>
    <row r="77" spans="1:5" x14ac:dyDescent="0.25">
      <c r="A77" t="s">
        <v>26</v>
      </c>
      <c r="B77">
        <v>2016</v>
      </c>
      <c r="C77">
        <v>-2.9</v>
      </c>
      <c r="D77">
        <v>-2.5</v>
      </c>
      <c r="E77">
        <v>-2.7</v>
      </c>
    </row>
    <row r="78" spans="1:5" x14ac:dyDescent="0.25">
      <c r="A78" t="s">
        <v>27</v>
      </c>
      <c r="B78">
        <v>2016</v>
      </c>
      <c r="C78">
        <v>-3.3</v>
      </c>
      <c r="D78">
        <v>-2.9</v>
      </c>
      <c r="E78">
        <v>-3</v>
      </c>
    </row>
    <row r="79" spans="1:5" x14ac:dyDescent="0.25">
      <c r="A79" t="s">
        <v>28</v>
      </c>
      <c r="B79">
        <v>2016</v>
      </c>
      <c r="C79">
        <v>-2</v>
      </c>
      <c r="D79">
        <v>-1.5</v>
      </c>
      <c r="E79">
        <v>-1.6</v>
      </c>
    </row>
    <row r="80" spans="1:5" x14ac:dyDescent="0.25">
      <c r="A80" t="s">
        <v>29</v>
      </c>
      <c r="B80">
        <v>2016</v>
      </c>
      <c r="C80">
        <v>0</v>
      </c>
      <c r="D80">
        <v>0.5</v>
      </c>
      <c r="E80">
        <v>0.4</v>
      </c>
    </row>
    <row r="81" spans="1:5" x14ac:dyDescent="0.25">
      <c r="A81" t="s">
        <v>30</v>
      </c>
      <c r="B81">
        <v>2016</v>
      </c>
      <c r="C81">
        <v>-0.9</v>
      </c>
      <c r="D81">
        <v>-0.5</v>
      </c>
      <c r="E81">
        <v>-0.6</v>
      </c>
    </row>
    <row r="82" spans="1:5" x14ac:dyDescent="0.25">
      <c r="A82" t="s">
        <v>31</v>
      </c>
      <c r="B82">
        <v>2016</v>
      </c>
      <c r="C82">
        <v>-0.2</v>
      </c>
      <c r="D82">
        <v>0.2</v>
      </c>
      <c r="E82">
        <v>0.1</v>
      </c>
    </row>
    <row r="83" spans="1:5" x14ac:dyDescent="0.25">
      <c r="A83" t="s">
        <v>32</v>
      </c>
      <c r="B83">
        <v>2016</v>
      </c>
      <c r="C83">
        <v>-0.4</v>
      </c>
      <c r="D83">
        <v>0.1</v>
      </c>
      <c r="E83">
        <v>-0.1</v>
      </c>
    </row>
    <row r="84" spans="1:5" x14ac:dyDescent="0.25">
      <c r="A84" t="s">
        <v>33</v>
      </c>
      <c r="B84">
        <v>2016</v>
      </c>
      <c r="C84">
        <v>-3</v>
      </c>
      <c r="D84">
        <v>-2.6</v>
      </c>
      <c r="E84">
        <v>-2.7</v>
      </c>
    </row>
    <row r="85" spans="1:5" x14ac:dyDescent="0.25">
      <c r="A85" t="s">
        <v>34</v>
      </c>
      <c r="B85">
        <v>2016</v>
      </c>
      <c r="C85">
        <v>-2.5</v>
      </c>
      <c r="D85">
        <v>-2</v>
      </c>
      <c r="E85">
        <v>-2.2000000000000002</v>
      </c>
    </row>
    <row r="86" spans="1:5" x14ac:dyDescent="0.25">
      <c r="A86" t="s">
        <v>35</v>
      </c>
      <c r="B86">
        <v>2016</v>
      </c>
      <c r="C86">
        <v>0.1</v>
      </c>
      <c r="D86">
        <v>0.5</v>
      </c>
      <c r="E86">
        <v>0.4</v>
      </c>
    </row>
    <row r="87" spans="1:5" x14ac:dyDescent="0.25">
      <c r="A87" t="s">
        <v>36</v>
      </c>
      <c r="B87">
        <v>2016</v>
      </c>
      <c r="C87">
        <v>-2.7</v>
      </c>
      <c r="D87">
        <v>-2.2000000000000002</v>
      </c>
      <c r="E87">
        <v>-2.2999999999999998</v>
      </c>
    </row>
    <row r="88" spans="1:5" x14ac:dyDescent="0.25">
      <c r="A88" t="s">
        <v>37</v>
      </c>
      <c r="B88">
        <v>2016</v>
      </c>
      <c r="C88">
        <v>-1.2</v>
      </c>
      <c r="D88">
        <v>-0.8</v>
      </c>
      <c r="E88">
        <v>-0.9</v>
      </c>
    </row>
    <row r="89" spans="1:5" x14ac:dyDescent="0.25">
      <c r="A89" t="s">
        <v>38</v>
      </c>
      <c r="B89">
        <v>2016</v>
      </c>
      <c r="C89">
        <v>-2.8</v>
      </c>
      <c r="D89">
        <v>-2.4</v>
      </c>
      <c r="E89">
        <v>-2.6</v>
      </c>
    </row>
    <row r="90" spans="1:5" x14ac:dyDescent="0.25">
      <c r="A90" t="s">
        <v>39</v>
      </c>
      <c r="B90">
        <v>2016</v>
      </c>
      <c r="C90">
        <v>-2.5</v>
      </c>
      <c r="D90">
        <v>-2</v>
      </c>
      <c r="E90">
        <v>-2.2000000000000002</v>
      </c>
    </row>
    <row r="91" spans="1:5" x14ac:dyDescent="0.25">
      <c r="A91" t="s">
        <v>40</v>
      </c>
      <c r="B91">
        <v>2016</v>
      </c>
      <c r="C91">
        <v>-1.9</v>
      </c>
      <c r="D91">
        <v>-1.4</v>
      </c>
      <c r="E91">
        <v>-1.6</v>
      </c>
    </row>
    <row r="92" spans="1:5" x14ac:dyDescent="0.25">
      <c r="A92" t="s">
        <v>41</v>
      </c>
      <c r="B92">
        <v>2016</v>
      </c>
      <c r="C92">
        <v>-2.1</v>
      </c>
      <c r="D92">
        <v>-1.6</v>
      </c>
      <c r="E92">
        <v>-1.8</v>
      </c>
    </row>
    <row r="93" spans="1:5" x14ac:dyDescent="0.25">
      <c r="A93" t="s">
        <v>42</v>
      </c>
      <c r="B93">
        <v>2016</v>
      </c>
      <c r="C93">
        <v>-0.9</v>
      </c>
      <c r="D93">
        <v>-0.4</v>
      </c>
      <c r="E93">
        <v>-0.5</v>
      </c>
    </row>
    <row r="94" spans="1:5" x14ac:dyDescent="0.25">
      <c r="A94" t="s">
        <v>43</v>
      </c>
      <c r="B94">
        <v>2016</v>
      </c>
      <c r="C94">
        <v>-2.1</v>
      </c>
      <c r="D94">
        <v>-1.7</v>
      </c>
      <c r="E94">
        <v>-1.8</v>
      </c>
    </row>
    <row r="95" spans="1:5" x14ac:dyDescent="0.25">
      <c r="A95" t="s">
        <v>44</v>
      </c>
      <c r="B95">
        <v>2016</v>
      </c>
      <c r="C95">
        <v>-2.8</v>
      </c>
      <c r="D95">
        <v>-2.4</v>
      </c>
      <c r="E95">
        <v>-2.5</v>
      </c>
    </row>
    <row r="96" spans="1:5" x14ac:dyDescent="0.25">
      <c r="A96" t="s">
        <v>45</v>
      </c>
      <c r="B96">
        <v>2016</v>
      </c>
      <c r="C96">
        <v>-2.5</v>
      </c>
      <c r="D96">
        <v>-2</v>
      </c>
      <c r="E96">
        <v>-2.1</v>
      </c>
    </row>
    <row r="97" spans="1:5" x14ac:dyDescent="0.25">
      <c r="A97" t="s">
        <v>46</v>
      </c>
      <c r="B97">
        <v>2016</v>
      </c>
      <c r="C97">
        <v>-3.3</v>
      </c>
      <c r="D97">
        <v>-2.9</v>
      </c>
      <c r="E97">
        <v>-3</v>
      </c>
    </row>
    <row r="98" spans="1:5" x14ac:dyDescent="0.25">
      <c r="A98" t="s">
        <v>47</v>
      </c>
      <c r="B98">
        <v>2016</v>
      </c>
      <c r="C98">
        <v>-3.1</v>
      </c>
      <c r="D98">
        <v>-2.6</v>
      </c>
      <c r="E98">
        <v>-2.8</v>
      </c>
    </row>
    <row r="99" spans="1:5" x14ac:dyDescent="0.25">
      <c r="A99" t="s">
        <v>48</v>
      </c>
      <c r="B99">
        <v>2016</v>
      </c>
      <c r="C99">
        <v>-2.9</v>
      </c>
      <c r="D99">
        <v>-2.5</v>
      </c>
      <c r="E99">
        <v>-2.6</v>
      </c>
    </row>
    <row r="100" spans="1:5" x14ac:dyDescent="0.25">
      <c r="A100" t="s">
        <v>49</v>
      </c>
      <c r="B100">
        <v>2016</v>
      </c>
      <c r="C100">
        <v>-0.6</v>
      </c>
      <c r="D100">
        <v>-0.1</v>
      </c>
      <c r="E100">
        <v>-0.2</v>
      </c>
    </row>
    <row r="101" spans="1:5" x14ac:dyDescent="0.25">
      <c r="A101" t="s">
        <v>50</v>
      </c>
      <c r="B101">
        <v>2016</v>
      </c>
      <c r="C101">
        <v>-0.3</v>
      </c>
      <c r="D101">
        <v>0.2</v>
      </c>
      <c r="E101">
        <v>0</v>
      </c>
    </row>
    <row r="102" spans="1:5" x14ac:dyDescent="0.25">
      <c r="A102" t="s">
        <v>51</v>
      </c>
      <c r="B102">
        <v>2016</v>
      </c>
      <c r="C102">
        <v>-1.2</v>
      </c>
      <c r="D102">
        <v>-0.7</v>
      </c>
      <c r="E102">
        <v>-0.8</v>
      </c>
    </row>
    <row r="103" spans="1:5" x14ac:dyDescent="0.25">
      <c r="A103" t="s">
        <v>52</v>
      </c>
      <c r="B103">
        <v>2016</v>
      </c>
      <c r="C103">
        <v>-1.9</v>
      </c>
      <c r="D103">
        <v>-1.5</v>
      </c>
      <c r="E103">
        <v>-1.6</v>
      </c>
    </row>
    <row r="104" spans="1:5" x14ac:dyDescent="0.25">
      <c r="A104" t="s">
        <v>53</v>
      </c>
      <c r="B104">
        <v>2016</v>
      </c>
      <c r="C104">
        <v>0.4</v>
      </c>
      <c r="D104">
        <v>0.8</v>
      </c>
      <c r="E104">
        <v>0.7</v>
      </c>
    </row>
    <row r="105" spans="1:5" x14ac:dyDescent="0.25">
      <c r="A105" t="s">
        <v>54</v>
      </c>
      <c r="B105">
        <v>2016</v>
      </c>
      <c r="C105">
        <v>-1.2</v>
      </c>
      <c r="D105">
        <v>-0.8</v>
      </c>
      <c r="E105">
        <v>-1</v>
      </c>
    </row>
    <row r="106" spans="1:5" x14ac:dyDescent="0.25">
      <c r="A106" t="s">
        <v>55</v>
      </c>
      <c r="B106">
        <v>2016</v>
      </c>
      <c r="C106">
        <v>-2</v>
      </c>
      <c r="D106">
        <v>-1.5</v>
      </c>
      <c r="E106">
        <v>-1.6</v>
      </c>
    </row>
    <row r="107" spans="1:5" x14ac:dyDescent="0.25">
      <c r="A107" t="s">
        <v>56</v>
      </c>
      <c r="B107">
        <v>2016</v>
      </c>
      <c r="C107">
        <v>-1</v>
      </c>
      <c r="D107">
        <v>-0.6</v>
      </c>
      <c r="E107">
        <v>-0.7</v>
      </c>
    </row>
    <row r="108" spans="1:5" x14ac:dyDescent="0.25">
      <c r="A108" t="s">
        <v>57</v>
      </c>
      <c r="B108">
        <v>2016</v>
      </c>
      <c r="C108">
        <v>-1.5</v>
      </c>
      <c r="D108">
        <v>-1.1000000000000001</v>
      </c>
      <c r="E108">
        <v>-1.2</v>
      </c>
    </row>
    <row r="109" spans="1:5" x14ac:dyDescent="0.25">
      <c r="A109" t="s">
        <v>8</v>
      </c>
      <c r="B109">
        <v>2017</v>
      </c>
      <c r="C109">
        <v>2</v>
      </c>
      <c r="D109">
        <v>0.9</v>
      </c>
      <c r="E109">
        <v>1.2</v>
      </c>
    </row>
    <row r="110" spans="1:5" x14ac:dyDescent="0.25">
      <c r="A110" t="s">
        <v>9</v>
      </c>
      <c r="B110">
        <v>2017</v>
      </c>
      <c r="C110">
        <v>2</v>
      </c>
      <c r="D110">
        <v>0.9</v>
      </c>
      <c r="E110">
        <v>1.3</v>
      </c>
    </row>
    <row r="111" spans="1:5" x14ac:dyDescent="0.25">
      <c r="A111" t="s">
        <v>10</v>
      </c>
      <c r="B111">
        <v>2017</v>
      </c>
      <c r="C111">
        <v>4.7</v>
      </c>
      <c r="D111">
        <v>3.6</v>
      </c>
      <c r="E111">
        <v>4</v>
      </c>
    </row>
    <row r="112" spans="1:5" x14ac:dyDescent="0.25">
      <c r="A112" t="s">
        <v>11</v>
      </c>
      <c r="B112">
        <v>2017</v>
      </c>
      <c r="C112">
        <v>3.6</v>
      </c>
      <c r="D112">
        <v>2.5</v>
      </c>
      <c r="E112">
        <v>2.9</v>
      </c>
    </row>
    <row r="113" spans="1:5" x14ac:dyDescent="0.25">
      <c r="A113" t="s">
        <v>12</v>
      </c>
      <c r="B113">
        <v>2017</v>
      </c>
      <c r="C113">
        <v>4.5</v>
      </c>
      <c r="D113">
        <v>3.4</v>
      </c>
      <c r="E113">
        <v>3.7</v>
      </c>
    </row>
    <row r="114" spans="1:5" x14ac:dyDescent="0.25">
      <c r="A114" t="s">
        <v>13</v>
      </c>
      <c r="B114">
        <v>2017</v>
      </c>
      <c r="C114">
        <v>3.8</v>
      </c>
      <c r="D114">
        <v>2.6</v>
      </c>
      <c r="E114">
        <v>2.8</v>
      </c>
    </row>
    <row r="115" spans="1:5" x14ac:dyDescent="0.25">
      <c r="A115" t="s">
        <v>14</v>
      </c>
      <c r="B115">
        <v>2017</v>
      </c>
      <c r="C115">
        <v>2.1</v>
      </c>
      <c r="D115">
        <v>0.9</v>
      </c>
      <c r="E115">
        <v>1.3</v>
      </c>
    </row>
    <row r="116" spans="1:5" x14ac:dyDescent="0.25">
      <c r="A116" t="s">
        <v>15</v>
      </c>
      <c r="B116">
        <v>2017</v>
      </c>
      <c r="C116">
        <v>4.0999999999999996</v>
      </c>
      <c r="D116">
        <v>3</v>
      </c>
      <c r="E116">
        <v>3.3</v>
      </c>
    </row>
    <row r="117" spans="1:5" x14ac:dyDescent="0.25">
      <c r="A117" t="s">
        <v>16</v>
      </c>
      <c r="B117">
        <v>2017</v>
      </c>
      <c r="C117">
        <v>4</v>
      </c>
      <c r="D117">
        <v>2.9</v>
      </c>
      <c r="E117">
        <v>3.2</v>
      </c>
    </row>
    <row r="118" spans="1:5" x14ac:dyDescent="0.25">
      <c r="A118" t="s">
        <v>17</v>
      </c>
      <c r="B118">
        <v>2017</v>
      </c>
      <c r="C118">
        <v>4.9000000000000004</v>
      </c>
      <c r="D118">
        <v>3.8</v>
      </c>
      <c r="E118">
        <v>4</v>
      </c>
    </row>
    <row r="119" spans="1:5" x14ac:dyDescent="0.25">
      <c r="A119" t="s">
        <v>18</v>
      </c>
      <c r="B119">
        <v>2017</v>
      </c>
      <c r="C119">
        <v>3.1</v>
      </c>
      <c r="D119">
        <v>2</v>
      </c>
      <c r="E119">
        <v>2.2999999999999998</v>
      </c>
    </row>
    <row r="120" spans="1:5" x14ac:dyDescent="0.25">
      <c r="A120" t="s">
        <v>19</v>
      </c>
      <c r="B120">
        <v>2017</v>
      </c>
      <c r="C120">
        <v>1.2</v>
      </c>
      <c r="D120">
        <v>0.1</v>
      </c>
      <c r="E120">
        <v>0.4</v>
      </c>
    </row>
    <row r="121" spans="1:5" x14ac:dyDescent="0.25">
      <c r="A121" t="s">
        <v>20</v>
      </c>
      <c r="B121">
        <v>2017</v>
      </c>
      <c r="C121">
        <v>1.8</v>
      </c>
      <c r="D121">
        <v>0.7</v>
      </c>
      <c r="E121">
        <v>0.9</v>
      </c>
    </row>
    <row r="122" spans="1:5" x14ac:dyDescent="0.25">
      <c r="A122" t="s">
        <v>21</v>
      </c>
      <c r="B122">
        <v>2017</v>
      </c>
      <c r="C122">
        <v>2.6</v>
      </c>
      <c r="D122">
        <v>1.4</v>
      </c>
      <c r="E122">
        <v>1.8</v>
      </c>
    </row>
    <row r="123" spans="1:5" x14ac:dyDescent="0.25">
      <c r="A123" t="s">
        <v>22</v>
      </c>
      <c r="B123">
        <v>2017</v>
      </c>
      <c r="C123">
        <v>2.1</v>
      </c>
      <c r="D123">
        <v>0.9</v>
      </c>
      <c r="E123">
        <v>1.4</v>
      </c>
    </row>
    <row r="124" spans="1:5" x14ac:dyDescent="0.25">
      <c r="A124" t="s">
        <v>23</v>
      </c>
      <c r="B124">
        <v>2017</v>
      </c>
      <c r="C124">
        <v>1.1000000000000001</v>
      </c>
      <c r="D124">
        <v>0</v>
      </c>
      <c r="E124">
        <v>0.3</v>
      </c>
    </row>
    <row r="125" spans="1:5" x14ac:dyDescent="0.25">
      <c r="A125" t="s">
        <v>24</v>
      </c>
      <c r="B125">
        <v>2017</v>
      </c>
      <c r="C125">
        <v>2.7</v>
      </c>
      <c r="D125">
        <v>1.5</v>
      </c>
      <c r="E125">
        <v>1.8</v>
      </c>
    </row>
    <row r="126" spans="1:5" x14ac:dyDescent="0.25">
      <c r="A126" t="s">
        <v>25</v>
      </c>
      <c r="B126">
        <v>2017</v>
      </c>
      <c r="C126">
        <v>1.9</v>
      </c>
      <c r="D126">
        <v>0.8</v>
      </c>
      <c r="E126">
        <v>1.1000000000000001</v>
      </c>
    </row>
    <row r="127" spans="1:5" x14ac:dyDescent="0.25">
      <c r="A127" t="s">
        <v>26</v>
      </c>
      <c r="B127">
        <v>2017</v>
      </c>
      <c r="C127">
        <v>4</v>
      </c>
      <c r="D127">
        <v>2.9</v>
      </c>
      <c r="E127">
        <v>3.2</v>
      </c>
    </row>
    <row r="128" spans="1:5" x14ac:dyDescent="0.25">
      <c r="A128" t="s">
        <v>27</v>
      </c>
      <c r="B128">
        <v>2017</v>
      </c>
      <c r="C128">
        <v>2.2999999999999998</v>
      </c>
      <c r="D128">
        <v>1.2</v>
      </c>
      <c r="E128">
        <v>1.4</v>
      </c>
    </row>
    <row r="129" spans="1:5" x14ac:dyDescent="0.25">
      <c r="A129" t="s">
        <v>28</v>
      </c>
      <c r="B129">
        <v>2017</v>
      </c>
      <c r="C129">
        <v>4.9000000000000004</v>
      </c>
      <c r="D129">
        <v>3.8</v>
      </c>
      <c r="E129">
        <v>4.0999999999999996</v>
      </c>
    </row>
    <row r="130" spans="1:5" x14ac:dyDescent="0.25">
      <c r="A130" t="s">
        <v>29</v>
      </c>
      <c r="B130">
        <v>2017</v>
      </c>
      <c r="C130">
        <v>3.4</v>
      </c>
      <c r="D130">
        <v>2.2000000000000002</v>
      </c>
      <c r="E130">
        <v>2.7</v>
      </c>
    </row>
    <row r="131" spans="1:5" x14ac:dyDescent="0.25">
      <c r="A131" t="s">
        <v>30</v>
      </c>
      <c r="B131">
        <v>2017</v>
      </c>
      <c r="C131">
        <v>1.2</v>
      </c>
      <c r="D131">
        <v>0.1</v>
      </c>
      <c r="E131">
        <v>0.4</v>
      </c>
    </row>
    <row r="132" spans="1:5" x14ac:dyDescent="0.25">
      <c r="A132" t="s">
        <v>31</v>
      </c>
      <c r="B132">
        <v>2017</v>
      </c>
      <c r="C132">
        <v>3.1</v>
      </c>
      <c r="D132">
        <v>2</v>
      </c>
      <c r="E132">
        <v>2.4</v>
      </c>
    </row>
    <row r="133" spans="1:5" x14ac:dyDescent="0.25">
      <c r="A133" t="s">
        <v>32</v>
      </c>
      <c r="B133">
        <v>2017</v>
      </c>
      <c r="C133">
        <v>4.2</v>
      </c>
      <c r="D133">
        <v>3.1</v>
      </c>
      <c r="E133">
        <v>3.3</v>
      </c>
    </row>
    <row r="134" spans="1:5" x14ac:dyDescent="0.25">
      <c r="A134" t="s">
        <v>33</v>
      </c>
      <c r="B134">
        <v>2017</v>
      </c>
      <c r="C134">
        <v>2.2000000000000002</v>
      </c>
      <c r="D134">
        <v>1.1000000000000001</v>
      </c>
      <c r="E134">
        <v>1.3</v>
      </c>
    </row>
    <row r="135" spans="1:5" x14ac:dyDescent="0.25">
      <c r="A135" t="s">
        <v>34</v>
      </c>
      <c r="B135">
        <v>2017</v>
      </c>
      <c r="C135">
        <v>1.4</v>
      </c>
      <c r="D135">
        <v>0.2</v>
      </c>
      <c r="E135">
        <v>0.4</v>
      </c>
    </row>
    <row r="136" spans="1:5" x14ac:dyDescent="0.25">
      <c r="A136" t="s">
        <v>35</v>
      </c>
      <c r="B136">
        <v>2017</v>
      </c>
      <c r="C136">
        <v>2.9</v>
      </c>
      <c r="D136">
        <v>1.7</v>
      </c>
      <c r="E136">
        <v>2.1</v>
      </c>
    </row>
    <row r="137" spans="1:5" x14ac:dyDescent="0.25">
      <c r="A137" t="s">
        <v>36</v>
      </c>
      <c r="B137">
        <v>2017</v>
      </c>
      <c r="C137">
        <v>1.4</v>
      </c>
      <c r="D137">
        <v>0.3</v>
      </c>
      <c r="E137">
        <v>0.6</v>
      </c>
    </row>
    <row r="138" spans="1:5" x14ac:dyDescent="0.25">
      <c r="A138" t="s">
        <v>37</v>
      </c>
      <c r="B138">
        <v>2017</v>
      </c>
      <c r="C138">
        <v>3.1</v>
      </c>
      <c r="D138">
        <v>2</v>
      </c>
      <c r="E138">
        <v>2.2999999999999998</v>
      </c>
    </row>
    <row r="139" spans="1:5" x14ac:dyDescent="0.25">
      <c r="A139" t="s">
        <v>38</v>
      </c>
      <c r="B139">
        <v>2017</v>
      </c>
      <c r="C139">
        <v>3.4</v>
      </c>
      <c r="D139">
        <v>2.2999999999999998</v>
      </c>
      <c r="E139">
        <v>2.6</v>
      </c>
    </row>
    <row r="140" spans="1:5" x14ac:dyDescent="0.25">
      <c r="A140" t="s">
        <v>39</v>
      </c>
      <c r="B140">
        <v>2017</v>
      </c>
      <c r="C140">
        <v>1.4</v>
      </c>
      <c r="D140">
        <v>0.2</v>
      </c>
      <c r="E140">
        <v>0.6</v>
      </c>
    </row>
    <row r="141" spans="1:5" x14ac:dyDescent="0.25">
      <c r="A141" t="s">
        <v>40</v>
      </c>
      <c r="B141">
        <v>2017</v>
      </c>
      <c r="C141">
        <v>4.7</v>
      </c>
      <c r="D141">
        <v>3.6</v>
      </c>
      <c r="E141">
        <v>3.8</v>
      </c>
    </row>
    <row r="142" spans="1:5" x14ac:dyDescent="0.25">
      <c r="A142" t="s">
        <v>41</v>
      </c>
      <c r="B142">
        <v>2017</v>
      </c>
      <c r="C142">
        <v>4.5</v>
      </c>
      <c r="D142">
        <v>3.4</v>
      </c>
      <c r="E142">
        <v>3.7</v>
      </c>
    </row>
    <row r="143" spans="1:5" x14ac:dyDescent="0.25">
      <c r="A143" t="s">
        <v>42</v>
      </c>
      <c r="B143">
        <v>2017</v>
      </c>
      <c r="C143">
        <v>4.8</v>
      </c>
      <c r="D143">
        <v>3.6</v>
      </c>
      <c r="E143">
        <v>4</v>
      </c>
    </row>
    <row r="144" spans="1:5" x14ac:dyDescent="0.25">
      <c r="A144" t="s">
        <v>43</v>
      </c>
      <c r="B144">
        <v>2017</v>
      </c>
      <c r="C144">
        <v>1.5</v>
      </c>
      <c r="D144">
        <v>0.3</v>
      </c>
      <c r="E144">
        <v>0.7</v>
      </c>
    </row>
    <row r="145" spans="1:5" x14ac:dyDescent="0.25">
      <c r="A145" t="s">
        <v>44</v>
      </c>
      <c r="B145">
        <v>2017</v>
      </c>
      <c r="C145">
        <v>2.4</v>
      </c>
      <c r="D145">
        <v>1.3</v>
      </c>
      <c r="E145">
        <v>1.6</v>
      </c>
    </row>
    <row r="146" spans="1:5" x14ac:dyDescent="0.25">
      <c r="A146" t="s">
        <v>45</v>
      </c>
      <c r="B146">
        <v>2017</v>
      </c>
      <c r="C146">
        <v>4.2</v>
      </c>
      <c r="D146">
        <v>3.1</v>
      </c>
      <c r="E146">
        <v>3.5</v>
      </c>
    </row>
    <row r="147" spans="1:5" x14ac:dyDescent="0.25">
      <c r="A147" t="s">
        <v>46</v>
      </c>
      <c r="B147">
        <v>2017</v>
      </c>
      <c r="C147">
        <v>1.5</v>
      </c>
      <c r="D147">
        <v>0.4</v>
      </c>
      <c r="E147">
        <v>0.7</v>
      </c>
    </row>
    <row r="148" spans="1:5" x14ac:dyDescent="0.25">
      <c r="A148" t="s">
        <v>47</v>
      </c>
      <c r="B148">
        <v>2017</v>
      </c>
      <c r="C148">
        <v>2.2999999999999998</v>
      </c>
      <c r="D148">
        <v>1.2</v>
      </c>
      <c r="E148">
        <v>1.5</v>
      </c>
    </row>
    <row r="149" spans="1:5" x14ac:dyDescent="0.25">
      <c r="A149" t="s">
        <v>48</v>
      </c>
      <c r="B149">
        <v>2017</v>
      </c>
      <c r="C149">
        <v>2.1</v>
      </c>
      <c r="D149">
        <v>1</v>
      </c>
      <c r="E149">
        <v>1.3</v>
      </c>
    </row>
    <row r="150" spans="1:5" x14ac:dyDescent="0.25">
      <c r="A150" t="s">
        <v>49</v>
      </c>
      <c r="B150">
        <v>2017</v>
      </c>
      <c r="C150">
        <v>1.5</v>
      </c>
      <c r="D150">
        <v>0.4</v>
      </c>
      <c r="E150">
        <v>0.8</v>
      </c>
    </row>
    <row r="151" spans="1:5" x14ac:dyDescent="0.25">
      <c r="A151" t="s">
        <v>50</v>
      </c>
      <c r="B151">
        <v>2017</v>
      </c>
      <c r="C151">
        <v>1.5</v>
      </c>
      <c r="D151">
        <v>0.4</v>
      </c>
      <c r="E151">
        <v>0.8</v>
      </c>
    </row>
    <row r="152" spans="1:5" x14ac:dyDescent="0.25">
      <c r="A152" t="s">
        <v>51</v>
      </c>
      <c r="B152">
        <v>2017</v>
      </c>
      <c r="C152">
        <v>1.2</v>
      </c>
      <c r="D152">
        <v>0.1</v>
      </c>
      <c r="E152">
        <v>0.4</v>
      </c>
    </row>
    <row r="153" spans="1:5" x14ac:dyDescent="0.25">
      <c r="A153" t="s">
        <v>52</v>
      </c>
      <c r="B153">
        <v>2017</v>
      </c>
      <c r="C153">
        <v>3.5</v>
      </c>
      <c r="D153">
        <v>2.4</v>
      </c>
      <c r="E153">
        <v>2.8</v>
      </c>
    </row>
    <row r="154" spans="1:5" x14ac:dyDescent="0.25">
      <c r="A154" t="s">
        <v>53</v>
      </c>
      <c r="B154">
        <v>2017</v>
      </c>
      <c r="C154">
        <v>4.3</v>
      </c>
      <c r="D154">
        <v>3.2</v>
      </c>
      <c r="E154">
        <v>3.6</v>
      </c>
    </row>
    <row r="155" spans="1:5" x14ac:dyDescent="0.25">
      <c r="A155" t="s">
        <v>54</v>
      </c>
      <c r="B155">
        <v>2017</v>
      </c>
      <c r="C155">
        <v>2.7</v>
      </c>
      <c r="D155">
        <v>1.6</v>
      </c>
      <c r="E155">
        <v>1.8</v>
      </c>
    </row>
    <row r="156" spans="1:5" x14ac:dyDescent="0.25">
      <c r="A156" t="s">
        <v>55</v>
      </c>
      <c r="B156">
        <v>2017</v>
      </c>
      <c r="C156">
        <v>2.9</v>
      </c>
      <c r="D156">
        <v>1.8</v>
      </c>
      <c r="E156">
        <v>2.2000000000000002</v>
      </c>
    </row>
    <row r="157" spans="1:5" x14ac:dyDescent="0.25">
      <c r="A157" t="s">
        <v>56</v>
      </c>
      <c r="B157">
        <v>2017</v>
      </c>
      <c r="C157">
        <v>2.8</v>
      </c>
      <c r="D157">
        <v>1.7</v>
      </c>
      <c r="E157">
        <v>2.1</v>
      </c>
    </row>
    <row r="158" spans="1:5" x14ac:dyDescent="0.25">
      <c r="A158" t="s">
        <v>57</v>
      </c>
      <c r="B158">
        <v>2017</v>
      </c>
      <c r="C158">
        <v>4.9000000000000004</v>
      </c>
      <c r="D158">
        <v>3.8</v>
      </c>
      <c r="E158">
        <v>4.0999999999999996</v>
      </c>
    </row>
    <row r="159" spans="1:5" x14ac:dyDescent="0.25">
      <c r="A159" t="s">
        <v>8</v>
      </c>
      <c r="B159">
        <v>2018</v>
      </c>
      <c r="C159">
        <v>10.199999999999999</v>
      </c>
      <c r="D159">
        <v>7.3</v>
      </c>
      <c r="E159">
        <v>8.3000000000000007</v>
      </c>
    </row>
    <row r="160" spans="1:5" x14ac:dyDescent="0.25">
      <c r="A160" t="s">
        <v>9</v>
      </c>
      <c r="B160">
        <v>2018</v>
      </c>
      <c r="C160">
        <v>8.3000000000000007</v>
      </c>
      <c r="D160">
        <v>5.4</v>
      </c>
      <c r="E160">
        <v>6.1</v>
      </c>
    </row>
    <row r="161" spans="1:5" x14ac:dyDescent="0.25">
      <c r="A161" t="s">
        <v>10</v>
      </c>
      <c r="B161">
        <v>2018</v>
      </c>
      <c r="C161">
        <v>10.1</v>
      </c>
      <c r="D161">
        <v>7.2</v>
      </c>
      <c r="E161">
        <v>7.8</v>
      </c>
    </row>
    <row r="162" spans="1:5" x14ac:dyDescent="0.25">
      <c r="A162" t="s">
        <v>11</v>
      </c>
      <c r="B162">
        <v>2018</v>
      </c>
      <c r="C162">
        <v>8.6</v>
      </c>
      <c r="D162">
        <v>5.7</v>
      </c>
      <c r="E162">
        <v>6.4</v>
      </c>
    </row>
    <row r="163" spans="1:5" x14ac:dyDescent="0.25">
      <c r="A163" t="s">
        <v>12</v>
      </c>
      <c r="B163">
        <v>2018</v>
      </c>
      <c r="C163">
        <v>10.1</v>
      </c>
      <c r="D163">
        <v>7.2</v>
      </c>
      <c r="E163">
        <v>8.1999999999999993</v>
      </c>
    </row>
    <row r="164" spans="1:5" x14ac:dyDescent="0.25">
      <c r="A164" t="s">
        <v>13</v>
      </c>
      <c r="B164">
        <v>2018</v>
      </c>
      <c r="C164">
        <v>10.6</v>
      </c>
      <c r="D164">
        <v>7.7</v>
      </c>
      <c r="E164">
        <v>8.8000000000000007</v>
      </c>
    </row>
    <row r="165" spans="1:5" x14ac:dyDescent="0.25">
      <c r="A165" t="s">
        <v>14</v>
      </c>
      <c r="B165">
        <v>2018</v>
      </c>
      <c r="C165">
        <v>9.4</v>
      </c>
      <c r="D165">
        <v>6.5</v>
      </c>
      <c r="E165">
        <v>7.2</v>
      </c>
    </row>
    <row r="166" spans="1:5" x14ac:dyDescent="0.25">
      <c r="A166" t="s">
        <v>15</v>
      </c>
      <c r="B166">
        <v>2018</v>
      </c>
      <c r="C166">
        <v>10.1</v>
      </c>
      <c r="D166">
        <v>7.2</v>
      </c>
      <c r="E166">
        <v>8.1999999999999993</v>
      </c>
    </row>
    <row r="167" spans="1:5" x14ac:dyDescent="0.25">
      <c r="A167" t="s">
        <v>16</v>
      </c>
      <c r="B167">
        <v>2018</v>
      </c>
      <c r="C167">
        <v>11.1</v>
      </c>
      <c r="D167">
        <v>8.1999999999999993</v>
      </c>
      <c r="E167">
        <v>9.3000000000000007</v>
      </c>
    </row>
    <row r="168" spans="1:5" x14ac:dyDescent="0.25">
      <c r="A168" t="s">
        <v>17</v>
      </c>
      <c r="B168">
        <v>2018</v>
      </c>
      <c r="C168">
        <v>10.8</v>
      </c>
      <c r="D168">
        <v>7.9</v>
      </c>
      <c r="E168">
        <v>8.6</v>
      </c>
    </row>
    <row r="169" spans="1:5" x14ac:dyDescent="0.25">
      <c r="A169" t="s">
        <v>18</v>
      </c>
      <c r="B169">
        <v>2018</v>
      </c>
      <c r="C169">
        <v>11.3</v>
      </c>
      <c r="D169">
        <v>8.4</v>
      </c>
      <c r="E169">
        <v>9.4</v>
      </c>
    </row>
    <row r="170" spans="1:5" x14ac:dyDescent="0.25">
      <c r="A170" t="s">
        <v>19</v>
      </c>
      <c r="B170">
        <v>2018</v>
      </c>
      <c r="C170">
        <v>8.3000000000000007</v>
      </c>
      <c r="D170">
        <v>5.4</v>
      </c>
      <c r="E170">
        <v>6.3</v>
      </c>
    </row>
    <row r="171" spans="1:5" x14ac:dyDescent="0.25">
      <c r="A171" t="s">
        <v>20</v>
      </c>
      <c r="B171">
        <v>2018</v>
      </c>
      <c r="C171">
        <v>7.4</v>
      </c>
      <c r="D171">
        <v>4.5</v>
      </c>
      <c r="E171">
        <v>5.2</v>
      </c>
    </row>
    <row r="172" spans="1:5" x14ac:dyDescent="0.25">
      <c r="A172" t="s">
        <v>21</v>
      </c>
      <c r="B172">
        <v>2018</v>
      </c>
      <c r="C172">
        <v>9.6999999999999993</v>
      </c>
      <c r="D172">
        <v>6.8</v>
      </c>
      <c r="E172">
        <v>7.8</v>
      </c>
    </row>
    <row r="173" spans="1:5" x14ac:dyDescent="0.25">
      <c r="A173" t="s">
        <v>22</v>
      </c>
      <c r="B173">
        <v>2018</v>
      </c>
      <c r="C173">
        <v>8.1999999999999993</v>
      </c>
      <c r="D173">
        <v>5.3</v>
      </c>
      <c r="E173">
        <v>6.4</v>
      </c>
    </row>
    <row r="174" spans="1:5" x14ac:dyDescent="0.25">
      <c r="A174" t="s">
        <v>23</v>
      </c>
      <c r="B174">
        <v>2018</v>
      </c>
      <c r="C174">
        <v>10.3</v>
      </c>
      <c r="D174">
        <v>7.4</v>
      </c>
      <c r="E174">
        <v>8.1</v>
      </c>
    </row>
    <row r="175" spans="1:5" x14ac:dyDescent="0.25">
      <c r="A175" t="s">
        <v>24</v>
      </c>
      <c r="B175">
        <v>2018</v>
      </c>
      <c r="C175">
        <v>9.3000000000000007</v>
      </c>
      <c r="D175">
        <v>6.4</v>
      </c>
      <c r="E175">
        <v>7.5</v>
      </c>
    </row>
    <row r="176" spans="1:5" x14ac:dyDescent="0.25">
      <c r="A176" t="s">
        <v>25</v>
      </c>
      <c r="B176">
        <v>2018</v>
      </c>
      <c r="C176">
        <v>7.4</v>
      </c>
      <c r="D176">
        <v>4.5</v>
      </c>
      <c r="E176">
        <v>5.2</v>
      </c>
    </row>
    <row r="177" spans="1:5" x14ac:dyDescent="0.25">
      <c r="A177" t="s">
        <v>26</v>
      </c>
      <c r="B177">
        <v>2018</v>
      </c>
      <c r="C177">
        <v>7.4</v>
      </c>
      <c r="D177">
        <v>4.5</v>
      </c>
      <c r="E177">
        <v>5.2</v>
      </c>
    </row>
    <row r="178" spans="1:5" x14ac:dyDescent="0.25">
      <c r="A178" t="s">
        <v>27</v>
      </c>
      <c r="B178">
        <v>2018</v>
      </c>
      <c r="C178">
        <v>8</v>
      </c>
      <c r="D178">
        <v>5.0999999999999996</v>
      </c>
      <c r="E178">
        <v>6.2</v>
      </c>
    </row>
    <row r="179" spans="1:5" x14ac:dyDescent="0.25">
      <c r="A179" t="s">
        <v>28</v>
      </c>
      <c r="B179">
        <v>2018</v>
      </c>
      <c r="C179">
        <v>8</v>
      </c>
      <c r="D179">
        <v>5.0999999999999996</v>
      </c>
      <c r="E179">
        <v>6.1</v>
      </c>
    </row>
    <row r="180" spans="1:5" x14ac:dyDescent="0.25">
      <c r="A180" t="s">
        <v>29</v>
      </c>
      <c r="B180">
        <v>2018</v>
      </c>
      <c r="C180">
        <v>9.3000000000000007</v>
      </c>
      <c r="D180">
        <v>6.4</v>
      </c>
      <c r="E180">
        <v>7</v>
      </c>
    </row>
    <row r="181" spans="1:5" x14ac:dyDescent="0.25">
      <c r="A181" t="s">
        <v>30</v>
      </c>
      <c r="B181">
        <v>2018</v>
      </c>
      <c r="C181">
        <v>10.1</v>
      </c>
      <c r="D181">
        <v>7.2</v>
      </c>
      <c r="E181">
        <v>8</v>
      </c>
    </row>
    <row r="182" spans="1:5" x14ac:dyDescent="0.25">
      <c r="A182" t="s">
        <v>31</v>
      </c>
      <c r="B182">
        <v>2018</v>
      </c>
      <c r="C182">
        <v>9.5</v>
      </c>
      <c r="D182">
        <v>6.6</v>
      </c>
      <c r="E182">
        <v>7.4</v>
      </c>
    </row>
    <row r="183" spans="1:5" x14ac:dyDescent="0.25">
      <c r="A183" t="s">
        <v>32</v>
      </c>
      <c r="B183">
        <v>2018</v>
      </c>
      <c r="C183">
        <v>10</v>
      </c>
      <c r="D183">
        <v>7.1</v>
      </c>
      <c r="E183">
        <v>8</v>
      </c>
    </row>
    <row r="184" spans="1:5" x14ac:dyDescent="0.25">
      <c r="A184" t="s">
        <v>33</v>
      </c>
      <c r="B184">
        <v>2018</v>
      </c>
      <c r="C184">
        <v>11.3</v>
      </c>
      <c r="D184">
        <v>8.4</v>
      </c>
      <c r="E184">
        <v>9</v>
      </c>
    </row>
    <row r="185" spans="1:5" x14ac:dyDescent="0.25">
      <c r="A185" t="s">
        <v>34</v>
      </c>
      <c r="B185">
        <v>2018</v>
      </c>
      <c r="C185">
        <v>9.6999999999999993</v>
      </c>
      <c r="D185">
        <v>6.8</v>
      </c>
      <c r="E185">
        <v>7.9</v>
      </c>
    </row>
    <row r="186" spans="1:5" x14ac:dyDescent="0.25">
      <c r="A186" t="s">
        <v>35</v>
      </c>
      <c r="B186">
        <v>2018</v>
      </c>
      <c r="C186">
        <v>8.8000000000000007</v>
      </c>
      <c r="D186">
        <v>5.9</v>
      </c>
      <c r="E186">
        <v>7</v>
      </c>
    </row>
    <row r="187" spans="1:5" x14ac:dyDescent="0.25">
      <c r="A187" t="s">
        <v>36</v>
      </c>
      <c r="B187">
        <v>2018</v>
      </c>
      <c r="C187">
        <v>11</v>
      </c>
      <c r="D187">
        <v>8.1</v>
      </c>
      <c r="E187">
        <v>8.9</v>
      </c>
    </row>
    <row r="188" spans="1:5" x14ac:dyDescent="0.25">
      <c r="A188" t="s">
        <v>37</v>
      </c>
      <c r="B188">
        <v>2018</v>
      </c>
      <c r="C188">
        <v>10.1</v>
      </c>
      <c r="D188">
        <v>7.3</v>
      </c>
      <c r="E188">
        <v>8.1</v>
      </c>
    </row>
    <row r="189" spans="1:5" x14ac:dyDescent="0.25">
      <c r="A189" t="s">
        <v>38</v>
      </c>
      <c r="B189">
        <v>2018</v>
      </c>
      <c r="C189">
        <v>8.5</v>
      </c>
      <c r="D189">
        <v>5.6</v>
      </c>
      <c r="E189">
        <v>6.6</v>
      </c>
    </row>
    <row r="190" spans="1:5" x14ac:dyDescent="0.25">
      <c r="A190" t="s">
        <v>39</v>
      </c>
      <c r="B190">
        <v>2018</v>
      </c>
      <c r="C190">
        <v>8.4</v>
      </c>
      <c r="D190">
        <v>5.5</v>
      </c>
      <c r="E190">
        <v>6.6</v>
      </c>
    </row>
    <row r="191" spans="1:5" x14ac:dyDescent="0.25">
      <c r="A191" t="s">
        <v>40</v>
      </c>
      <c r="B191">
        <v>2018</v>
      </c>
      <c r="C191">
        <v>8.3000000000000007</v>
      </c>
      <c r="D191">
        <v>5.4</v>
      </c>
      <c r="E191">
        <v>6.1</v>
      </c>
    </row>
    <row r="192" spans="1:5" x14ac:dyDescent="0.25">
      <c r="A192" t="s">
        <v>41</v>
      </c>
      <c r="B192">
        <v>2018</v>
      </c>
      <c r="C192">
        <v>9.6999999999999993</v>
      </c>
      <c r="D192">
        <v>6.8</v>
      </c>
      <c r="E192">
        <v>7.8</v>
      </c>
    </row>
    <row r="193" spans="1:5" x14ac:dyDescent="0.25">
      <c r="A193" t="s">
        <v>42</v>
      </c>
      <c r="B193">
        <v>2018</v>
      </c>
      <c r="C193">
        <v>10.6</v>
      </c>
      <c r="D193">
        <v>7.7</v>
      </c>
      <c r="E193">
        <v>8.6999999999999993</v>
      </c>
    </row>
    <row r="194" spans="1:5" x14ac:dyDescent="0.25">
      <c r="A194" t="s">
        <v>43</v>
      </c>
      <c r="B194">
        <v>2018</v>
      </c>
      <c r="C194">
        <v>11</v>
      </c>
      <c r="D194">
        <v>8.1</v>
      </c>
      <c r="E194">
        <v>9</v>
      </c>
    </row>
    <row r="195" spans="1:5" x14ac:dyDescent="0.25">
      <c r="A195" t="s">
        <v>44</v>
      </c>
      <c r="B195">
        <v>2018</v>
      </c>
      <c r="C195">
        <v>9.1999999999999993</v>
      </c>
      <c r="D195">
        <v>6.3</v>
      </c>
      <c r="E195">
        <v>7.2</v>
      </c>
    </row>
    <row r="196" spans="1:5" x14ac:dyDescent="0.25">
      <c r="A196" t="s">
        <v>45</v>
      </c>
      <c r="B196">
        <v>2018</v>
      </c>
      <c r="C196">
        <v>7.4</v>
      </c>
      <c r="D196">
        <v>4.5</v>
      </c>
      <c r="E196">
        <v>5.4</v>
      </c>
    </row>
    <row r="197" spans="1:5" x14ac:dyDescent="0.25">
      <c r="A197" t="s">
        <v>46</v>
      </c>
      <c r="B197">
        <v>2018</v>
      </c>
      <c r="C197">
        <v>10.1</v>
      </c>
      <c r="D197">
        <v>7.2</v>
      </c>
      <c r="E197">
        <v>7.9</v>
      </c>
    </row>
    <row r="198" spans="1:5" x14ac:dyDescent="0.25">
      <c r="A198" t="s">
        <v>47</v>
      </c>
      <c r="B198">
        <v>2018</v>
      </c>
      <c r="C198">
        <v>7.9</v>
      </c>
      <c r="D198">
        <v>5</v>
      </c>
      <c r="E198">
        <v>6</v>
      </c>
    </row>
    <row r="199" spans="1:5" x14ac:dyDescent="0.25">
      <c r="A199" t="s">
        <v>48</v>
      </c>
      <c r="B199">
        <v>2018</v>
      </c>
      <c r="C199">
        <v>10.6</v>
      </c>
      <c r="D199">
        <v>7.7</v>
      </c>
      <c r="E199">
        <v>8.8000000000000007</v>
      </c>
    </row>
    <row r="200" spans="1:5" x14ac:dyDescent="0.25">
      <c r="A200" t="s">
        <v>49</v>
      </c>
      <c r="B200">
        <v>2018</v>
      </c>
      <c r="C200">
        <v>7.4</v>
      </c>
      <c r="D200">
        <v>4.5</v>
      </c>
      <c r="E200">
        <v>5.0999999999999996</v>
      </c>
    </row>
    <row r="201" spans="1:5" x14ac:dyDescent="0.25">
      <c r="A201" t="s">
        <v>50</v>
      </c>
      <c r="B201">
        <v>2018</v>
      </c>
      <c r="C201">
        <v>8.8000000000000007</v>
      </c>
      <c r="D201">
        <v>5.9</v>
      </c>
      <c r="E201">
        <v>7</v>
      </c>
    </row>
    <row r="202" spans="1:5" x14ac:dyDescent="0.25">
      <c r="A202" t="s">
        <v>51</v>
      </c>
      <c r="B202">
        <v>2018</v>
      </c>
      <c r="C202">
        <v>9.8000000000000007</v>
      </c>
      <c r="D202">
        <v>6.9</v>
      </c>
      <c r="E202">
        <v>8</v>
      </c>
    </row>
    <row r="203" spans="1:5" x14ac:dyDescent="0.25">
      <c r="A203" t="s">
        <v>52</v>
      </c>
      <c r="B203">
        <v>2018</v>
      </c>
      <c r="C203">
        <v>8</v>
      </c>
      <c r="D203">
        <v>5.0999999999999996</v>
      </c>
      <c r="E203">
        <v>5.7</v>
      </c>
    </row>
    <row r="204" spans="1:5" x14ac:dyDescent="0.25">
      <c r="A204" t="s">
        <v>53</v>
      </c>
      <c r="B204">
        <v>2018</v>
      </c>
      <c r="C204">
        <v>8.6999999999999993</v>
      </c>
      <c r="D204">
        <v>5.8</v>
      </c>
      <c r="E204">
        <v>6.6</v>
      </c>
    </row>
    <row r="205" spans="1:5" x14ac:dyDescent="0.25">
      <c r="A205" t="s">
        <v>54</v>
      </c>
      <c r="B205">
        <v>2018</v>
      </c>
      <c r="C205">
        <v>8.9</v>
      </c>
      <c r="D205">
        <v>6</v>
      </c>
      <c r="E205">
        <v>7</v>
      </c>
    </row>
    <row r="206" spans="1:5" x14ac:dyDescent="0.25">
      <c r="A206" t="s">
        <v>55</v>
      </c>
      <c r="B206">
        <v>2018</v>
      </c>
      <c r="C206">
        <v>10.3</v>
      </c>
      <c r="D206">
        <v>7.4</v>
      </c>
      <c r="E206">
        <v>8.1999999999999993</v>
      </c>
    </row>
    <row r="207" spans="1:5" x14ac:dyDescent="0.25">
      <c r="A207" t="s">
        <v>56</v>
      </c>
      <c r="B207">
        <v>2018</v>
      </c>
      <c r="C207">
        <v>7.8</v>
      </c>
      <c r="D207">
        <v>4.9000000000000004</v>
      </c>
      <c r="E207">
        <v>5.5</v>
      </c>
    </row>
    <row r="208" spans="1:5" x14ac:dyDescent="0.25">
      <c r="A208" t="s">
        <v>57</v>
      </c>
      <c r="B208">
        <v>2018</v>
      </c>
      <c r="C208">
        <v>7.3</v>
      </c>
      <c r="D208">
        <v>4.4000000000000004</v>
      </c>
      <c r="E208">
        <v>5.3</v>
      </c>
    </row>
    <row r="209" spans="1:5" x14ac:dyDescent="0.25">
      <c r="A209" t="s">
        <v>8</v>
      </c>
      <c r="B209">
        <v>2019</v>
      </c>
      <c r="C209">
        <v>4.0999999999999996</v>
      </c>
      <c r="D209">
        <v>2.5</v>
      </c>
      <c r="E209">
        <v>3.1</v>
      </c>
    </row>
    <row r="210" spans="1:5" x14ac:dyDescent="0.25">
      <c r="A210" t="s">
        <v>9</v>
      </c>
      <c r="B210">
        <v>2019</v>
      </c>
      <c r="C210">
        <v>3.7</v>
      </c>
      <c r="D210">
        <v>2.1</v>
      </c>
      <c r="E210">
        <v>2.6</v>
      </c>
    </row>
    <row r="211" spans="1:5" x14ac:dyDescent="0.25">
      <c r="A211" t="s">
        <v>10</v>
      </c>
      <c r="B211">
        <v>2019</v>
      </c>
      <c r="C211">
        <v>5.4</v>
      </c>
      <c r="D211">
        <v>3.8</v>
      </c>
      <c r="E211">
        <v>4.4000000000000004</v>
      </c>
    </row>
    <row r="212" spans="1:5" x14ac:dyDescent="0.25">
      <c r="A212" t="s">
        <v>11</v>
      </c>
      <c r="B212">
        <v>2019</v>
      </c>
      <c r="C212">
        <v>4.9000000000000004</v>
      </c>
      <c r="D212">
        <v>3.3</v>
      </c>
      <c r="E212">
        <v>3.8</v>
      </c>
    </row>
    <row r="213" spans="1:5" x14ac:dyDescent="0.25">
      <c r="A213" t="s">
        <v>12</v>
      </c>
      <c r="B213">
        <v>2019</v>
      </c>
      <c r="C213">
        <v>5.3</v>
      </c>
      <c r="D213">
        <v>3.7</v>
      </c>
      <c r="E213">
        <v>4.0999999999999996</v>
      </c>
    </row>
    <row r="214" spans="1:5" x14ac:dyDescent="0.25">
      <c r="A214" t="s">
        <v>13</v>
      </c>
      <c r="B214">
        <v>2019</v>
      </c>
      <c r="C214">
        <v>3.8</v>
      </c>
      <c r="D214">
        <v>2.2999999999999998</v>
      </c>
      <c r="E214">
        <v>2.7</v>
      </c>
    </row>
    <row r="215" spans="1:5" x14ac:dyDescent="0.25">
      <c r="A215" t="s">
        <v>14</v>
      </c>
      <c r="B215">
        <v>2019</v>
      </c>
      <c r="C215">
        <v>6.6</v>
      </c>
      <c r="D215">
        <v>5</v>
      </c>
      <c r="E215">
        <v>5.3</v>
      </c>
    </row>
    <row r="216" spans="1:5" x14ac:dyDescent="0.25">
      <c r="A216" t="s">
        <v>15</v>
      </c>
      <c r="B216">
        <v>2019</v>
      </c>
      <c r="C216">
        <v>6.1</v>
      </c>
      <c r="D216">
        <v>4.5</v>
      </c>
      <c r="E216">
        <v>4.8</v>
      </c>
    </row>
    <row r="217" spans="1:5" x14ac:dyDescent="0.25">
      <c r="A217" t="s">
        <v>16</v>
      </c>
      <c r="B217">
        <v>2019</v>
      </c>
      <c r="C217">
        <v>4</v>
      </c>
      <c r="D217">
        <v>2.4</v>
      </c>
      <c r="E217">
        <v>2.8</v>
      </c>
    </row>
    <row r="218" spans="1:5" x14ac:dyDescent="0.25">
      <c r="A218" t="s">
        <v>17</v>
      </c>
      <c r="B218">
        <v>2019</v>
      </c>
      <c r="C218">
        <v>4.0999999999999996</v>
      </c>
      <c r="D218">
        <v>2.5</v>
      </c>
      <c r="E218">
        <v>3.1</v>
      </c>
    </row>
    <row r="219" spans="1:5" x14ac:dyDescent="0.25">
      <c r="A219" t="s">
        <v>18</v>
      </c>
      <c r="B219">
        <v>2019</v>
      </c>
      <c r="C219">
        <v>5.9</v>
      </c>
      <c r="D219">
        <v>4.3</v>
      </c>
      <c r="E219">
        <v>4.7</v>
      </c>
    </row>
    <row r="220" spans="1:5" x14ac:dyDescent="0.25">
      <c r="A220" t="s">
        <v>19</v>
      </c>
      <c r="B220">
        <v>2019</v>
      </c>
      <c r="C220">
        <v>3.4</v>
      </c>
      <c r="D220">
        <v>1.9</v>
      </c>
      <c r="E220">
        <v>2.4</v>
      </c>
    </row>
    <row r="221" spans="1:5" x14ac:dyDescent="0.25">
      <c r="A221" t="s">
        <v>20</v>
      </c>
      <c r="B221">
        <v>2019</v>
      </c>
      <c r="C221">
        <v>3.2</v>
      </c>
      <c r="D221">
        <v>1.6</v>
      </c>
      <c r="E221">
        <v>2.1</v>
      </c>
    </row>
    <row r="222" spans="1:5" x14ac:dyDescent="0.25">
      <c r="A222" t="s">
        <v>21</v>
      </c>
      <c r="B222">
        <v>2019</v>
      </c>
      <c r="C222">
        <v>5.5</v>
      </c>
      <c r="D222">
        <v>3.9</v>
      </c>
      <c r="E222">
        <v>4.4000000000000004</v>
      </c>
    </row>
    <row r="223" spans="1:5" x14ac:dyDescent="0.25">
      <c r="A223" t="s">
        <v>22</v>
      </c>
      <c r="B223">
        <v>2019</v>
      </c>
      <c r="C223">
        <v>6.7</v>
      </c>
      <c r="D223">
        <v>5.0999999999999996</v>
      </c>
      <c r="E223">
        <v>5.4</v>
      </c>
    </row>
    <row r="224" spans="1:5" x14ac:dyDescent="0.25">
      <c r="A224" t="s">
        <v>23</v>
      </c>
      <c r="B224">
        <v>2019</v>
      </c>
      <c r="C224">
        <v>5.8</v>
      </c>
      <c r="D224">
        <v>4.3</v>
      </c>
      <c r="E224">
        <v>4.7</v>
      </c>
    </row>
    <row r="225" spans="1:5" x14ac:dyDescent="0.25">
      <c r="A225" t="s">
        <v>24</v>
      </c>
      <c r="B225">
        <v>2019</v>
      </c>
      <c r="C225">
        <v>6.7</v>
      </c>
      <c r="D225">
        <v>5.2</v>
      </c>
      <c r="E225">
        <v>5.8</v>
      </c>
    </row>
    <row r="226" spans="1:5" x14ac:dyDescent="0.25">
      <c r="A226" t="s">
        <v>25</v>
      </c>
      <c r="B226">
        <v>2019</v>
      </c>
      <c r="C226">
        <v>5.3</v>
      </c>
      <c r="D226">
        <v>3.7</v>
      </c>
      <c r="E226">
        <v>4.3</v>
      </c>
    </row>
    <row r="227" spans="1:5" x14ac:dyDescent="0.25">
      <c r="A227" t="s">
        <v>26</v>
      </c>
      <c r="B227">
        <v>2019</v>
      </c>
      <c r="C227">
        <v>5.5</v>
      </c>
      <c r="D227">
        <v>3.9</v>
      </c>
      <c r="E227">
        <v>4.5</v>
      </c>
    </row>
    <row r="228" spans="1:5" x14ac:dyDescent="0.25">
      <c r="A228" t="s">
        <v>27</v>
      </c>
      <c r="B228">
        <v>2019</v>
      </c>
      <c r="C228">
        <v>5</v>
      </c>
      <c r="D228">
        <v>3.4</v>
      </c>
      <c r="E228">
        <v>3.8</v>
      </c>
    </row>
    <row r="229" spans="1:5" x14ac:dyDescent="0.25">
      <c r="A229" t="s">
        <v>28</v>
      </c>
      <c r="B229">
        <v>2019</v>
      </c>
      <c r="C229">
        <v>4.0999999999999996</v>
      </c>
      <c r="D229">
        <v>2.5</v>
      </c>
      <c r="E229">
        <v>2.9</v>
      </c>
    </row>
    <row r="230" spans="1:5" x14ac:dyDescent="0.25">
      <c r="A230" t="s">
        <v>29</v>
      </c>
      <c r="B230">
        <v>2019</v>
      </c>
      <c r="C230">
        <v>6.3</v>
      </c>
      <c r="D230">
        <v>4.7</v>
      </c>
      <c r="E230">
        <v>5.3</v>
      </c>
    </row>
    <row r="231" spans="1:5" x14ac:dyDescent="0.25">
      <c r="A231" t="s">
        <v>30</v>
      </c>
      <c r="B231">
        <v>2019</v>
      </c>
      <c r="C231">
        <v>4.8</v>
      </c>
      <c r="D231">
        <v>3.2</v>
      </c>
      <c r="E231">
        <v>3.6</v>
      </c>
    </row>
    <row r="232" spans="1:5" x14ac:dyDescent="0.25">
      <c r="A232" t="s">
        <v>31</v>
      </c>
      <c r="B232">
        <v>2019</v>
      </c>
      <c r="C232">
        <v>6.6</v>
      </c>
      <c r="D232">
        <v>5.0999999999999996</v>
      </c>
      <c r="E232">
        <v>5.7</v>
      </c>
    </row>
    <row r="233" spans="1:5" x14ac:dyDescent="0.25">
      <c r="A233" t="s">
        <v>32</v>
      </c>
      <c r="B233">
        <v>2019</v>
      </c>
      <c r="C233">
        <v>6.1</v>
      </c>
      <c r="D233">
        <v>4.5</v>
      </c>
      <c r="E233">
        <v>4.9000000000000004</v>
      </c>
    </row>
    <row r="234" spans="1:5" x14ac:dyDescent="0.25">
      <c r="A234" t="s">
        <v>33</v>
      </c>
      <c r="B234">
        <v>2019</v>
      </c>
      <c r="C234">
        <v>3.4</v>
      </c>
      <c r="D234">
        <v>1.8</v>
      </c>
      <c r="E234">
        <v>2.2999999999999998</v>
      </c>
    </row>
    <row r="235" spans="1:5" x14ac:dyDescent="0.25">
      <c r="A235" t="s">
        <v>34</v>
      </c>
      <c r="B235">
        <v>2019</v>
      </c>
      <c r="C235">
        <v>3.4</v>
      </c>
      <c r="D235">
        <v>1.8</v>
      </c>
      <c r="E235">
        <v>2.2000000000000002</v>
      </c>
    </row>
    <row r="236" spans="1:5" x14ac:dyDescent="0.25">
      <c r="A236" t="s">
        <v>35</v>
      </c>
      <c r="B236">
        <v>2019</v>
      </c>
      <c r="C236">
        <v>5.6</v>
      </c>
      <c r="D236">
        <v>4</v>
      </c>
      <c r="E236">
        <v>4.4000000000000004</v>
      </c>
    </row>
    <row r="237" spans="1:5" x14ac:dyDescent="0.25">
      <c r="A237" t="s">
        <v>36</v>
      </c>
      <c r="B237">
        <v>2019</v>
      </c>
      <c r="C237">
        <v>3.4</v>
      </c>
      <c r="D237">
        <v>1.8</v>
      </c>
      <c r="E237">
        <v>2.2999999999999998</v>
      </c>
    </row>
    <row r="238" spans="1:5" x14ac:dyDescent="0.25">
      <c r="A238" t="s">
        <v>37</v>
      </c>
      <c r="B238">
        <v>2019</v>
      </c>
      <c r="C238">
        <v>6.5</v>
      </c>
      <c r="D238">
        <v>4.9000000000000004</v>
      </c>
      <c r="E238">
        <v>5.5</v>
      </c>
    </row>
    <row r="239" spans="1:5" x14ac:dyDescent="0.25">
      <c r="A239" t="s">
        <v>38</v>
      </c>
      <c r="B239">
        <v>2019</v>
      </c>
      <c r="C239">
        <v>6</v>
      </c>
      <c r="D239">
        <v>4.4000000000000004</v>
      </c>
      <c r="E239">
        <v>5</v>
      </c>
    </row>
    <row r="240" spans="1:5" x14ac:dyDescent="0.25">
      <c r="A240" t="s">
        <v>39</v>
      </c>
      <c r="B240">
        <v>2019</v>
      </c>
      <c r="C240">
        <v>4.7</v>
      </c>
      <c r="D240">
        <v>3.1</v>
      </c>
      <c r="E240">
        <v>3.6</v>
      </c>
    </row>
    <row r="241" spans="1:5" x14ac:dyDescent="0.25">
      <c r="A241" t="s">
        <v>40</v>
      </c>
      <c r="B241">
        <v>2019</v>
      </c>
      <c r="C241">
        <v>4.4000000000000004</v>
      </c>
      <c r="D241">
        <v>2.8</v>
      </c>
      <c r="E241">
        <v>3.2</v>
      </c>
    </row>
    <row r="242" spans="1:5" x14ac:dyDescent="0.25">
      <c r="A242" t="s">
        <v>41</v>
      </c>
      <c r="B242">
        <v>2019</v>
      </c>
      <c r="C242">
        <v>6.1</v>
      </c>
      <c r="D242">
        <v>4.5</v>
      </c>
      <c r="E242">
        <v>5</v>
      </c>
    </row>
    <row r="243" spans="1:5" x14ac:dyDescent="0.25">
      <c r="A243" t="s">
        <v>42</v>
      </c>
      <c r="B243">
        <v>2019</v>
      </c>
      <c r="C243">
        <v>6.6</v>
      </c>
      <c r="D243">
        <v>5</v>
      </c>
      <c r="E243">
        <v>5.4</v>
      </c>
    </row>
    <row r="244" spans="1:5" x14ac:dyDescent="0.25">
      <c r="A244" t="s">
        <v>43</v>
      </c>
      <c r="B244">
        <v>2019</v>
      </c>
      <c r="C244">
        <v>4.5</v>
      </c>
      <c r="D244">
        <v>2.9</v>
      </c>
      <c r="E244">
        <v>3.3</v>
      </c>
    </row>
    <row r="245" spans="1:5" x14ac:dyDescent="0.25">
      <c r="A245" t="s">
        <v>44</v>
      </c>
      <c r="B245">
        <v>2019</v>
      </c>
      <c r="C245">
        <v>4.8</v>
      </c>
      <c r="D245">
        <v>3.2</v>
      </c>
      <c r="E245">
        <v>3.8</v>
      </c>
    </row>
    <row r="246" spans="1:5" x14ac:dyDescent="0.25">
      <c r="A246" t="s">
        <v>45</v>
      </c>
      <c r="B246">
        <v>2019</v>
      </c>
      <c r="C246">
        <v>4</v>
      </c>
      <c r="D246">
        <v>2.4</v>
      </c>
      <c r="E246">
        <v>2.9</v>
      </c>
    </row>
    <row r="247" spans="1:5" x14ac:dyDescent="0.25">
      <c r="A247" t="s">
        <v>46</v>
      </c>
      <c r="B247">
        <v>2019</v>
      </c>
      <c r="C247">
        <v>6.9</v>
      </c>
      <c r="D247">
        <v>5.3</v>
      </c>
      <c r="E247">
        <v>5.8</v>
      </c>
    </row>
    <row r="248" spans="1:5" x14ac:dyDescent="0.25">
      <c r="A248" t="s">
        <v>47</v>
      </c>
      <c r="B248">
        <v>2019</v>
      </c>
      <c r="C248">
        <v>4.8</v>
      </c>
      <c r="D248">
        <v>3.2</v>
      </c>
      <c r="E248">
        <v>3.7</v>
      </c>
    </row>
    <row r="249" spans="1:5" x14ac:dyDescent="0.25">
      <c r="A249" t="s">
        <v>48</v>
      </c>
      <c r="B249">
        <v>2019</v>
      </c>
      <c r="C249">
        <v>3.1</v>
      </c>
      <c r="D249">
        <v>1.5</v>
      </c>
      <c r="E249">
        <v>2</v>
      </c>
    </row>
    <row r="250" spans="1:5" x14ac:dyDescent="0.25">
      <c r="A250" t="s">
        <v>49</v>
      </c>
      <c r="B250">
        <v>2019</v>
      </c>
      <c r="C250">
        <v>5.8</v>
      </c>
      <c r="D250">
        <v>4.3</v>
      </c>
      <c r="E250">
        <v>4.7</v>
      </c>
    </row>
    <row r="251" spans="1:5" x14ac:dyDescent="0.25">
      <c r="A251" t="s">
        <v>50</v>
      </c>
      <c r="B251">
        <v>2019</v>
      </c>
      <c r="C251">
        <v>3.2</v>
      </c>
      <c r="D251">
        <v>1.7</v>
      </c>
      <c r="E251">
        <v>2.2000000000000002</v>
      </c>
    </row>
    <row r="252" spans="1:5" x14ac:dyDescent="0.25">
      <c r="A252" t="s">
        <v>51</v>
      </c>
      <c r="B252">
        <v>2019</v>
      </c>
      <c r="C252">
        <v>5.3</v>
      </c>
      <c r="D252">
        <v>3.7</v>
      </c>
      <c r="E252">
        <v>4.0999999999999996</v>
      </c>
    </row>
    <row r="253" spans="1:5" x14ac:dyDescent="0.25">
      <c r="A253" t="s">
        <v>52</v>
      </c>
      <c r="B253">
        <v>2019</v>
      </c>
      <c r="C253">
        <v>5.9</v>
      </c>
      <c r="D253">
        <v>4.3</v>
      </c>
      <c r="E253">
        <v>4.7</v>
      </c>
    </row>
    <row r="254" spans="1:5" x14ac:dyDescent="0.25">
      <c r="A254" t="s">
        <v>53</v>
      </c>
      <c r="B254">
        <v>2019</v>
      </c>
      <c r="C254">
        <v>3.9</v>
      </c>
      <c r="D254">
        <v>2.2999999999999998</v>
      </c>
      <c r="E254">
        <v>2.7</v>
      </c>
    </row>
    <row r="255" spans="1:5" x14ac:dyDescent="0.25">
      <c r="A255" t="s">
        <v>54</v>
      </c>
      <c r="B255">
        <v>2019</v>
      </c>
      <c r="C255">
        <v>5.5</v>
      </c>
      <c r="D255">
        <v>4</v>
      </c>
      <c r="E255">
        <v>4.4000000000000004</v>
      </c>
    </row>
    <row r="256" spans="1:5" x14ac:dyDescent="0.25">
      <c r="A256" t="s">
        <v>55</v>
      </c>
      <c r="B256">
        <v>2019</v>
      </c>
      <c r="C256">
        <v>5.6</v>
      </c>
      <c r="D256">
        <v>4</v>
      </c>
      <c r="E256">
        <v>4.4000000000000004</v>
      </c>
    </row>
    <row r="257" spans="1:5" x14ac:dyDescent="0.25">
      <c r="A257" t="s">
        <v>56</v>
      </c>
      <c r="B257">
        <v>2019</v>
      </c>
      <c r="C257">
        <v>4.0999999999999996</v>
      </c>
      <c r="D257">
        <v>2.5</v>
      </c>
      <c r="E257">
        <v>2.9</v>
      </c>
    </row>
    <row r="258" spans="1:5" x14ac:dyDescent="0.25">
      <c r="A258" t="s">
        <v>57</v>
      </c>
      <c r="B258">
        <v>2019</v>
      </c>
      <c r="C258">
        <v>6.8</v>
      </c>
      <c r="D258">
        <v>5.2</v>
      </c>
      <c r="E258">
        <v>5.7</v>
      </c>
    </row>
    <row r="259" spans="1:5" x14ac:dyDescent="0.25">
      <c r="A259" t="s">
        <v>8</v>
      </c>
      <c r="B259">
        <v>2020</v>
      </c>
      <c r="C259">
        <v>7.2</v>
      </c>
      <c r="D259">
        <v>6</v>
      </c>
      <c r="E259">
        <v>6.5</v>
      </c>
    </row>
    <row r="260" spans="1:5" x14ac:dyDescent="0.25">
      <c r="A260" t="s">
        <v>9</v>
      </c>
      <c r="B260">
        <v>2020</v>
      </c>
      <c r="C260">
        <v>5.5</v>
      </c>
      <c r="D260">
        <v>4.3</v>
      </c>
      <c r="E260">
        <v>4.7</v>
      </c>
    </row>
    <row r="261" spans="1:5" x14ac:dyDescent="0.25">
      <c r="A261" t="s">
        <v>10</v>
      </c>
      <c r="B261">
        <v>2020</v>
      </c>
      <c r="C261">
        <v>7.1</v>
      </c>
      <c r="D261">
        <v>5.9</v>
      </c>
      <c r="E261">
        <v>6.4</v>
      </c>
    </row>
    <row r="262" spans="1:5" x14ac:dyDescent="0.25">
      <c r="A262" t="s">
        <v>11</v>
      </c>
      <c r="B262">
        <v>2020</v>
      </c>
      <c r="C262">
        <v>6</v>
      </c>
      <c r="D262">
        <v>4.8</v>
      </c>
      <c r="E262">
        <v>5.2</v>
      </c>
    </row>
    <row r="263" spans="1:5" x14ac:dyDescent="0.25">
      <c r="A263" t="s">
        <v>12</v>
      </c>
      <c r="B263">
        <v>2020</v>
      </c>
      <c r="C263">
        <v>5.0999999999999996</v>
      </c>
      <c r="D263">
        <v>3.9</v>
      </c>
      <c r="E263">
        <v>4.3</v>
      </c>
    </row>
    <row r="264" spans="1:5" x14ac:dyDescent="0.25">
      <c r="A264" t="s">
        <v>13</v>
      </c>
      <c r="B264">
        <v>2020</v>
      </c>
      <c r="C264">
        <v>4.7</v>
      </c>
      <c r="D264">
        <v>3.5</v>
      </c>
      <c r="E264">
        <v>3.9</v>
      </c>
    </row>
    <row r="265" spans="1:5" x14ac:dyDescent="0.25">
      <c r="A265" t="s">
        <v>14</v>
      </c>
      <c r="B265">
        <v>2020</v>
      </c>
      <c r="C265">
        <v>5.7</v>
      </c>
      <c r="D265">
        <v>4.5</v>
      </c>
      <c r="E265">
        <v>4.9000000000000004</v>
      </c>
    </row>
    <row r="266" spans="1:5" x14ac:dyDescent="0.25">
      <c r="A266" t="s">
        <v>15</v>
      </c>
      <c r="B266">
        <v>2020</v>
      </c>
      <c r="C266">
        <v>3.5</v>
      </c>
      <c r="D266">
        <v>2.2999999999999998</v>
      </c>
      <c r="E266">
        <v>2.6</v>
      </c>
    </row>
    <row r="267" spans="1:5" x14ac:dyDescent="0.25">
      <c r="A267" t="s">
        <v>16</v>
      </c>
      <c r="B267">
        <v>2020</v>
      </c>
      <c r="C267">
        <v>4.2</v>
      </c>
      <c r="D267">
        <v>3</v>
      </c>
      <c r="E267">
        <v>3.4</v>
      </c>
    </row>
    <row r="268" spans="1:5" x14ac:dyDescent="0.25">
      <c r="A268" t="s">
        <v>17</v>
      </c>
      <c r="B268">
        <v>2020</v>
      </c>
      <c r="C268">
        <v>5.5</v>
      </c>
      <c r="D268">
        <v>4.3</v>
      </c>
      <c r="E268">
        <v>4.7</v>
      </c>
    </row>
    <row r="269" spans="1:5" x14ac:dyDescent="0.25">
      <c r="A269" t="s">
        <v>18</v>
      </c>
      <c r="B269">
        <v>2020</v>
      </c>
      <c r="C269">
        <v>7.2</v>
      </c>
      <c r="D269">
        <v>6</v>
      </c>
      <c r="E269">
        <v>6.3</v>
      </c>
    </row>
    <row r="270" spans="1:5" x14ac:dyDescent="0.25">
      <c r="A270" t="s">
        <v>19</v>
      </c>
      <c r="B270">
        <v>2020</v>
      </c>
      <c r="C270">
        <v>7</v>
      </c>
      <c r="D270">
        <v>5.8</v>
      </c>
      <c r="E270">
        <v>6.3</v>
      </c>
    </row>
    <row r="271" spans="1:5" x14ac:dyDescent="0.25">
      <c r="A271" t="s">
        <v>20</v>
      </c>
      <c r="B271">
        <v>2020</v>
      </c>
      <c r="C271">
        <v>6.5</v>
      </c>
      <c r="D271">
        <v>5.3</v>
      </c>
      <c r="E271">
        <v>5.8</v>
      </c>
    </row>
    <row r="272" spans="1:5" x14ac:dyDescent="0.25">
      <c r="A272" t="s">
        <v>21</v>
      </c>
      <c r="B272">
        <v>2020</v>
      </c>
      <c r="C272">
        <v>4.2</v>
      </c>
      <c r="D272">
        <v>3</v>
      </c>
      <c r="E272">
        <v>3.4</v>
      </c>
    </row>
    <row r="273" spans="1:5" x14ac:dyDescent="0.25">
      <c r="A273" t="s">
        <v>22</v>
      </c>
      <c r="B273">
        <v>2020</v>
      </c>
      <c r="C273">
        <v>3.7</v>
      </c>
      <c r="D273">
        <v>2.5</v>
      </c>
      <c r="E273">
        <v>2.9</v>
      </c>
    </row>
    <row r="274" spans="1:5" x14ac:dyDescent="0.25">
      <c r="A274" t="s">
        <v>23</v>
      </c>
      <c r="B274">
        <v>2020</v>
      </c>
      <c r="C274">
        <v>4.7</v>
      </c>
      <c r="D274">
        <v>3.5</v>
      </c>
      <c r="E274">
        <v>3.8</v>
      </c>
    </row>
    <row r="275" spans="1:5" x14ac:dyDescent="0.25">
      <c r="A275" t="s">
        <v>24</v>
      </c>
      <c r="B275">
        <v>2020</v>
      </c>
      <c r="C275">
        <v>6.3</v>
      </c>
      <c r="D275">
        <v>5.0999999999999996</v>
      </c>
      <c r="E275">
        <v>5.4</v>
      </c>
    </row>
    <row r="276" spans="1:5" x14ac:dyDescent="0.25">
      <c r="A276" t="s">
        <v>25</v>
      </c>
      <c r="B276">
        <v>2020</v>
      </c>
      <c r="C276">
        <v>4.3</v>
      </c>
      <c r="D276">
        <v>3.2</v>
      </c>
      <c r="E276">
        <v>3.6</v>
      </c>
    </row>
    <row r="277" spans="1:5" x14ac:dyDescent="0.25">
      <c r="A277" t="s">
        <v>26</v>
      </c>
      <c r="B277">
        <v>2020</v>
      </c>
      <c r="C277">
        <v>6.2</v>
      </c>
      <c r="D277">
        <v>5</v>
      </c>
      <c r="E277">
        <v>5.4</v>
      </c>
    </row>
    <row r="278" spans="1:5" x14ac:dyDescent="0.25">
      <c r="A278" t="s">
        <v>27</v>
      </c>
      <c r="B278">
        <v>2020</v>
      </c>
      <c r="C278">
        <v>4.8</v>
      </c>
      <c r="D278">
        <v>3.6</v>
      </c>
      <c r="E278">
        <v>3.9</v>
      </c>
    </row>
    <row r="279" spans="1:5" x14ac:dyDescent="0.25">
      <c r="A279" t="s">
        <v>28</v>
      </c>
      <c r="B279">
        <v>2020</v>
      </c>
      <c r="C279">
        <v>5</v>
      </c>
      <c r="D279">
        <v>3.8</v>
      </c>
      <c r="E279">
        <v>4.0999999999999996</v>
      </c>
    </row>
    <row r="280" spans="1:5" x14ac:dyDescent="0.25">
      <c r="A280" t="s">
        <v>29</v>
      </c>
      <c r="B280">
        <v>2020</v>
      </c>
      <c r="C280">
        <v>3.6</v>
      </c>
      <c r="D280">
        <v>2.4</v>
      </c>
      <c r="E280">
        <v>2.8</v>
      </c>
    </row>
    <row r="281" spans="1:5" x14ac:dyDescent="0.25">
      <c r="A281" t="s">
        <v>30</v>
      </c>
      <c r="B281">
        <v>2020</v>
      </c>
      <c r="C281">
        <v>3.8</v>
      </c>
      <c r="D281">
        <v>2.6</v>
      </c>
      <c r="E281">
        <v>2.9</v>
      </c>
    </row>
    <row r="282" spans="1:5" x14ac:dyDescent="0.25">
      <c r="A282" t="s">
        <v>31</v>
      </c>
      <c r="B282">
        <v>2020</v>
      </c>
      <c r="C282">
        <v>3.8</v>
      </c>
      <c r="D282">
        <v>2.6</v>
      </c>
      <c r="E282">
        <v>2.9</v>
      </c>
    </row>
    <row r="283" spans="1:5" x14ac:dyDescent="0.25">
      <c r="A283" t="s">
        <v>32</v>
      </c>
      <c r="B283">
        <v>2020</v>
      </c>
      <c r="C283">
        <v>5.8</v>
      </c>
      <c r="D283">
        <v>4.5999999999999996</v>
      </c>
      <c r="E283">
        <v>4.9000000000000004</v>
      </c>
    </row>
    <row r="284" spans="1:5" x14ac:dyDescent="0.25">
      <c r="A284" t="s">
        <v>33</v>
      </c>
      <c r="B284">
        <v>2020</v>
      </c>
      <c r="C284">
        <v>5.2</v>
      </c>
      <c r="D284">
        <v>4</v>
      </c>
      <c r="E284">
        <v>4.3</v>
      </c>
    </row>
    <row r="285" spans="1:5" x14ac:dyDescent="0.25">
      <c r="A285" t="s">
        <v>34</v>
      </c>
      <c r="B285">
        <v>2020</v>
      </c>
      <c r="C285">
        <v>5.9</v>
      </c>
      <c r="D285">
        <v>4.8</v>
      </c>
      <c r="E285">
        <v>5.0999999999999996</v>
      </c>
    </row>
    <row r="286" spans="1:5" x14ac:dyDescent="0.25">
      <c r="A286" t="s">
        <v>35</v>
      </c>
      <c r="B286">
        <v>2020</v>
      </c>
      <c r="C286">
        <v>6.3</v>
      </c>
      <c r="D286">
        <v>5.0999999999999996</v>
      </c>
      <c r="E286">
        <v>5.4</v>
      </c>
    </row>
    <row r="287" spans="1:5" x14ac:dyDescent="0.25">
      <c r="A287" t="s">
        <v>36</v>
      </c>
      <c r="B287">
        <v>2020</v>
      </c>
      <c r="C287">
        <v>5.0999999999999996</v>
      </c>
      <c r="D287">
        <v>3.9</v>
      </c>
      <c r="E287">
        <v>4.3</v>
      </c>
    </row>
    <row r="288" spans="1:5" x14ac:dyDescent="0.25">
      <c r="A288" t="s">
        <v>37</v>
      </c>
      <c r="B288">
        <v>2020</v>
      </c>
      <c r="C288">
        <v>4.8</v>
      </c>
      <c r="D288">
        <v>3.6</v>
      </c>
      <c r="E288">
        <v>4</v>
      </c>
    </row>
    <row r="289" spans="1:5" x14ac:dyDescent="0.25">
      <c r="A289" t="s">
        <v>38</v>
      </c>
      <c r="B289">
        <v>2020</v>
      </c>
      <c r="C289">
        <v>4.5</v>
      </c>
      <c r="D289">
        <v>3.4</v>
      </c>
      <c r="E289">
        <v>3.8</v>
      </c>
    </row>
    <row r="290" spans="1:5" x14ac:dyDescent="0.25">
      <c r="A290" t="s">
        <v>39</v>
      </c>
      <c r="B290">
        <v>2020</v>
      </c>
      <c r="C290">
        <v>4.0999999999999996</v>
      </c>
      <c r="D290">
        <v>2.9</v>
      </c>
      <c r="E290">
        <v>3.4</v>
      </c>
    </row>
    <row r="291" spans="1:5" x14ac:dyDescent="0.25">
      <c r="A291" t="s">
        <v>40</v>
      </c>
      <c r="B291">
        <v>2020</v>
      </c>
      <c r="C291">
        <v>6.7</v>
      </c>
      <c r="D291">
        <v>5.5</v>
      </c>
      <c r="E291">
        <v>6</v>
      </c>
    </row>
    <row r="292" spans="1:5" x14ac:dyDescent="0.25">
      <c r="A292" t="s">
        <v>41</v>
      </c>
      <c r="B292">
        <v>2020</v>
      </c>
      <c r="C292">
        <v>5.0999999999999996</v>
      </c>
      <c r="D292">
        <v>3.9</v>
      </c>
      <c r="E292">
        <v>4.2</v>
      </c>
    </row>
    <row r="293" spans="1:5" x14ac:dyDescent="0.25">
      <c r="A293" t="s">
        <v>42</v>
      </c>
      <c r="B293">
        <v>2020</v>
      </c>
      <c r="C293">
        <v>5.9</v>
      </c>
      <c r="D293">
        <v>4.7</v>
      </c>
      <c r="E293">
        <v>5.0999999999999996</v>
      </c>
    </row>
    <row r="294" spans="1:5" x14ac:dyDescent="0.25">
      <c r="A294" t="s">
        <v>43</v>
      </c>
      <c r="B294">
        <v>2020</v>
      </c>
      <c r="C294">
        <v>5.2</v>
      </c>
      <c r="D294">
        <v>4</v>
      </c>
      <c r="E294">
        <v>4.3</v>
      </c>
    </row>
    <row r="295" spans="1:5" x14ac:dyDescent="0.25">
      <c r="A295" t="s">
        <v>44</v>
      </c>
      <c r="B295">
        <v>2020</v>
      </c>
      <c r="C295">
        <v>6.7</v>
      </c>
      <c r="D295">
        <v>5.5</v>
      </c>
      <c r="E295">
        <v>5.8</v>
      </c>
    </row>
    <row r="296" spans="1:5" x14ac:dyDescent="0.25">
      <c r="A296" t="s">
        <v>45</v>
      </c>
      <c r="B296">
        <v>2020</v>
      </c>
      <c r="C296">
        <v>4.2</v>
      </c>
      <c r="D296">
        <v>3</v>
      </c>
      <c r="E296">
        <v>3.3</v>
      </c>
    </row>
    <row r="297" spans="1:5" x14ac:dyDescent="0.25">
      <c r="A297" t="s">
        <v>46</v>
      </c>
      <c r="B297">
        <v>2020</v>
      </c>
      <c r="C297">
        <v>7</v>
      </c>
      <c r="D297">
        <v>5.8</v>
      </c>
      <c r="E297">
        <v>6.1</v>
      </c>
    </row>
    <row r="298" spans="1:5" x14ac:dyDescent="0.25">
      <c r="A298" t="s">
        <v>47</v>
      </c>
      <c r="B298">
        <v>2020</v>
      </c>
      <c r="C298">
        <v>3.4</v>
      </c>
      <c r="D298">
        <v>2.2000000000000002</v>
      </c>
      <c r="E298">
        <v>2.6</v>
      </c>
    </row>
    <row r="299" spans="1:5" x14ac:dyDescent="0.25">
      <c r="A299" t="s">
        <v>48</v>
      </c>
      <c r="B299">
        <v>2020</v>
      </c>
      <c r="C299">
        <v>5.6</v>
      </c>
      <c r="D299">
        <v>4.4000000000000004</v>
      </c>
      <c r="E299">
        <v>4.8</v>
      </c>
    </row>
    <row r="300" spans="1:5" x14ac:dyDescent="0.25">
      <c r="A300" t="s">
        <v>49</v>
      </c>
      <c r="B300">
        <v>2020</v>
      </c>
      <c r="C300">
        <v>4.3</v>
      </c>
      <c r="D300">
        <v>3.1</v>
      </c>
      <c r="E300">
        <v>3.6</v>
      </c>
    </row>
    <row r="301" spans="1:5" x14ac:dyDescent="0.25">
      <c r="A301" t="s">
        <v>50</v>
      </c>
      <c r="B301">
        <v>2020</v>
      </c>
      <c r="C301">
        <v>5.4</v>
      </c>
      <c r="D301">
        <v>4.3</v>
      </c>
      <c r="E301">
        <v>4.7</v>
      </c>
    </row>
    <row r="302" spans="1:5" x14ac:dyDescent="0.25">
      <c r="A302" t="s">
        <v>51</v>
      </c>
      <c r="B302">
        <v>2020</v>
      </c>
      <c r="C302">
        <v>5</v>
      </c>
      <c r="D302">
        <v>3.9</v>
      </c>
      <c r="E302">
        <v>4.0999999999999996</v>
      </c>
    </row>
    <row r="303" spans="1:5" x14ac:dyDescent="0.25">
      <c r="A303" t="s">
        <v>52</v>
      </c>
      <c r="B303">
        <v>2020</v>
      </c>
      <c r="C303">
        <v>5.2</v>
      </c>
      <c r="D303">
        <v>4</v>
      </c>
      <c r="E303">
        <v>4.3</v>
      </c>
    </row>
    <row r="304" spans="1:5" x14ac:dyDescent="0.25">
      <c r="A304" t="s">
        <v>53</v>
      </c>
      <c r="B304">
        <v>2020</v>
      </c>
      <c r="C304">
        <v>3.6</v>
      </c>
      <c r="D304">
        <v>2.4</v>
      </c>
      <c r="E304">
        <v>2.9</v>
      </c>
    </row>
    <row r="305" spans="1:5" x14ac:dyDescent="0.25">
      <c r="A305" t="s">
        <v>54</v>
      </c>
      <c r="B305">
        <v>2020</v>
      </c>
      <c r="C305">
        <v>6.4</v>
      </c>
      <c r="D305">
        <v>5.2</v>
      </c>
      <c r="E305">
        <v>5.5</v>
      </c>
    </row>
    <row r="306" spans="1:5" x14ac:dyDescent="0.25">
      <c r="A306" t="s">
        <v>55</v>
      </c>
      <c r="B306">
        <v>2020</v>
      </c>
      <c r="C306">
        <v>3.9</v>
      </c>
      <c r="D306">
        <v>2.7</v>
      </c>
      <c r="E306">
        <v>3.2</v>
      </c>
    </row>
    <row r="307" spans="1:5" x14ac:dyDescent="0.25">
      <c r="A307" t="s">
        <v>56</v>
      </c>
      <c r="B307">
        <v>2020</v>
      </c>
      <c r="C307">
        <v>5.3</v>
      </c>
      <c r="D307">
        <v>4.0999999999999996</v>
      </c>
      <c r="E307">
        <v>4.5</v>
      </c>
    </row>
    <row r="308" spans="1:5" x14ac:dyDescent="0.25">
      <c r="A308" t="s">
        <v>57</v>
      </c>
      <c r="B308">
        <v>2020</v>
      </c>
      <c r="C308">
        <v>7</v>
      </c>
      <c r="D308">
        <v>5.9</v>
      </c>
      <c r="E308">
        <v>6.2</v>
      </c>
    </row>
    <row r="309" spans="1:5" x14ac:dyDescent="0.25">
      <c r="A309" t="s">
        <v>8</v>
      </c>
      <c r="B309">
        <v>2021</v>
      </c>
      <c r="C309">
        <v>0.6</v>
      </c>
      <c r="D309">
        <v>-0.1</v>
      </c>
      <c r="E309">
        <v>0.1</v>
      </c>
    </row>
    <row r="310" spans="1:5" x14ac:dyDescent="0.25">
      <c r="A310" t="s">
        <v>9</v>
      </c>
      <c r="B310">
        <v>2021</v>
      </c>
      <c r="C310">
        <v>2</v>
      </c>
      <c r="D310">
        <v>1.2</v>
      </c>
      <c r="E310">
        <v>1.5</v>
      </c>
    </row>
    <row r="311" spans="1:5" x14ac:dyDescent="0.25">
      <c r="A311" t="s">
        <v>10</v>
      </c>
      <c r="B311">
        <v>2021</v>
      </c>
      <c r="C311">
        <v>1.6</v>
      </c>
      <c r="D311">
        <v>0.8</v>
      </c>
      <c r="E311">
        <v>1</v>
      </c>
    </row>
    <row r="312" spans="1:5" x14ac:dyDescent="0.25">
      <c r="A312" t="s">
        <v>11</v>
      </c>
      <c r="B312">
        <v>2021</v>
      </c>
      <c r="C312">
        <v>4.2</v>
      </c>
      <c r="D312">
        <v>3.4</v>
      </c>
      <c r="E312">
        <v>3.7</v>
      </c>
    </row>
    <row r="313" spans="1:5" x14ac:dyDescent="0.25">
      <c r="A313" t="s">
        <v>12</v>
      </c>
      <c r="B313">
        <v>2021</v>
      </c>
      <c r="C313">
        <v>2.9</v>
      </c>
      <c r="D313">
        <v>2.2000000000000002</v>
      </c>
      <c r="E313">
        <v>2.5</v>
      </c>
    </row>
    <row r="314" spans="1:5" x14ac:dyDescent="0.25">
      <c r="A314" t="s">
        <v>13</v>
      </c>
      <c r="B314">
        <v>2021</v>
      </c>
      <c r="C314">
        <v>2.2000000000000002</v>
      </c>
      <c r="D314">
        <v>1.5</v>
      </c>
      <c r="E314">
        <v>1.7</v>
      </c>
    </row>
    <row r="315" spans="1:5" x14ac:dyDescent="0.25">
      <c r="A315" t="s">
        <v>14</v>
      </c>
      <c r="B315">
        <v>2021</v>
      </c>
      <c r="C315">
        <v>1.1000000000000001</v>
      </c>
      <c r="D315">
        <v>0.4</v>
      </c>
      <c r="E315">
        <v>0.5</v>
      </c>
    </row>
    <row r="316" spans="1:5" x14ac:dyDescent="0.25">
      <c r="A316" t="s">
        <v>15</v>
      </c>
      <c r="B316">
        <v>2021</v>
      </c>
      <c r="C316">
        <v>2.2000000000000002</v>
      </c>
      <c r="D316">
        <v>1.4</v>
      </c>
      <c r="E316">
        <v>1.7</v>
      </c>
    </row>
    <row r="317" spans="1:5" x14ac:dyDescent="0.25">
      <c r="A317" t="s">
        <v>16</v>
      </c>
      <c r="B317">
        <v>2021</v>
      </c>
      <c r="C317">
        <v>3.5</v>
      </c>
      <c r="D317">
        <v>2.8</v>
      </c>
      <c r="E317">
        <v>3.1</v>
      </c>
    </row>
    <row r="318" spans="1:5" x14ac:dyDescent="0.25">
      <c r="A318" t="s">
        <v>17</v>
      </c>
      <c r="B318">
        <v>2021</v>
      </c>
      <c r="C318">
        <v>4.0999999999999996</v>
      </c>
      <c r="D318">
        <v>3.4</v>
      </c>
      <c r="E318">
        <v>3.7</v>
      </c>
    </row>
    <row r="319" spans="1:5" x14ac:dyDescent="0.25">
      <c r="A319" t="s">
        <v>18</v>
      </c>
      <c r="B319">
        <v>2021</v>
      </c>
      <c r="C319">
        <v>1.6</v>
      </c>
      <c r="D319">
        <v>0.9</v>
      </c>
      <c r="E319">
        <v>1.1000000000000001</v>
      </c>
    </row>
    <row r="320" spans="1:5" x14ac:dyDescent="0.25">
      <c r="A320" t="s">
        <v>19</v>
      </c>
      <c r="B320">
        <v>2021</v>
      </c>
      <c r="C320">
        <v>3</v>
      </c>
      <c r="D320">
        <v>2.2000000000000002</v>
      </c>
      <c r="E320">
        <v>2.4</v>
      </c>
    </row>
    <row r="321" spans="1:5" x14ac:dyDescent="0.25">
      <c r="A321" t="s">
        <v>20</v>
      </c>
      <c r="B321">
        <v>2021</v>
      </c>
      <c r="C321">
        <v>2.2999999999999998</v>
      </c>
      <c r="D321">
        <v>1.6</v>
      </c>
      <c r="E321">
        <v>1.9</v>
      </c>
    </row>
    <row r="322" spans="1:5" x14ac:dyDescent="0.25">
      <c r="A322" t="s">
        <v>21</v>
      </c>
      <c r="B322">
        <v>2021</v>
      </c>
      <c r="C322">
        <v>2.4</v>
      </c>
      <c r="D322">
        <v>1.7</v>
      </c>
      <c r="E322">
        <v>2</v>
      </c>
    </row>
    <row r="323" spans="1:5" x14ac:dyDescent="0.25">
      <c r="A323" t="s">
        <v>22</v>
      </c>
      <c r="B323">
        <v>2021</v>
      </c>
      <c r="C323">
        <v>1.7</v>
      </c>
      <c r="D323">
        <v>1</v>
      </c>
      <c r="E323">
        <v>1.2</v>
      </c>
    </row>
    <row r="324" spans="1:5" x14ac:dyDescent="0.25">
      <c r="A324" t="s">
        <v>23</v>
      </c>
      <c r="B324">
        <v>2021</v>
      </c>
      <c r="C324">
        <v>1.1000000000000001</v>
      </c>
      <c r="D324">
        <v>0.4</v>
      </c>
      <c r="E324">
        <v>0.6</v>
      </c>
    </row>
    <row r="325" spans="1:5" x14ac:dyDescent="0.25">
      <c r="A325" t="s">
        <v>24</v>
      </c>
      <c r="B325">
        <v>2021</v>
      </c>
      <c r="C325">
        <v>3.8</v>
      </c>
      <c r="D325">
        <v>3</v>
      </c>
      <c r="E325">
        <v>3.3</v>
      </c>
    </row>
    <row r="326" spans="1:5" x14ac:dyDescent="0.25">
      <c r="A326" t="s">
        <v>25</v>
      </c>
      <c r="B326">
        <v>2021</v>
      </c>
      <c r="C326">
        <v>0.6</v>
      </c>
      <c r="D326">
        <v>-0.1</v>
      </c>
      <c r="E326">
        <v>0.2</v>
      </c>
    </row>
    <row r="327" spans="1:5" x14ac:dyDescent="0.25">
      <c r="A327" t="s">
        <v>26</v>
      </c>
      <c r="B327">
        <v>2021</v>
      </c>
      <c r="C327">
        <v>3.3</v>
      </c>
      <c r="D327">
        <v>2.5</v>
      </c>
      <c r="E327">
        <v>2.8</v>
      </c>
    </row>
    <row r="328" spans="1:5" x14ac:dyDescent="0.25">
      <c r="A328" t="s">
        <v>27</v>
      </c>
      <c r="B328">
        <v>2021</v>
      </c>
      <c r="C328">
        <v>3.4</v>
      </c>
      <c r="D328">
        <v>2.6</v>
      </c>
      <c r="E328">
        <v>2.9</v>
      </c>
    </row>
    <row r="329" spans="1:5" x14ac:dyDescent="0.25">
      <c r="A329" t="s">
        <v>28</v>
      </c>
      <c r="B329">
        <v>2021</v>
      </c>
      <c r="C329">
        <v>2.9</v>
      </c>
      <c r="D329">
        <v>2.1</v>
      </c>
      <c r="E329">
        <v>2.2999999999999998</v>
      </c>
    </row>
    <row r="330" spans="1:5" x14ac:dyDescent="0.25">
      <c r="A330" t="s">
        <v>29</v>
      </c>
      <c r="B330">
        <v>2021</v>
      </c>
      <c r="C330">
        <v>1.3</v>
      </c>
      <c r="D330">
        <v>0.5</v>
      </c>
      <c r="E330">
        <v>0.7</v>
      </c>
    </row>
    <row r="331" spans="1:5" x14ac:dyDescent="0.25">
      <c r="A331" t="s">
        <v>30</v>
      </c>
      <c r="B331">
        <v>2021</v>
      </c>
      <c r="C331">
        <v>1</v>
      </c>
      <c r="D331">
        <v>0.3</v>
      </c>
      <c r="E331">
        <v>0.5</v>
      </c>
    </row>
    <row r="332" spans="1:5" x14ac:dyDescent="0.25">
      <c r="A332" t="s">
        <v>31</v>
      </c>
      <c r="B332">
        <v>2021</v>
      </c>
      <c r="C332">
        <v>3.7</v>
      </c>
      <c r="D332">
        <v>2.9</v>
      </c>
      <c r="E332">
        <v>3.2</v>
      </c>
    </row>
    <row r="333" spans="1:5" x14ac:dyDescent="0.25">
      <c r="A333" t="s">
        <v>32</v>
      </c>
      <c r="B333">
        <v>2021</v>
      </c>
      <c r="C333">
        <v>2.8</v>
      </c>
      <c r="D333">
        <v>2.1</v>
      </c>
      <c r="E333">
        <v>2.4</v>
      </c>
    </row>
    <row r="334" spans="1:5" x14ac:dyDescent="0.25">
      <c r="A334" t="s">
        <v>33</v>
      </c>
      <c r="B334">
        <v>2021</v>
      </c>
      <c r="C334">
        <v>1.8</v>
      </c>
      <c r="D334">
        <v>1.1000000000000001</v>
      </c>
      <c r="E334">
        <v>1.4</v>
      </c>
    </row>
    <row r="335" spans="1:5" x14ac:dyDescent="0.25">
      <c r="A335" t="s">
        <v>34</v>
      </c>
      <c r="B335">
        <v>2021</v>
      </c>
      <c r="C335">
        <v>0.5</v>
      </c>
      <c r="D335">
        <v>-0.2</v>
      </c>
      <c r="E335">
        <v>0.1</v>
      </c>
    </row>
    <row r="336" spans="1:5" x14ac:dyDescent="0.25">
      <c r="A336" t="s">
        <v>35</v>
      </c>
      <c r="B336">
        <v>2021</v>
      </c>
      <c r="C336">
        <v>4.4000000000000004</v>
      </c>
      <c r="D336">
        <v>3.6</v>
      </c>
      <c r="E336">
        <v>3.9</v>
      </c>
    </row>
    <row r="337" spans="1:5" x14ac:dyDescent="0.25">
      <c r="A337" t="s">
        <v>36</v>
      </c>
      <c r="B337">
        <v>2021</v>
      </c>
      <c r="C337">
        <v>2.6</v>
      </c>
      <c r="D337">
        <v>1.9</v>
      </c>
      <c r="E337">
        <v>2.2000000000000002</v>
      </c>
    </row>
    <row r="338" spans="1:5" x14ac:dyDescent="0.25">
      <c r="A338" t="s">
        <v>37</v>
      </c>
      <c r="B338">
        <v>2021</v>
      </c>
      <c r="C338">
        <v>1.2</v>
      </c>
      <c r="D338">
        <v>0.5</v>
      </c>
      <c r="E338">
        <v>0.7</v>
      </c>
    </row>
    <row r="339" spans="1:5" x14ac:dyDescent="0.25">
      <c r="A339" t="s">
        <v>38</v>
      </c>
      <c r="B339">
        <v>2021</v>
      </c>
      <c r="C339">
        <v>1.2</v>
      </c>
      <c r="D339">
        <v>0.5</v>
      </c>
      <c r="E339">
        <v>0.8</v>
      </c>
    </row>
    <row r="340" spans="1:5" x14ac:dyDescent="0.25">
      <c r="A340" t="s">
        <v>39</v>
      </c>
      <c r="B340">
        <v>2021</v>
      </c>
      <c r="C340">
        <v>3.1</v>
      </c>
      <c r="D340">
        <v>2.2999999999999998</v>
      </c>
      <c r="E340">
        <v>2.5</v>
      </c>
    </row>
    <row r="341" spans="1:5" x14ac:dyDescent="0.25">
      <c r="A341" t="s">
        <v>40</v>
      </c>
      <c r="B341">
        <v>2021</v>
      </c>
      <c r="C341">
        <v>0.8</v>
      </c>
      <c r="D341">
        <v>0</v>
      </c>
      <c r="E341">
        <v>0.3</v>
      </c>
    </row>
    <row r="342" spans="1:5" x14ac:dyDescent="0.25">
      <c r="A342" t="s">
        <v>41</v>
      </c>
      <c r="B342">
        <v>2021</v>
      </c>
      <c r="C342">
        <v>1.7</v>
      </c>
      <c r="D342">
        <v>0.9</v>
      </c>
      <c r="E342">
        <v>1.1000000000000001</v>
      </c>
    </row>
    <row r="343" spans="1:5" x14ac:dyDescent="0.25">
      <c r="A343" t="s">
        <v>42</v>
      </c>
      <c r="B343">
        <v>2021</v>
      </c>
      <c r="C343">
        <v>1.9</v>
      </c>
      <c r="D343">
        <v>1.2</v>
      </c>
      <c r="E343">
        <v>1.5</v>
      </c>
    </row>
    <row r="344" spans="1:5" x14ac:dyDescent="0.25">
      <c r="A344" t="s">
        <v>43</v>
      </c>
      <c r="B344">
        <v>2021</v>
      </c>
      <c r="C344">
        <v>3.2</v>
      </c>
      <c r="D344">
        <v>2.5</v>
      </c>
      <c r="E344">
        <v>2.7</v>
      </c>
    </row>
    <row r="345" spans="1:5" x14ac:dyDescent="0.25">
      <c r="A345" t="s">
        <v>44</v>
      </c>
      <c r="B345">
        <v>2021</v>
      </c>
      <c r="C345">
        <v>2.1</v>
      </c>
      <c r="D345">
        <v>1.3</v>
      </c>
      <c r="E345">
        <v>1.6</v>
      </c>
    </row>
    <row r="346" spans="1:5" x14ac:dyDescent="0.25">
      <c r="A346" t="s">
        <v>45</v>
      </c>
      <c r="B346">
        <v>2021</v>
      </c>
      <c r="C346">
        <v>3.3</v>
      </c>
      <c r="D346">
        <v>2.6</v>
      </c>
      <c r="E346">
        <v>2.8</v>
      </c>
    </row>
    <row r="347" spans="1:5" x14ac:dyDescent="0.25">
      <c r="A347" t="s">
        <v>46</v>
      </c>
      <c r="B347">
        <v>2021</v>
      </c>
      <c r="C347">
        <v>1.4</v>
      </c>
      <c r="D347">
        <v>0.7</v>
      </c>
      <c r="E347">
        <v>0.9</v>
      </c>
    </row>
    <row r="348" spans="1:5" x14ac:dyDescent="0.25">
      <c r="A348" t="s">
        <v>47</v>
      </c>
      <c r="B348">
        <v>2021</v>
      </c>
      <c r="C348">
        <v>1.7</v>
      </c>
      <c r="D348">
        <v>0.9</v>
      </c>
      <c r="E348">
        <v>1.1000000000000001</v>
      </c>
    </row>
    <row r="349" spans="1:5" x14ac:dyDescent="0.25">
      <c r="A349" t="s">
        <v>48</v>
      </c>
      <c r="B349">
        <v>2021</v>
      </c>
      <c r="C349">
        <v>3.1</v>
      </c>
      <c r="D349">
        <v>2.2999999999999998</v>
      </c>
      <c r="E349">
        <v>2.5</v>
      </c>
    </row>
    <row r="350" spans="1:5" x14ac:dyDescent="0.25">
      <c r="A350" t="s">
        <v>49</v>
      </c>
      <c r="B350">
        <v>2021</v>
      </c>
      <c r="C350">
        <v>3.5</v>
      </c>
      <c r="D350">
        <v>2.8</v>
      </c>
      <c r="E350">
        <v>3</v>
      </c>
    </row>
    <row r="351" spans="1:5" x14ac:dyDescent="0.25">
      <c r="A351" t="s">
        <v>50</v>
      </c>
      <c r="B351">
        <v>2021</v>
      </c>
      <c r="C351">
        <v>1.3</v>
      </c>
      <c r="D351">
        <v>0.5</v>
      </c>
      <c r="E351">
        <v>0.8</v>
      </c>
    </row>
    <row r="352" spans="1:5" x14ac:dyDescent="0.25">
      <c r="A352" t="s">
        <v>51</v>
      </c>
      <c r="B352">
        <v>2021</v>
      </c>
      <c r="C352">
        <v>4.2</v>
      </c>
      <c r="D352">
        <v>3.5</v>
      </c>
      <c r="E352">
        <v>3.6</v>
      </c>
    </row>
    <row r="353" spans="1:5" x14ac:dyDescent="0.25">
      <c r="A353" t="s">
        <v>52</v>
      </c>
      <c r="B353">
        <v>2021</v>
      </c>
      <c r="C353">
        <v>0.5</v>
      </c>
      <c r="D353">
        <v>-0.2</v>
      </c>
      <c r="E353">
        <v>0.1</v>
      </c>
    </row>
    <row r="354" spans="1:5" x14ac:dyDescent="0.25">
      <c r="A354" t="s">
        <v>53</v>
      </c>
      <c r="B354">
        <v>2021</v>
      </c>
      <c r="C354">
        <v>2.1</v>
      </c>
      <c r="D354">
        <v>1.4</v>
      </c>
      <c r="E354">
        <v>1.6</v>
      </c>
    </row>
    <row r="355" spans="1:5" x14ac:dyDescent="0.25">
      <c r="A355" t="s">
        <v>54</v>
      </c>
      <c r="B355">
        <v>2021</v>
      </c>
      <c r="C355">
        <v>4.5</v>
      </c>
      <c r="D355">
        <v>3.7</v>
      </c>
      <c r="E355">
        <v>4</v>
      </c>
    </row>
    <row r="356" spans="1:5" x14ac:dyDescent="0.25">
      <c r="A356" t="s">
        <v>55</v>
      </c>
      <c r="B356">
        <v>2021</v>
      </c>
      <c r="C356">
        <v>4.5</v>
      </c>
      <c r="D356">
        <v>3.7</v>
      </c>
      <c r="E356">
        <v>4</v>
      </c>
    </row>
    <row r="357" spans="1:5" x14ac:dyDescent="0.25">
      <c r="A357" t="s">
        <v>56</v>
      </c>
      <c r="B357">
        <v>2021</v>
      </c>
      <c r="C357">
        <v>2.5</v>
      </c>
      <c r="D357">
        <v>1.7</v>
      </c>
      <c r="E357">
        <v>1.9</v>
      </c>
    </row>
    <row r="358" spans="1:5" x14ac:dyDescent="0.25">
      <c r="A358" t="s">
        <v>57</v>
      </c>
      <c r="B358">
        <v>2021</v>
      </c>
      <c r="C358">
        <v>0.8</v>
      </c>
      <c r="D358">
        <v>0.1</v>
      </c>
      <c r="E358">
        <v>0.2</v>
      </c>
    </row>
    <row r="359" spans="1:5" x14ac:dyDescent="0.25">
      <c r="A359" t="s">
        <v>8</v>
      </c>
      <c r="B359">
        <v>2022</v>
      </c>
      <c r="C359">
        <v>-2.7</v>
      </c>
      <c r="D359">
        <v>-1.6</v>
      </c>
      <c r="E359">
        <v>-1.9</v>
      </c>
    </row>
    <row r="360" spans="1:5" x14ac:dyDescent="0.25">
      <c r="A360" t="s">
        <v>9</v>
      </c>
      <c r="B360">
        <v>2022</v>
      </c>
      <c r="C360">
        <v>-4.4000000000000004</v>
      </c>
      <c r="D360">
        <v>-3.3</v>
      </c>
      <c r="E360">
        <v>-3.5</v>
      </c>
    </row>
    <row r="361" spans="1:5" x14ac:dyDescent="0.25">
      <c r="A361" t="s">
        <v>10</v>
      </c>
      <c r="B361">
        <v>2022</v>
      </c>
      <c r="C361">
        <v>-2</v>
      </c>
      <c r="D361">
        <v>-0.9</v>
      </c>
      <c r="E361">
        <v>-1.2</v>
      </c>
    </row>
    <row r="362" spans="1:5" x14ac:dyDescent="0.25">
      <c r="A362" t="s">
        <v>11</v>
      </c>
      <c r="B362">
        <v>2022</v>
      </c>
      <c r="C362">
        <v>-4.3</v>
      </c>
      <c r="D362">
        <v>-3.2</v>
      </c>
      <c r="E362">
        <v>-3.6</v>
      </c>
    </row>
    <row r="363" spans="1:5" x14ac:dyDescent="0.25">
      <c r="A363" t="s">
        <v>12</v>
      </c>
      <c r="B363">
        <v>2022</v>
      </c>
      <c r="C363">
        <v>-4.3</v>
      </c>
      <c r="D363">
        <v>-3.3</v>
      </c>
      <c r="E363">
        <v>-3.6</v>
      </c>
    </row>
    <row r="364" spans="1:5" x14ac:dyDescent="0.25">
      <c r="A364" t="s">
        <v>13</v>
      </c>
      <c r="B364">
        <v>2022</v>
      </c>
      <c r="C364">
        <v>-2</v>
      </c>
      <c r="D364">
        <v>-0.9</v>
      </c>
      <c r="E364">
        <v>-1.2</v>
      </c>
    </row>
    <row r="365" spans="1:5" x14ac:dyDescent="0.25">
      <c r="A365" t="s">
        <v>14</v>
      </c>
      <c r="B365">
        <v>2022</v>
      </c>
      <c r="C365">
        <v>-0.6</v>
      </c>
      <c r="D365">
        <v>0.5</v>
      </c>
      <c r="E365">
        <v>0.1</v>
      </c>
    </row>
    <row r="366" spans="1:5" x14ac:dyDescent="0.25">
      <c r="A366" t="s">
        <v>15</v>
      </c>
      <c r="B366">
        <v>2022</v>
      </c>
      <c r="C366">
        <v>-3.3</v>
      </c>
      <c r="D366">
        <v>-2.2000000000000002</v>
      </c>
      <c r="E366">
        <v>-2.6</v>
      </c>
    </row>
    <row r="367" spans="1:5" x14ac:dyDescent="0.25">
      <c r="A367" t="s">
        <v>16</v>
      </c>
      <c r="B367">
        <v>2022</v>
      </c>
      <c r="C367">
        <v>-4.4000000000000004</v>
      </c>
      <c r="D367">
        <v>-3.4</v>
      </c>
      <c r="E367">
        <v>-3.7</v>
      </c>
    </row>
    <row r="368" spans="1:5" x14ac:dyDescent="0.25">
      <c r="A368" t="s">
        <v>17</v>
      </c>
      <c r="B368">
        <v>2022</v>
      </c>
      <c r="C368">
        <v>-1.9</v>
      </c>
      <c r="D368">
        <v>-0.8</v>
      </c>
      <c r="E368">
        <v>-1.2</v>
      </c>
    </row>
    <row r="369" spans="1:5" x14ac:dyDescent="0.25">
      <c r="A369" t="s">
        <v>18</v>
      </c>
      <c r="B369">
        <v>2022</v>
      </c>
      <c r="C369">
        <v>-1.7</v>
      </c>
      <c r="D369">
        <v>-0.7</v>
      </c>
      <c r="E369">
        <v>-1.1000000000000001</v>
      </c>
    </row>
    <row r="370" spans="1:5" x14ac:dyDescent="0.25">
      <c r="A370" t="s">
        <v>19</v>
      </c>
      <c r="B370">
        <v>2022</v>
      </c>
      <c r="C370">
        <v>-2</v>
      </c>
      <c r="D370">
        <v>-0.9</v>
      </c>
      <c r="E370">
        <v>-1.3</v>
      </c>
    </row>
    <row r="371" spans="1:5" x14ac:dyDescent="0.25">
      <c r="A371" t="s">
        <v>20</v>
      </c>
      <c r="B371">
        <v>2022</v>
      </c>
      <c r="C371">
        <v>-3.6</v>
      </c>
      <c r="D371">
        <v>-2.6</v>
      </c>
      <c r="E371">
        <v>-2.9</v>
      </c>
    </row>
    <row r="372" spans="1:5" x14ac:dyDescent="0.25">
      <c r="A372" t="s">
        <v>21</v>
      </c>
      <c r="B372">
        <v>2022</v>
      </c>
      <c r="C372">
        <v>-1.6</v>
      </c>
      <c r="D372">
        <v>-0.5</v>
      </c>
      <c r="E372">
        <v>-0.7</v>
      </c>
    </row>
    <row r="373" spans="1:5" x14ac:dyDescent="0.25">
      <c r="A373" t="s">
        <v>22</v>
      </c>
      <c r="B373">
        <v>2022</v>
      </c>
      <c r="C373">
        <v>-3.1</v>
      </c>
      <c r="D373">
        <v>-2</v>
      </c>
      <c r="E373">
        <v>-2.2999999999999998</v>
      </c>
    </row>
    <row r="374" spans="1:5" x14ac:dyDescent="0.25">
      <c r="A374" t="s">
        <v>23</v>
      </c>
      <c r="B374">
        <v>2022</v>
      </c>
      <c r="C374">
        <v>-3.4</v>
      </c>
      <c r="D374">
        <v>-2.2999999999999998</v>
      </c>
      <c r="E374">
        <v>-2.7</v>
      </c>
    </row>
    <row r="375" spans="1:5" x14ac:dyDescent="0.25">
      <c r="A375" t="s">
        <v>24</v>
      </c>
      <c r="B375">
        <v>2022</v>
      </c>
      <c r="C375">
        <v>-1.1000000000000001</v>
      </c>
      <c r="D375">
        <v>-0.1</v>
      </c>
      <c r="E375">
        <v>-0.5</v>
      </c>
    </row>
    <row r="376" spans="1:5" x14ac:dyDescent="0.25">
      <c r="A376" t="s">
        <v>25</v>
      </c>
      <c r="B376">
        <v>2022</v>
      </c>
      <c r="C376">
        <v>-2.7</v>
      </c>
      <c r="D376">
        <v>-1.6</v>
      </c>
      <c r="E376">
        <v>-2</v>
      </c>
    </row>
    <row r="377" spans="1:5" x14ac:dyDescent="0.25">
      <c r="A377" t="s">
        <v>26</v>
      </c>
      <c r="B377">
        <v>2022</v>
      </c>
      <c r="C377">
        <v>-1</v>
      </c>
      <c r="D377">
        <v>0.1</v>
      </c>
      <c r="E377">
        <v>-0.2</v>
      </c>
    </row>
    <row r="378" spans="1:5" x14ac:dyDescent="0.25">
      <c r="A378" t="s">
        <v>27</v>
      </c>
      <c r="B378">
        <v>2022</v>
      </c>
      <c r="C378">
        <v>-1.4</v>
      </c>
      <c r="D378">
        <v>-0.4</v>
      </c>
      <c r="E378">
        <v>-0.7</v>
      </c>
    </row>
    <row r="379" spans="1:5" x14ac:dyDescent="0.25">
      <c r="A379" t="s">
        <v>28</v>
      </c>
      <c r="B379">
        <v>2022</v>
      </c>
      <c r="C379">
        <v>-2.2999999999999998</v>
      </c>
      <c r="D379">
        <v>-1.3</v>
      </c>
      <c r="E379">
        <v>-1.5</v>
      </c>
    </row>
    <row r="380" spans="1:5" x14ac:dyDescent="0.25">
      <c r="A380" t="s">
        <v>29</v>
      </c>
      <c r="B380">
        <v>2022</v>
      </c>
      <c r="C380">
        <v>-3.5</v>
      </c>
      <c r="D380">
        <v>-2.5</v>
      </c>
      <c r="E380">
        <v>-2.8</v>
      </c>
    </row>
    <row r="381" spans="1:5" x14ac:dyDescent="0.25">
      <c r="A381" t="s">
        <v>30</v>
      </c>
      <c r="B381">
        <v>2022</v>
      </c>
      <c r="C381">
        <v>-4.0999999999999996</v>
      </c>
      <c r="D381">
        <v>-3</v>
      </c>
      <c r="E381">
        <v>-3.2</v>
      </c>
    </row>
    <row r="382" spans="1:5" x14ac:dyDescent="0.25">
      <c r="A382" t="s">
        <v>31</v>
      </c>
      <c r="B382">
        <v>2022</v>
      </c>
      <c r="C382">
        <v>-2.2999999999999998</v>
      </c>
      <c r="D382">
        <v>-1.2</v>
      </c>
      <c r="E382">
        <v>-1.5</v>
      </c>
    </row>
    <row r="383" spans="1:5" x14ac:dyDescent="0.25">
      <c r="A383" t="s">
        <v>32</v>
      </c>
      <c r="B383">
        <v>2022</v>
      </c>
      <c r="C383">
        <v>-2.9</v>
      </c>
      <c r="D383">
        <v>-1.8</v>
      </c>
      <c r="E383">
        <v>-2.2000000000000002</v>
      </c>
    </row>
    <row r="384" spans="1:5" x14ac:dyDescent="0.25">
      <c r="A384" t="s">
        <v>33</v>
      </c>
      <c r="B384">
        <v>2022</v>
      </c>
      <c r="C384">
        <v>-4.4000000000000004</v>
      </c>
      <c r="D384">
        <v>-3.4</v>
      </c>
      <c r="E384">
        <v>-3.6</v>
      </c>
    </row>
    <row r="385" spans="1:5" x14ac:dyDescent="0.25">
      <c r="A385" t="s">
        <v>34</v>
      </c>
      <c r="B385">
        <v>2022</v>
      </c>
      <c r="C385">
        <v>-3.2</v>
      </c>
      <c r="D385">
        <v>-2.1</v>
      </c>
      <c r="E385">
        <v>-2.2999999999999998</v>
      </c>
    </row>
    <row r="386" spans="1:5" x14ac:dyDescent="0.25">
      <c r="A386" t="s">
        <v>35</v>
      </c>
      <c r="B386">
        <v>2022</v>
      </c>
      <c r="C386">
        <v>-1.7</v>
      </c>
      <c r="D386">
        <v>-0.7</v>
      </c>
      <c r="E386">
        <v>-1.1000000000000001</v>
      </c>
    </row>
    <row r="387" spans="1:5" x14ac:dyDescent="0.25">
      <c r="A387" t="s">
        <v>36</v>
      </c>
      <c r="B387">
        <v>2022</v>
      </c>
      <c r="C387">
        <v>-0.7</v>
      </c>
      <c r="D387">
        <v>0.3</v>
      </c>
      <c r="E387">
        <v>0</v>
      </c>
    </row>
    <row r="388" spans="1:5" x14ac:dyDescent="0.25">
      <c r="A388" t="s">
        <v>37</v>
      </c>
      <c r="B388">
        <v>2022</v>
      </c>
      <c r="C388">
        <v>-3.6</v>
      </c>
      <c r="D388">
        <v>-2.6</v>
      </c>
      <c r="E388">
        <v>-2.8</v>
      </c>
    </row>
    <row r="389" spans="1:5" x14ac:dyDescent="0.25">
      <c r="A389" t="s">
        <v>38</v>
      </c>
      <c r="B389">
        <v>2022</v>
      </c>
      <c r="C389">
        <v>-0.9</v>
      </c>
      <c r="D389">
        <v>0.1</v>
      </c>
      <c r="E389">
        <v>-0.2</v>
      </c>
    </row>
    <row r="390" spans="1:5" x14ac:dyDescent="0.25">
      <c r="A390" t="s">
        <v>39</v>
      </c>
      <c r="B390">
        <v>2022</v>
      </c>
      <c r="C390">
        <v>-2.5</v>
      </c>
      <c r="D390">
        <v>-1.5</v>
      </c>
      <c r="E390">
        <v>-1.9</v>
      </c>
    </row>
    <row r="391" spans="1:5" x14ac:dyDescent="0.25">
      <c r="A391" t="s">
        <v>40</v>
      </c>
      <c r="B391">
        <v>2022</v>
      </c>
      <c r="C391">
        <v>-1.4</v>
      </c>
      <c r="D391">
        <v>-0.4</v>
      </c>
      <c r="E391">
        <v>-0.8</v>
      </c>
    </row>
    <row r="392" spans="1:5" x14ac:dyDescent="0.25">
      <c r="A392" t="s">
        <v>41</v>
      </c>
      <c r="B392">
        <v>2022</v>
      </c>
      <c r="C392">
        <v>-1.4</v>
      </c>
      <c r="D392">
        <v>-0.3</v>
      </c>
      <c r="E392">
        <v>-0.6</v>
      </c>
    </row>
    <row r="393" spans="1:5" x14ac:dyDescent="0.25">
      <c r="A393" t="s">
        <v>42</v>
      </c>
      <c r="B393">
        <v>2022</v>
      </c>
      <c r="C393">
        <v>-2.4</v>
      </c>
      <c r="D393">
        <v>-1.3</v>
      </c>
      <c r="E393">
        <v>-1.6</v>
      </c>
    </row>
    <row r="394" spans="1:5" x14ac:dyDescent="0.25">
      <c r="A394" t="s">
        <v>43</v>
      </c>
      <c r="B394">
        <v>2022</v>
      </c>
      <c r="C394">
        <v>-3.8</v>
      </c>
      <c r="D394">
        <v>-2.7</v>
      </c>
      <c r="E394">
        <v>-3</v>
      </c>
    </row>
    <row r="395" spans="1:5" x14ac:dyDescent="0.25">
      <c r="A395" t="s">
        <v>44</v>
      </c>
      <c r="B395">
        <v>2022</v>
      </c>
      <c r="C395">
        <v>-2.7</v>
      </c>
      <c r="D395">
        <v>-1.7</v>
      </c>
      <c r="E395">
        <v>-2</v>
      </c>
    </row>
    <row r="396" spans="1:5" x14ac:dyDescent="0.25">
      <c r="A396" t="s">
        <v>45</v>
      </c>
      <c r="B396">
        <v>2022</v>
      </c>
      <c r="C396">
        <v>-0.6</v>
      </c>
      <c r="D396">
        <v>0.4</v>
      </c>
      <c r="E396">
        <v>0.1</v>
      </c>
    </row>
    <row r="397" spans="1:5" x14ac:dyDescent="0.25">
      <c r="A397" t="s">
        <v>46</v>
      </c>
      <c r="B397">
        <v>2022</v>
      </c>
      <c r="C397">
        <v>-3.4</v>
      </c>
      <c r="D397">
        <v>-2.4</v>
      </c>
      <c r="E397">
        <v>-2.6</v>
      </c>
    </row>
    <row r="398" spans="1:5" x14ac:dyDescent="0.25">
      <c r="A398" t="s">
        <v>47</v>
      </c>
      <c r="B398">
        <v>2022</v>
      </c>
      <c r="C398">
        <v>-2.2999999999999998</v>
      </c>
      <c r="D398">
        <v>-1.2</v>
      </c>
      <c r="E398">
        <v>-1.5</v>
      </c>
    </row>
    <row r="399" spans="1:5" x14ac:dyDescent="0.25">
      <c r="A399" t="s">
        <v>48</v>
      </c>
      <c r="B399">
        <v>2022</v>
      </c>
      <c r="C399">
        <v>-2.2000000000000002</v>
      </c>
      <c r="D399">
        <v>-1.1000000000000001</v>
      </c>
      <c r="E399">
        <v>-1.4</v>
      </c>
    </row>
    <row r="400" spans="1:5" x14ac:dyDescent="0.25">
      <c r="A400" t="s">
        <v>49</v>
      </c>
      <c r="B400">
        <v>2022</v>
      </c>
      <c r="C400">
        <v>-4.5</v>
      </c>
      <c r="D400">
        <v>-3.4</v>
      </c>
      <c r="E400">
        <v>-3.7</v>
      </c>
    </row>
    <row r="401" spans="1:5" x14ac:dyDescent="0.25">
      <c r="A401" t="s">
        <v>50</v>
      </c>
      <c r="B401">
        <v>2022</v>
      </c>
      <c r="C401">
        <v>-0.9</v>
      </c>
      <c r="D401">
        <v>0.2</v>
      </c>
      <c r="E401">
        <v>-0.2</v>
      </c>
    </row>
    <row r="402" spans="1:5" x14ac:dyDescent="0.25">
      <c r="A402" t="s">
        <v>51</v>
      </c>
      <c r="B402">
        <v>2022</v>
      </c>
      <c r="C402">
        <v>-1.3</v>
      </c>
      <c r="D402">
        <v>-0.3</v>
      </c>
      <c r="E402">
        <v>-0.7</v>
      </c>
    </row>
    <row r="403" spans="1:5" x14ac:dyDescent="0.25">
      <c r="A403" t="s">
        <v>52</v>
      </c>
      <c r="B403">
        <v>2022</v>
      </c>
      <c r="C403">
        <v>-1.5</v>
      </c>
      <c r="D403">
        <v>-0.5</v>
      </c>
      <c r="E403">
        <v>-0.8</v>
      </c>
    </row>
    <row r="404" spans="1:5" x14ac:dyDescent="0.25">
      <c r="A404" t="s">
        <v>53</v>
      </c>
      <c r="B404">
        <v>2022</v>
      </c>
      <c r="C404">
        <v>-3</v>
      </c>
      <c r="D404">
        <v>-2</v>
      </c>
      <c r="E404">
        <v>-2.2000000000000002</v>
      </c>
    </row>
    <row r="405" spans="1:5" x14ac:dyDescent="0.25">
      <c r="A405" t="s">
        <v>54</v>
      </c>
      <c r="B405">
        <v>2022</v>
      </c>
      <c r="C405">
        <v>-1.2</v>
      </c>
      <c r="D405">
        <v>-0.1</v>
      </c>
      <c r="E405">
        <v>-0.4</v>
      </c>
    </row>
    <row r="406" spans="1:5" x14ac:dyDescent="0.25">
      <c r="A406" t="s">
        <v>55</v>
      </c>
      <c r="B406">
        <v>2022</v>
      </c>
      <c r="C406">
        <v>-2.5</v>
      </c>
      <c r="D406">
        <v>-1.4</v>
      </c>
      <c r="E406">
        <v>-1.7</v>
      </c>
    </row>
    <row r="407" spans="1:5" x14ac:dyDescent="0.25">
      <c r="A407" t="s">
        <v>56</v>
      </c>
      <c r="B407">
        <v>2022</v>
      </c>
      <c r="C407">
        <v>-0.6</v>
      </c>
      <c r="D407">
        <v>0.4</v>
      </c>
      <c r="E407">
        <v>0.2</v>
      </c>
    </row>
    <row r="408" spans="1:5" x14ac:dyDescent="0.25">
      <c r="A408" t="s">
        <v>57</v>
      </c>
      <c r="B408">
        <v>2022</v>
      </c>
      <c r="C408">
        <v>-2.5</v>
      </c>
      <c r="D408">
        <v>-1.4</v>
      </c>
      <c r="E408">
        <v>-1.7</v>
      </c>
    </row>
    <row r="409" spans="1:5" x14ac:dyDescent="0.25">
      <c r="A409" t="s">
        <v>8</v>
      </c>
      <c r="B409">
        <v>2023</v>
      </c>
      <c r="C409">
        <v>10.199999999999999</v>
      </c>
      <c r="D409">
        <v>7.9</v>
      </c>
      <c r="E409">
        <v>8.6999999999999993</v>
      </c>
    </row>
    <row r="410" spans="1:5" x14ac:dyDescent="0.25">
      <c r="A410" t="s">
        <v>9</v>
      </c>
      <c r="B410">
        <v>2023</v>
      </c>
      <c r="C410">
        <v>11.2</v>
      </c>
      <c r="D410">
        <v>8.8000000000000007</v>
      </c>
      <c r="E410">
        <v>9.5</v>
      </c>
    </row>
    <row r="411" spans="1:5" x14ac:dyDescent="0.25">
      <c r="A411" t="s">
        <v>10</v>
      </c>
      <c r="B411">
        <v>2023</v>
      </c>
      <c r="C411">
        <v>9.5</v>
      </c>
      <c r="D411">
        <v>7.2</v>
      </c>
      <c r="E411">
        <v>7.9</v>
      </c>
    </row>
    <row r="412" spans="1:5" x14ac:dyDescent="0.25">
      <c r="A412" t="s">
        <v>11</v>
      </c>
      <c r="B412">
        <v>2023</v>
      </c>
      <c r="C412">
        <v>7.6</v>
      </c>
      <c r="D412">
        <v>5.3</v>
      </c>
      <c r="E412">
        <v>6.1</v>
      </c>
    </row>
    <row r="413" spans="1:5" x14ac:dyDescent="0.25">
      <c r="A413" t="s">
        <v>12</v>
      </c>
      <c r="B413">
        <v>2023</v>
      </c>
      <c r="C413">
        <v>10.4</v>
      </c>
      <c r="D413">
        <v>8.1</v>
      </c>
      <c r="E413">
        <v>8.8000000000000007</v>
      </c>
    </row>
    <row r="414" spans="1:5" x14ac:dyDescent="0.25">
      <c r="A414" t="s">
        <v>13</v>
      </c>
      <c r="B414">
        <v>2023</v>
      </c>
      <c r="C414">
        <v>9.5</v>
      </c>
      <c r="D414">
        <v>7.2</v>
      </c>
      <c r="E414">
        <v>7.7</v>
      </c>
    </row>
    <row r="415" spans="1:5" x14ac:dyDescent="0.25">
      <c r="A415" t="s">
        <v>14</v>
      </c>
      <c r="B415">
        <v>2023</v>
      </c>
      <c r="C415">
        <v>10</v>
      </c>
      <c r="D415">
        <v>7.6</v>
      </c>
      <c r="E415">
        <v>8.1</v>
      </c>
    </row>
    <row r="416" spans="1:5" x14ac:dyDescent="0.25">
      <c r="A416" t="s">
        <v>15</v>
      </c>
      <c r="B416">
        <v>2023</v>
      </c>
      <c r="C416">
        <v>8.3000000000000007</v>
      </c>
      <c r="D416">
        <v>6</v>
      </c>
      <c r="E416">
        <v>6.8</v>
      </c>
    </row>
    <row r="417" spans="1:5" x14ac:dyDescent="0.25">
      <c r="A417" t="s">
        <v>16</v>
      </c>
      <c r="B417">
        <v>2023</v>
      </c>
      <c r="C417">
        <v>11</v>
      </c>
      <c r="D417">
        <v>8.6999999999999993</v>
      </c>
      <c r="E417">
        <v>9.6</v>
      </c>
    </row>
    <row r="418" spans="1:5" x14ac:dyDescent="0.25">
      <c r="A418" t="s">
        <v>17</v>
      </c>
      <c r="B418">
        <v>2023</v>
      </c>
      <c r="C418">
        <v>10.6</v>
      </c>
      <c r="D418">
        <v>8.3000000000000007</v>
      </c>
      <c r="E418">
        <v>9.1</v>
      </c>
    </row>
    <row r="419" spans="1:5" x14ac:dyDescent="0.25">
      <c r="A419" t="s">
        <v>18</v>
      </c>
      <c r="B419">
        <v>2023</v>
      </c>
      <c r="C419">
        <v>10</v>
      </c>
      <c r="D419">
        <v>7.6</v>
      </c>
      <c r="E419">
        <v>8.5</v>
      </c>
    </row>
    <row r="420" spans="1:5" x14ac:dyDescent="0.25">
      <c r="A420" t="s">
        <v>19</v>
      </c>
      <c r="B420">
        <v>2023</v>
      </c>
      <c r="C420">
        <v>8</v>
      </c>
      <c r="D420">
        <v>5.7</v>
      </c>
      <c r="E420">
        <v>6.6</v>
      </c>
    </row>
    <row r="421" spans="1:5" x14ac:dyDescent="0.25">
      <c r="A421" t="s">
        <v>20</v>
      </c>
      <c r="B421">
        <v>2023</v>
      </c>
      <c r="C421">
        <v>7.5</v>
      </c>
      <c r="D421">
        <v>5.2</v>
      </c>
      <c r="E421">
        <v>5.9</v>
      </c>
    </row>
    <row r="422" spans="1:5" x14ac:dyDescent="0.25">
      <c r="A422" t="s">
        <v>21</v>
      </c>
      <c r="B422">
        <v>2023</v>
      </c>
      <c r="C422">
        <v>8.3000000000000007</v>
      </c>
      <c r="D422">
        <v>6</v>
      </c>
      <c r="E422">
        <v>6.6</v>
      </c>
    </row>
    <row r="423" spans="1:5" x14ac:dyDescent="0.25">
      <c r="A423" t="s">
        <v>22</v>
      </c>
      <c r="B423">
        <v>2023</v>
      </c>
      <c r="C423">
        <v>10.7</v>
      </c>
      <c r="D423">
        <v>8.4</v>
      </c>
      <c r="E423">
        <v>9.1</v>
      </c>
    </row>
    <row r="424" spans="1:5" x14ac:dyDescent="0.25">
      <c r="A424" t="s">
        <v>23</v>
      </c>
      <c r="B424">
        <v>2023</v>
      </c>
      <c r="C424">
        <v>7.7</v>
      </c>
      <c r="D424">
        <v>5.4</v>
      </c>
      <c r="E424">
        <v>6.3</v>
      </c>
    </row>
    <row r="425" spans="1:5" x14ac:dyDescent="0.25">
      <c r="A425" t="s">
        <v>24</v>
      </c>
      <c r="B425">
        <v>2023</v>
      </c>
      <c r="C425">
        <v>7.5</v>
      </c>
      <c r="D425">
        <v>5.2</v>
      </c>
      <c r="E425">
        <v>5.9</v>
      </c>
    </row>
    <row r="426" spans="1:5" x14ac:dyDescent="0.25">
      <c r="A426" t="s">
        <v>25</v>
      </c>
      <c r="B426">
        <v>2023</v>
      </c>
      <c r="C426">
        <v>9.1999999999999993</v>
      </c>
      <c r="D426">
        <v>6.9</v>
      </c>
      <c r="E426">
        <v>7.6</v>
      </c>
    </row>
    <row r="427" spans="1:5" x14ac:dyDescent="0.25">
      <c r="A427" t="s">
        <v>26</v>
      </c>
      <c r="B427">
        <v>2023</v>
      </c>
      <c r="C427">
        <v>7.8</v>
      </c>
      <c r="D427">
        <v>5.5</v>
      </c>
      <c r="E427">
        <v>6.1</v>
      </c>
    </row>
    <row r="428" spans="1:5" x14ac:dyDescent="0.25">
      <c r="A428" t="s">
        <v>27</v>
      </c>
      <c r="B428">
        <v>2023</v>
      </c>
      <c r="C428">
        <v>7.9</v>
      </c>
      <c r="D428">
        <v>5.6</v>
      </c>
      <c r="E428">
        <v>6.2</v>
      </c>
    </row>
    <row r="429" spans="1:5" x14ac:dyDescent="0.25">
      <c r="A429" t="s">
        <v>28</v>
      </c>
      <c r="B429">
        <v>2023</v>
      </c>
      <c r="C429">
        <v>8.5</v>
      </c>
      <c r="D429">
        <v>6.2</v>
      </c>
      <c r="E429">
        <v>6.8</v>
      </c>
    </row>
    <row r="430" spans="1:5" x14ac:dyDescent="0.25">
      <c r="A430" t="s">
        <v>29</v>
      </c>
      <c r="B430">
        <v>2023</v>
      </c>
      <c r="C430">
        <v>8.5</v>
      </c>
      <c r="D430">
        <v>6.1</v>
      </c>
      <c r="E430">
        <v>6.7</v>
      </c>
    </row>
    <row r="431" spans="1:5" x14ac:dyDescent="0.25">
      <c r="A431" t="s">
        <v>30</v>
      </c>
      <c r="B431">
        <v>2023</v>
      </c>
      <c r="C431">
        <v>7.6</v>
      </c>
      <c r="D431">
        <v>5.2</v>
      </c>
      <c r="E431">
        <v>5.7</v>
      </c>
    </row>
    <row r="432" spans="1:5" x14ac:dyDescent="0.25">
      <c r="A432" t="s">
        <v>31</v>
      </c>
      <c r="B432">
        <v>2023</v>
      </c>
      <c r="C432">
        <v>11</v>
      </c>
      <c r="D432">
        <v>8.6999999999999993</v>
      </c>
      <c r="E432">
        <v>9.3000000000000007</v>
      </c>
    </row>
    <row r="433" spans="1:5" x14ac:dyDescent="0.25">
      <c r="A433" t="s">
        <v>32</v>
      </c>
      <c r="B433">
        <v>2023</v>
      </c>
      <c r="C433">
        <v>9.8000000000000007</v>
      </c>
      <c r="D433">
        <v>7.5</v>
      </c>
      <c r="E433">
        <v>8.3000000000000007</v>
      </c>
    </row>
    <row r="434" spans="1:5" x14ac:dyDescent="0.25">
      <c r="A434" t="s">
        <v>33</v>
      </c>
      <c r="B434">
        <v>2023</v>
      </c>
      <c r="C434">
        <v>7.4</v>
      </c>
      <c r="D434">
        <v>5.0999999999999996</v>
      </c>
      <c r="E434">
        <v>5.9</v>
      </c>
    </row>
    <row r="435" spans="1:5" x14ac:dyDescent="0.25">
      <c r="A435" t="s">
        <v>34</v>
      </c>
      <c r="B435">
        <v>2023</v>
      </c>
      <c r="C435">
        <v>8.6999999999999993</v>
      </c>
      <c r="D435">
        <v>6.4</v>
      </c>
      <c r="E435">
        <v>6.9</v>
      </c>
    </row>
    <row r="436" spans="1:5" x14ac:dyDescent="0.25">
      <c r="A436" t="s">
        <v>35</v>
      </c>
      <c r="B436">
        <v>2023</v>
      </c>
      <c r="C436">
        <v>10</v>
      </c>
      <c r="D436">
        <v>7.6</v>
      </c>
      <c r="E436">
        <v>8.1</v>
      </c>
    </row>
    <row r="437" spans="1:5" x14ac:dyDescent="0.25">
      <c r="A437" t="s">
        <v>36</v>
      </c>
      <c r="B437">
        <v>2023</v>
      </c>
      <c r="C437">
        <v>7.7</v>
      </c>
      <c r="D437">
        <v>5.4</v>
      </c>
      <c r="E437">
        <v>6.3</v>
      </c>
    </row>
    <row r="438" spans="1:5" x14ac:dyDescent="0.25">
      <c r="A438" t="s">
        <v>37</v>
      </c>
      <c r="B438">
        <v>2023</v>
      </c>
      <c r="C438">
        <v>7.3</v>
      </c>
      <c r="D438">
        <v>5</v>
      </c>
      <c r="E438">
        <v>5.9</v>
      </c>
    </row>
    <row r="439" spans="1:5" x14ac:dyDescent="0.25">
      <c r="A439" t="s">
        <v>38</v>
      </c>
      <c r="B439">
        <v>2023</v>
      </c>
      <c r="C439">
        <v>10.6</v>
      </c>
      <c r="D439">
        <v>8.3000000000000007</v>
      </c>
      <c r="E439">
        <v>9</v>
      </c>
    </row>
    <row r="440" spans="1:5" x14ac:dyDescent="0.25">
      <c r="A440" t="s">
        <v>39</v>
      </c>
      <c r="B440">
        <v>2023</v>
      </c>
      <c r="C440">
        <v>9.3000000000000007</v>
      </c>
      <c r="D440">
        <v>7</v>
      </c>
      <c r="E440">
        <v>7.6</v>
      </c>
    </row>
    <row r="441" spans="1:5" x14ac:dyDescent="0.25">
      <c r="A441" t="s">
        <v>40</v>
      </c>
      <c r="B441">
        <v>2023</v>
      </c>
      <c r="C441">
        <v>7.7</v>
      </c>
      <c r="D441">
        <v>5.4</v>
      </c>
      <c r="E441">
        <v>6.3</v>
      </c>
    </row>
    <row r="442" spans="1:5" x14ac:dyDescent="0.25">
      <c r="A442" t="s">
        <v>41</v>
      </c>
      <c r="B442">
        <v>2023</v>
      </c>
      <c r="C442">
        <v>10.7</v>
      </c>
      <c r="D442">
        <v>8.4</v>
      </c>
      <c r="E442">
        <v>9.1</v>
      </c>
    </row>
    <row r="443" spans="1:5" x14ac:dyDescent="0.25">
      <c r="A443" t="s">
        <v>42</v>
      </c>
      <c r="B443">
        <v>2023</v>
      </c>
      <c r="C443">
        <v>9.4</v>
      </c>
      <c r="D443">
        <v>7.1</v>
      </c>
      <c r="E443">
        <v>7.7</v>
      </c>
    </row>
    <row r="444" spans="1:5" x14ac:dyDescent="0.25">
      <c r="A444" t="s">
        <v>43</v>
      </c>
      <c r="B444">
        <v>2023</v>
      </c>
      <c r="C444">
        <v>8.8000000000000007</v>
      </c>
      <c r="D444">
        <v>6.5</v>
      </c>
      <c r="E444">
        <v>7.2</v>
      </c>
    </row>
    <row r="445" spans="1:5" x14ac:dyDescent="0.25">
      <c r="A445" t="s">
        <v>44</v>
      </c>
      <c r="B445">
        <v>2023</v>
      </c>
      <c r="C445">
        <v>10.7</v>
      </c>
      <c r="D445">
        <v>8.4</v>
      </c>
      <c r="E445">
        <v>9.3000000000000007</v>
      </c>
    </row>
    <row r="446" spans="1:5" x14ac:dyDescent="0.25">
      <c r="A446" t="s">
        <v>45</v>
      </c>
      <c r="B446">
        <v>2023</v>
      </c>
      <c r="C446">
        <v>7.8</v>
      </c>
      <c r="D446">
        <v>5.5</v>
      </c>
      <c r="E446">
        <v>6.4</v>
      </c>
    </row>
    <row r="447" spans="1:5" x14ac:dyDescent="0.25">
      <c r="A447" t="s">
        <v>46</v>
      </c>
      <c r="B447">
        <v>2023</v>
      </c>
      <c r="C447">
        <v>10.1</v>
      </c>
      <c r="D447">
        <v>7.7</v>
      </c>
      <c r="E447">
        <v>8.6</v>
      </c>
    </row>
    <row r="448" spans="1:5" x14ac:dyDescent="0.25">
      <c r="A448" t="s">
        <v>47</v>
      </c>
      <c r="B448">
        <v>2023</v>
      </c>
      <c r="C448">
        <v>11.1</v>
      </c>
      <c r="D448">
        <v>8.6999999999999993</v>
      </c>
      <c r="E448">
        <v>9.1999999999999993</v>
      </c>
    </row>
    <row r="449" spans="1:5" x14ac:dyDescent="0.25">
      <c r="A449" t="s">
        <v>48</v>
      </c>
      <c r="B449">
        <v>2023</v>
      </c>
      <c r="C449">
        <v>10.7</v>
      </c>
      <c r="D449">
        <v>8.4</v>
      </c>
      <c r="E449">
        <v>9.1</v>
      </c>
    </row>
    <row r="450" spans="1:5" x14ac:dyDescent="0.25">
      <c r="A450" t="s">
        <v>49</v>
      </c>
      <c r="B450">
        <v>2023</v>
      </c>
      <c r="C450">
        <v>9</v>
      </c>
      <c r="D450">
        <v>6.7</v>
      </c>
      <c r="E450">
        <v>7.6</v>
      </c>
    </row>
    <row r="451" spans="1:5" x14ac:dyDescent="0.25">
      <c r="A451" t="s">
        <v>50</v>
      </c>
      <c r="B451">
        <v>2023</v>
      </c>
      <c r="C451">
        <v>9.8000000000000007</v>
      </c>
      <c r="D451">
        <v>7.5</v>
      </c>
      <c r="E451">
        <v>8.1999999999999993</v>
      </c>
    </row>
    <row r="452" spans="1:5" x14ac:dyDescent="0.25">
      <c r="A452" t="s">
        <v>51</v>
      </c>
      <c r="B452">
        <v>2023</v>
      </c>
      <c r="C452">
        <v>9.4</v>
      </c>
      <c r="D452">
        <v>7.1</v>
      </c>
      <c r="E452">
        <v>7.7</v>
      </c>
    </row>
    <row r="453" spans="1:5" x14ac:dyDescent="0.25">
      <c r="A453" t="s">
        <v>52</v>
      </c>
      <c r="B453">
        <v>2023</v>
      </c>
      <c r="C453">
        <v>10.6</v>
      </c>
      <c r="D453">
        <v>8.3000000000000007</v>
      </c>
      <c r="E453">
        <v>8.9</v>
      </c>
    </row>
    <row r="454" spans="1:5" x14ac:dyDescent="0.25">
      <c r="A454" t="s">
        <v>53</v>
      </c>
      <c r="B454">
        <v>2023</v>
      </c>
      <c r="C454">
        <v>10.1</v>
      </c>
      <c r="D454">
        <v>7.8</v>
      </c>
      <c r="E454">
        <v>8.4</v>
      </c>
    </row>
    <row r="455" spans="1:5" x14ac:dyDescent="0.25">
      <c r="A455" t="s">
        <v>54</v>
      </c>
      <c r="B455">
        <v>2023</v>
      </c>
      <c r="C455">
        <v>9.3000000000000007</v>
      </c>
      <c r="D455">
        <v>7</v>
      </c>
      <c r="E455">
        <v>7.6</v>
      </c>
    </row>
    <row r="456" spans="1:5" x14ac:dyDescent="0.25">
      <c r="A456" t="s">
        <v>55</v>
      </c>
      <c r="B456">
        <v>2023</v>
      </c>
      <c r="C456">
        <v>10.7</v>
      </c>
      <c r="D456">
        <v>8.4</v>
      </c>
      <c r="E456">
        <v>8.9</v>
      </c>
    </row>
    <row r="457" spans="1:5" x14ac:dyDescent="0.25">
      <c r="A457" t="s">
        <v>56</v>
      </c>
      <c r="B457">
        <v>2023</v>
      </c>
      <c r="C457">
        <v>9.1</v>
      </c>
      <c r="D457">
        <v>6.7</v>
      </c>
      <c r="E457">
        <v>7.2</v>
      </c>
    </row>
    <row r="458" spans="1:5" x14ac:dyDescent="0.25">
      <c r="A458" t="s">
        <v>57</v>
      </c>
      <c r="B458">
        <v>2023</v>
      </c>
      <c r="C458">
        <v>7.6</v>
      </c>
      <c r="D458">
        <v>5.3</v>
      </c>
      <c r="E458">
        <v>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8330-01B1-4D0C-8F25-33BFBC324AF2}">
  <dimension ref="A1:E458"/>
  <sheetViews>
    <sheetView workbookViewId="0">
      <selection activeCell="I30" sqref="I30"/>
    </sheetView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tr">
        <f>'WP by State &amp; Segment'!A1</f>
        <v>Insurer NJ Umbrella</v>
      </c>
    </row>
    <row r="2" spans="1:5" x14ac:dyDescent="0.25">
      <c r="A2" t="str">
        <f>'WP by State &amp; Segment'!A2</f>
        <v>Umbrella Excess of Loss reinsurance program</v>
      </c>
    </row>
    <row r="3" spans="1:5" x14ac:dyDescent="0.25">
      <c r="A3" t="str">
        <f>'WP by State &amp; Segment'!A3</f>
        <v>Effective: 04/01/2024</v>
      </c>
    </row>
    <row r="4" spans="1:5" x14ac:dyDescent="0.25">
      <c r="A4" t="str">
        <f>'WP by State &amp; Segment'!A4</f>
        <v>Data as of: 11/30/2023</v>
      </c>
    </row>
    <row r="6" spans="1:5" x14ac:dyDescent="0.25">
      <c r="A6" t="s">
        <v>98</v>
      </c>
    </row>
    <row r="7" spans="1:5" x14ac:dyDescent="0.25">
      <c r="C7" t="s">
        <v>97</v>
      </c>
    </row>
    <row r="8" spans="1:5" x14ac:dyDescent="0.25">
      <c r="A8" t="s">
        <v>7</v>
      </c>
      <c r="B8" t="s">
        <v>95</v>
      </c>
      <c r="C8" t="s">
        <v>78</v>
      </c>
      <c r="D8" t="s">
        <v>79</v>
      </c>
      <c r="E8" t="s">
        <v>96</v>
      </c>
    </row>
    <row r="9" spans="1:5" x14ac:dyDescent="0.25">
      <c r="A9" t="s">
        <v>8</v>
      </c>
      <c r="B9">
        <v>2015</v>
      </c>
      <c r="C9">
        <v>3.4</v>
      </c>
      <c r="D9">
        <v>2.9</v>
      </c>
      <c r="E9">
        <v>3.1</v>
      </c>
    </row>
    <row r="10" spans="1:5" x14ac:dyDescent="0.25">
      <c r="A10" t="s">
        <v>9</v>
      </c>
      <c r="B10">
        <v>2015</v>
      </c>
      <c r="C10">
        <v>5.3</v>
      </c>
      <c r="D10">
        <v>4.9000000000000004</v>
      </c>
      <c r="E10">
        <v>5</v>
      </c>
    </row>
    <row r="11" spans="1:5" x14ac:dyDescent="0.25">
      <c r="A11" t="s">
        <v>10</v>
      </c>
      <c r="B11">
        <v>2015</v>
      </c>
      <c r="C11">
        <v>5.6</v>
      </c>
      <c r="D11">
        <v>5.0999999999999996</v>
      </c>
      <c r="E11">
        <v>5.3</v>
      </c>
    </row>
    <row r="12" spans="1:5" x14ac:dyDescent="0.25">
      <c r="A12" t="s">
        <v>11</v>
      </c>
      <c r="B12">
        <v>2015</v>
      </c>
      <c r="C12">
        <v>2.2999999999999998</v>
      </c>
      <c r="D12">
        <v>1.8</v>
      </c>
      <c r="E12">
        <v>1.9</v>
      </c>
    </row>
    <row r="13" spans="1:5" x14ac:dyDescent="0.25">
      <c r="A13" t="s">
        <v>12</v>
      </c>
      <c r="B13">
        <v>2015</v>
      </c>
      <c r="C13">
        <v>1.1000000000000001</v>
      </c>
      <c r="D13">
        <v>0.6</v>
      </c>
      <c r="E13">
        <v>0.7</v>
      </c>
    </row>
    <row r="14" spans="1:5" x14ac:dyDescent="0.25">
      <c r="A14" t="s">
        <v>13</v>
      </c>
      <c r="B14">
        <v>2015</v>
      </c>
      <c r="C14">
        <v>3.7</v>
      </c>
      <c r="D14">
        <v>3.2</v>
      </c>
      <c r="E14">
        <v>3.4</v>
      </c>
    </row>
    <row r="15" spans="1:5" x14ac:dyDescent="0.25">
      <c r="A15" t="s">
        <v>14</v>
      </c>
      <c r="B15">
        <v>2015</v>
      </c>
      <c r="C15">
        <v>4.7</v>
      </c>
      <c r="D15">
        <v>4.2</v>
      </c>
      <c r="E15">
        <v>4.3</v>
      </c>
    </row>
    <row r="16" spans="1:5" x14ac:dyDescent="0.25">
      <c r="A16" t="s">
        <v>15</v>
      </c>
      <c r="B16">
        <v>2015</v>
      </c>
      <c r="C16">
        <v>2.5</v>
      </c>
      <c r="D16">
        <v>2</v>
      </c>
      <c r="E16">
        <v>2.2000000000000002</v>
      </c>
    </row>
    <row r="17" spans="1:5" x14ac:dyDescent="0.25">
      <c r="A17" t="s">
        <v>16</v>
      </c>
      <c r="B17">
        <v>2015</v>
      </c>
      <c r="C17">
        <v>3.2</v>
      </c>
      <c r="D17">
        <v>2.7</v>
      </c>
      <c r="E17">
        <v>2.9</v>
      </c>
    </row>
    <row r="18" spans="1:5" x14ac:dyDescent="0.25">
      <c r="A18" t="s">
        <v>17</v>
      </c>
      <c r="B18">
        <v>2015</v>
      </c>
      <c r="C18">
        <v>0.3</v>
      </c>
      <c r="D18">
        <v>-0.2</v>
      </c>
      <c r="E18">
        <v>0</v>
      </c>
    </row>
    <row r="19" spans="1:5" x14ac:dyDescent="0.25">
      <c r="A19" t="s">
        <v>18</v>
      </c>
      <c r="B19">
        <v>2015</v>
      </c>
      <c r="C19">
        <v>5.9</v>
      </c>
      <c r="D19">
        <v>5.4</v>
      </c>
      <c r="E19">
        <v>5.5</v>
      </c>
    </row>
    <row r="20" spans="1:5" x14ac:dyDescent="0.25">
      <c r="A20" t="s">
        <v>19</v>
      </c>
      <c r="B20">
        <v>2015</v>
      </c>
      <c r="C20">
        <v>4</v>
      </c>
      <c r="D20">
        <v>3.5</v>
      </c>
      <c r="E20">
        <v>3.6</v>
      </c>
    </row>
    <row r="21" spans="1:5" x14ac:dyDescent="0.25">
      <c r="A21" t="s">
        <v>20</v>
      </c>
      <c r="B21">
        <v>2015</v>
      </c>
      <c r="C21">
        <v>0.3</v>
      </c>
      <c r="D21">
        <v>-0.2</v>
      </c>
      <c r="E21">
        <v>0</v>
      </c>
    </row>
    <row r="22" spans="1:5" x14ac:dyDescent="0.25">
      <c r="A22" t="s">
        <v>21</v>
      </c>
      <c r="B22">
        <v>2015</v>
      </c>
      <c r="C22">
        <v>4.0999999999999996</v>
      </c>
      <c r="D22">
        <v>3.6</v>
      </c>
      <c r="E22">
        <v>3.7</v>
      </c>
    </row>
    <row r="23" spans="1:5" x14ac:dyDescent="0.25">
      <c r="A23" t="s">
        <v>22</v>
      </c>
      <c r="B23">
        <v>2015</v>
      </c>
      <c r="C23">
        <v>0.3</v>
      </c>
      <c r="D23">
        <v>-0.2</v>
      </c>
      <c r="E23">
        <v>-0.1</v>
      </c>
    </row>
    <row r="24" spans="1:5" x14ac:dyDescent="0.25">
      <c r="A24" t="s">
        <v>23</v>
      </c>
      <c r="B24">
        <v>2015</v>
      </c>
      <c r="C24">
        <v>5.0999999999999996</v>
      </c>
      <c r="D24">
        <v>4.5999999999999996</v>
      </c>
      <c r="E24">
        <v>4.7</v>
      </c>
    </row>
    <row r="25" spans="1:5" x14ac:dyDescent="0.25">
      <c r="A25" t="s">
        <v>24</v>
      </c>
      <c r="B25">
        <v>2015</v>
      </c>
      <c r="C25">
        <v>4.4000000000000004</v>
      </c>
      <c r="D25">
        <v>3.9</v>
      </c>
      <c r="E25">
        <v>4.0999999999999996</v>
      </c>
    </row>
    <row r="26" spans="1:5" x14ac:dyDescent="0.25">
      <c r="A26" t="s">
        <v>25</v>
      </c>
      <c r="B26">
        <v>2015</v>
      </c>
      <c r="C26">
        <v>0.6</v>
      </c>
      <c r="D26">
        <v>0.1</v>
      </c>
      <c r="E26">
        <v>0.3</v>
      </c>
    </row>
    <row r="27" spans="1:5" x14ac:dyDescent="0.25">
      <c r="A27" t="s">
        <v>26</v>
      </c>
      <c r="B27">
        <v>2015</v>
      </c>
      <c r="C27">
        <v>5.3</v>
      </c>
      <c r="D27">
        <v>4.8</v>
      </c>
      <c r="E27">
        <v>4.9000000000000004</v>
      </c>
    </row>
    <row r="28" spans="1:5" x14ac:dyDescent="0.25">
      <c r="A28" t="s">
        <v>27</v>
      </c>
      <c r="B28">
        <v>2015</v>
      </c>
      <c r="C28">
        <v>2.9</v>
      </c>
      <c r="D28">
        <v>2.4</v>
      </c>
      <c r="E28">
        <v>2.5</v>
      </c>
    </row>
    <row r="29" spans="1:5" x14ac:dyDescent="0.25">
      <c r="A29" t="s">
        <v>28</v>
      </c>
      <c r="B29">
        <v>2015</v>
      </c>
      <c r="C29">
        <v>4.7</v>
      </c>
      <c r="D29">
        <v>4.2</v>
      </c>
      <c r="E29">
        <v>4.4000000000000004</v>
      </c>
    </row>
    <row r="30" spans="1:5" x14ac:dyDescent="0.25">
      <c r="A30" t="s">
        <v>29</v>
      </c>
      <c r="B30">
        <v>2015</v>
      </c>
      <c r="C30">
        <v>2.2999999999999998</v>
      </c>
      <c r="D30">
        <v>1.8</v>
      </c>
      <c r="E30">
        <v>1.9</v>
      </c>
    </row>
    <row r="31" spans="1:5" x14ac:dyDescent="0.25">
      <c r="A31" t="s">
        <v>30</v>
      </c>
      <c r="B31">
        <v>2015</v>
      </c>
      <c r="C31">
        <v>3.4</v>
      </c>
      <c r="D31">
        <v>2.9</v>
      </c>
      <c r="E31">
        <v>3</v>
      </c>
    </row>
    <row r="32" spans="1:5" x14ac:dyDescent="0.25">
      <c r="A32" t="s">
        <v>31</v>
      </c>
      <c r="B32">
        <v>2015</v>
      </c>
      <c r="C32">
        <v>5.9</v>
      </c>
      <c r="D32">
        <v>5.5</v>
      </c>
      <c r="E32">
        <v>5.7</v>
      </c>
    </row>
    <row r="33" spans="1:5" x14ac:dyDescent="0.25">
      <c r="A33" t="s">
        <v>32</v>
      </c>
      <c r="B33">
        <v>2015</v>
      </c>
      <c r="C33">
        <v>5.3</v>
      </c>
      <c r="D33">
        <v>4.8</v>
      </c>
      <c r="E33">
        <v>5</v>
      </c>
    </row>
    <row r="34" spans="1:5" x14ac:dyDescent="0.25">
      <c r="A34" t="s">
        <v>33</v>
      </c>
      <c r="B34">
        <v>2015</v>
      </c>
      <c r="C34">
        <v>5.7</v>
      </c>
      <c r="D34">
        <v>5.2</v>
      </c>
      <c r="E34">
        <v>5.3</v>
      </c>
    </row>
    <row r="35" spans="1:5" x14ac:dyDescent="0.25">
      <c r="A35" t="s">
        <v>34</v>
      </c>
      <c r="B35">
        <v>2015</v>
      </c>
      <c r="C35">
        <v>3.7</v>
      </c>
      <c r="D35">
        <v>3.2</v>
      </c>
      <c r="E35">
        <v>3.4</v>
      </c>
    </row>
    <row r="36" spans="1:5" x14ac:dyDescent="0.25">
      <c r="A36" t="s">
        <v>35</v>
      </c>
      <c r="B36">
        <v>2015</v>
      </c>
      <c r="C36">
        <v>3.9</v>
      </c>
      <c r="D36">
        <v>3.4</v>
      </c>
      <c r="E36">
        <v>3.6</v>
      </c>
    </row>
    <row r="37" spans="1:5" x14ac:dyDescent="0.25">
      <c r="A37" t="s">
        <v>36</v>
      </c>
      <c r="B37">
        <v>2015</v>
      </c>
      <c r="C37">
        <v>0.9</v>
      </c>
      <c r="D37">
        <v>0.4</v>
      </c>
      <c r="E37">
        <v>0.5</v>
      </c>
    </row>
    <row r="38" spans="1:5" x14ac:dyDescent="0.25">
      <c r="A38" t="s">
        <v>37</v>
      </c>
      <c r="B38">
        <v>2015</v>
      </c>
      <c r="C38">
        <v>0.8</v>
      </c>
      <c r="D38">
        <v>0.3</v>
      </c>
      <c r="E38">
        <v>0.4</v>
      </c>
    </row>
    <row r="39" spans="1:5" x14ac:dyDescent="0.25">
      <c r="A39" t="s">
        <v>38</v>
      </c>
      <c r="B39">
        <v>2015</v>
      </c>
      <c r="C39">
        <v>5.5</v>
      </c>
      <c r="D39">
        <v>5</v>
      </c>
      <c r="E39">
        <v>5.2</v>
      </c>
    </row>
    <row r="40" spans="1:5" x14ac:dyDescent="0.25">
      <c r="A40" t="s">
        <v>39</v>
      </c>
      <c r="B40">
        <v>2015</v>
      </c>
      <c r="C40">
        <v>1</v>
      </c>
      <c r="D40">
        <v>0.5</v>
      </c>
      <c r="E40">
        <v>0.7</v>
      </c>
    </row>
    <row r="41" spans="1:5" x14ac:dyDescent="0.25">
      <c r="A41" t="s">
        <v>40</v>
      </c>
      <c r="B41">
        <v>2015</v>
      </c>
      <c r="C41">
        <v>1</v>
      </c>
      <c r="D41">
        <v>0.5</v>
      </c>
      <c r="E41">
        <v>0.6</v>
      </c>
    </row>
    <row r="42" spans="1:5" x14ac:dyDescent="0.25">
      <c r="A42" t="s">
        <v>41</v>
      </c>
      <c r="B42">
        <v>2015</v>
      </c>
      <c r="C42">
        <v>0.4</v>
      </c>
      <c r="D42">
        <v>-0.1</v>
      </c>
      <c r="E42">
        <v>0.1</v>
      </c>
    </row>
    <row r="43" spans="1:5" x14ac:dyDescent="0.25">
      <c r="A43" t="s">
        <v>42</v>
      </c>
      <c r="B43">
        <v>2015</v>
      </c>
      <c r="C43">
        <v>1.6</v>
      </c>
      <c r="D43">
        <v>1.1000000000000001</v>
      </c>
      <c r="E43">
        <v>1.3</v>
      </c>
    </row>
    <row r="44" spans="1:5" x14ac:dyDescent="0.25">
      <c r="A44" t="s">
        <v>43</v>
      </c>
      <c r="B44">
        <v>2015</v>
      </c>
      <c r="C44">
        <v>1</v>
      </c>
      <c r="D44">
        <v>0.5</v>
      </c>
      <c r="E44">
        <v>0.6</v>
      </c>
    </row>
    <row r="45" spans="1:5" x14ac:dyDescent="0.25">
      <c r="A45" t="s">
        <v>44</v>
      </c>
      <c r="B45">
        <v>2015</v>
      </c>
      <c r="C45">
        <v>0.5</v>
      </c>
      <c r="D45">
        <v>0</v>
      </c>
      <c r="E45">
        <v>0.2</v>
      </c>
    </row>
    <row r="46" spans="1:5" x14ac:dyDescent="0.25">
      <c r="A46" t="s">
        <v>45</v>
      </c>
      <c r="B46">
        <v>2015</v>
      </c>
      <c r="C46">
        <v>4.7</v>
      </c>
      <c r="D46">
        <v>4.2</v>
      </c>
      <c r="E46">
        <v>4.3</v>
      </c>
    </row>
    <row r="47" spans="1:5" x14ac:dyDescent="0.25">
      <c r="A47" t="s">
        <v>46</v>
      </c>
      <c r="B47">
        <v>2015</v>
      </c>
      <c r="C47">
        <v>3.6</v>
      </c>
      <c r="D47">
        <v>3.2</v>
      </c>
      <c r="E47">
        <v>3.3</v>
      </c>
    </row>
    <row r="48" spans="1:5" x14ac:dyDescent="0.25">
      <c r="A48" t="s">
        <v>47</v>
      </c>
      <c r="B48">
        <v>2015</v>
      </c>
      <c r="C48">
        <v>4.3</v>
      </c>
      <c r="D48">
        <v>3.8</v>
      </c>
      <c r="E48">
        <v>4</v>
      </c>
    </row>
    <row r="49" spans="1:5" x14ac:dyDescent="0.25">
      <c r="A49" t="s">
        <v>48</v>
      </c>
      <c r="B49">
        <v>2015</v>
      </c>
      <c r="C49">
        <v>0.8</v>
      </c>
      <c r="D49">
        <v>0.3</v>
      </c>
      <c r="E49">
        <v>0.4</v>
      </c>
    </row>
    <row r="50" spans="1:5" x14ac:dyDescent="0.25">
      <c r="A50" t="s">
        <v>49</v>
      </c>
      <c r="B50">
        <v>2015</v>
      </c>
      <c r="C50">
        <v>3.1</v>
      </c>
      <c r="D50">
        <v>2.6</v>
      </c>
      <c r="E50">
        <v>2.7</v>
      </c>
    </row>
    <row r="51" spans="1:5" x14ac:dyDescent="0.25">
      <c r="A51" t="s">
        <v>50</v>
      </c>
      <c r="B51">
        <v>2015</v>
      </c>
      <c r="C51">
        <v>1.4</v>
      </c>
      <c r="D51">
        <v>0.9</v>
      </c>
      <c r="E51">
        <v>1</v>
      </c>
    </row>
    <row r="52" spans="1:5" x14ac:dyDescent="0.25">
      <c r="A52" t="s">
        <v>51</v>
      </c>
      <c r="B52">
        <v>2015</v>
      </c>
      <c r="C52">
        <v>6.2</v>
      </c>
      <c r="D52">
        <v>5.8</v>
      </c>
      <c r="E52">
        <v>5.9</v>
      </c>
    </row>
    <row r="53" spans="1:5" x14ac:dyDescent="0.25">
      <c r="A53" t="s">
        <v>52</v>
      </c>
      <c r="B53">
        <v>2015</v>
      </c>
      <c r="C53">
        <v>0.4</v>
      </c>
      <c r="D53">
        <v>-0.1</v>
      </c>
      <c r="E53">
        <v>0.1</v>
      </c>
    </row>
    <row r="54" spans="1:5" x14ac:dyDescent="0.25">
      <c r="A54" t="s">
        <v>53</v>
      </c>
      <c r="B54">
        <v>2015</v>
      </c>
      <c r="C54">
        <v>5.5</v>
      </c>
      <c r="D54">
        <v>5</v>
      </c>
      <c r="E54">
        <v>5.2</v>
      </c>
    </row>
    <row r="55" spans="1:5" x14ac:dyDescent="0.25">
      <c r="A55" t="s">
        <v>54</v>
      </c>
      <c r="B55">
        <v>2015</v>
      </c>
      <c r="C55">
        <v>3.1</v>
      </c>
      <c r="D55">
        <v>2.6</v>
      </c>
      <c r="E55">
        <v>2.7</v>
      </c>
    </row>
    <row r="56" spans="1:5" x14ac:dyDescent="0.25">
      <c r="A56" t="s">
        <v>55</v>
      </c>
      <c r="B56">
        <v>2015</v>
      </c>
      <c r="C56">
        <v>1.7</v>
      </c>
      <c r="D56">
        <v>1.2</v>
      </c>
      <c r="E56">
        <v>1.3</v>
      </c>
    </row>
    <row r="57" spans="1:5" x14ac:dyDescent="0.25">
      <c r="A57" t="s">
        <v>56</v>
      </c>
      <c r="B57">
        <v>2015</v>
      </c>
      <c r="C57">
        <v>5.6</v>
      </c>
      <c r="D57">
        <v>5.0999999999999996</v>
      </c>
      <c r="E57">
        <v>5.2</v>
      </c>
    </row>
    <row r="58" spans="1:5" x14ac:dyDescent="0.25">
      <c r="A58" t="s">
        <v>57</v>
      </c>
      <c r="B58">
        <v>2015</v>
      </c>
      <c r="C58">
        <v>5.3</v>
      </c>
      <c r="D58">
        <v>4.8</v>
      </c>
      <c r="E58">
        <v>4.9000000000000004</v>
      </c>
    </row>
    <row r="59" spans="1:5" x14ac:dyDescent="0.25">
      <c r="A59" t="s">
        <v>8</v>
      </c>
      <c r="B59">
        <v>2016</v>
      </c>
      <c r="C59">
        <v>2.7</v>
      </c>
      <c r="D59">
        <v>2</v>
      </c>
      <c r="E59">
        <v>2.2999999999999998</v>
      </c>
    </row>
    <row r="60" spans="1:5" x14ac:dyDescent="0.25">
      <c r="A60" t="s">
        <v>9</v>
      </c>
      <c r="B60">
        <v>2016</v>
      </c>
      <c r="C60">
        <v>5.4</v>
      </c>
      <c r="D60">
        <v>4.7</v>
      </c>
      <c r="E60">
        <v>4.9000000000000004</v>
      </c>
    </row>
    <row r="61" spans="1:5" x14ac:dyDescent="0.25">
      <c r="A61" t="s">
        <v>10</v>
      </c>
      <c r="B61">
        <v>2016</v>
      </c>
      <c r="C61">
        <v>7.8</v>
      </c>
      <c r="D61">
        <v>7.1</v>
      </c>
      <c r="E61">
        <v>7.3</v>
      </c>
    </row>
    <row r="62" spans="1:5" x14ac:dyDescent="0.25">
      <c r="A62" t="s">
        <v>11</v>
      </c>
      <c r="B62">
        <v>2016</v>
      </c>
      <c r="C62">
        <v>2.1</v>
      </c>
      <c r="D62">
        <v>1.4</v>
      </c>
      <c r="E62">
        <v>1.6</v>
      </c>
    </row>
    <row r="63" spans="1:5" x14ac:dyDescent="0.25">
      <c r="A63" t="s">
        <v>12</v>
      </c>
      <c r="B63">
        <v>2016</v>
      </c>
      <c r="C63">
        <v>2.2999999999999998</v>
      </c>
      <c r="D63">
        <v>1.6</v>
      </c>
      <c r="E63">
        <v>1.8</v>
      </c>
    </row>
    <row r="64" spans="1:5" x14ac:dyDescent="0.25">
      <c r="A64" t="s">
        <v>13</v>
      </c>
      <c r="B64">
        <v>2016</v>
      </c>
      <c r="C64">
        <v>2.1</v>
      </c>
      <c r="D64">
        <v>1.4</v>
      </c>
      <c r="E64">
        <v>1.6</v>
      </c>
    </row>
    <row r="65" spans="1:5" x14ac:dyDescent="0.25">
      <c r="A65" t="s">
        <v>14</v>
      </c>
      <c r="B65">
        <v>2016</v>
      </c>
      <c r="C65">
        <v>3</v>
      </c>
      <c r="D65">
        <v>2.2999999999999998</v>
      </c>
      <c r="E65">
        <v>2.5</v>
      </c>
    </row>
    <row r="66" spans="1:5" x14ac:dyDescent="0.25">
      <c r="A66" t="s">
        <v>15</v>
      </c>
      <c r="B66">
        <v>2016</v>
      </c>
      <c r="C66">
        <v>3.9</v>
      </c>
      <c r="D66">
        <v>3.2</v>
      </c>
      <c r="E66">
        <v>3.5</v>
      </c>
    </row>
    <row r="67" spans="1:5" x14ac:dyDescent="0.25">
      <c r="A67" t="s">
        <v>16</v>
      </c>
      <c r="B67">
        <v>2016</v>
      </c>
      <c r="C67">
        <v>4</v>
      </c>
      <c r="D67">
        <v>3.3</v>
      </c>
      <c r="E67">
        <v>3.5</v>
      </c>
    </row>
    <row r="68" spans="1:5" x14ac:dyDescent="0.25">
      <c r="A68" t="s">
        <v>17</v>
      </c>
      <c r="B68">
        <v>2016</v>
      </c>
      <c r="C68">
        <v>4.2</v>
      </c>
      <c r="D68">
        <v>3.5</v>
      </c>
      <c r="E68">
        <v>3.6</v>
      </c>
    </row>
    <row r="69" spans="1:5" x14ac:dyDescent="0.25">
      <c r="A69" t="s">
        <v>18</v>
      </c>
      <c r="B69">
        <v>2016</v>
      </c>
      <c r="C69">
        <v>3.1</v>
      </c>
      <c r="D69">
        <v>2.4</v>
      </c>
      <c r="E69">
        <v>2.6</v>
      </c>
    </row>
    <row r="70" spans="1:5" x14ac:dyDescent="0.25">
      <c r="A70" t="s">
        <v>19</v>
      </c>
      <c r="B70">
        <v>2016</v>
      </c>
      <c r="C70">
        <v>6</v>
      </c>
      <c r="D70">
        <v>5.3</v>
      </c>
      <c r="E70">
        <v>5.5</v>
      </c>
    </row>
    <row r="71" spans="1:5" x14ac:dyDescent="0.25">
      <c r="A71" t="s">
        <v>20</v>
      </c>
      <c r="B71">
        <v>2016</v>
      </c>
      <c r="C71">
        <v>7.5</v>
      </c>
      <c r="D71">
        <v>6.8</v>
      </c>
      <c r="E71">
        <v>7.1</v>
      </c>
    </row>
    <row r="72" spans="1:5" x14ac:dyDescent="0.25">
      <c r="A72" t="s">
        <v>21</v>
      </c>
      <c r="B72">
        <v>2016</v>
      </c>
      <c r="C72">
        <v>4.5999999999999996</v>
      </c>
      <c r="D72">
        <v>3.9</v>
      </c>
      <c r="E72">
        <v>4.0999999999999996</v>
      </c>
    </row>
    <row r="73" spans="1:5" x14ac:dyDescent="0.25">
      <c r="A73" t="s">
        <v>22</v>
      </c>
      <c r="B73">
        <v>2016</v>
      </c>
      <c r="C73">
        <v>7.8</v>
      </c>
      <c r="D73">
        <v>7.1</v>
      </c>
      <c r="E73">
        <v>7.3</v>
      </c>
    </row>
    <row r="74" spans="1:5" x14ac:dyDescent="0.25">
      <c r="A74" t="s">
        <v>23</v>
      </c>
      <c r="B74">
        <v>2016</v>
      </c>
      <c r="C74">
        <v>6.5</v>
      </c>
      <c r="D74">
        <v>5.7</v>
      </c>
      <c r="E74">
        <v>5.9</v>
      </c>
    </row>
    <row r="75" spans="1:5" x14ac:dyDescent="0.25">
      <c r="A75" t="s">
        <v>24</v>
      </c>
      <c r="B75">
        <v>2016</v>
      </c>
      <c r="C75">
        <v>6.4</v>
      </c>
      <c r="D75">
        <v>5.7</v>
      </c>
      <c r="E75">
        <v>5.9</v>
      </c>
    </row>
    <row r="76" spans="1:5" x14ac:dyDescent="0.25">
      <c r="A76" t="s">
        <v>25</v>
      </c>
      <c r="B76">
        <v>2016</v>
      </c>
      <c r="C76">
        <v>7.8</v>
      </c>
      <c r="D76">
        <v>7.1</v>
      </c>
      <c r="E76">
        <v>7.4</v>
      </c>
    </row>
    <row r="77" spans="1:5" x14ac:dyDescent="0.25">
      <c r="A77" t="s">
        <v>26</v>
      </c>
      <c r="B77">
        <v>2016</v>
      </c>
      <c r="C77">
        <v>7.2</v>
      </c>
      <c r="D77">
        <v>6.5</v>
      </c>
      <c r="E77">
        <v>6.7</v>
      </c>
    </row>
    <row r="78" spans="1:5" x14ac:dyDescent="0.25">
      <c r="A78" t="s">
        <v>27</v>
      </c>
      <c r="B78">
        <v>2016</v>
      </c>
      <c r="C78">
        <v>6.8</v>
      </c>
      <c r="D78">
        <v>6</v>
      </c>
      <c r="E78">
        <v>6.2</v>
      </c>
    </row>
    <row r="79" spans="1:5" x14ac:dyDescent="0.25">
      <c r="A79" t="s">
        <v>28</v>
      </c>
      <c r="B79">
        <v>2016</v>
      </c>
      <c r="C79">
        <v>2.8</v>
      </c>
      <c r="D79">
        <v>2.1</v>
      </c>
      <c r="E79">
        <v>2.2999999999999998</v>
      </c>
    </row>
    <row r="80" spans="1:5" x14ac:dyDescent="0.25">
      <c r="A80" t="s">
        <v>29</v>
      </c>
      <c r="B80">
        <v>2016</v>
      </c>
      <c r="C80">
        <v>4.9000000000000004</v>
      </c>
      <c r="D80">
        <v>4.2</v>
      </c>
      <c r="E80">
        <v>4.4000000000000004</v>
      </c>
    </row>
    <row r="81" spans="1:5" x14ac:dyDescent="0.25">
      <c r="A81" t="s">
        <v>30</v>
      </c>
      <c r="B81">
        <v>2016</v>
      </c>
      <c r="C81">
        <v>4.3</v>
      </c>
      <c r="D81">
        <v>3.5</v>
      </c>
      <c r="E81">
        <v>3.7</v>
      </c>
    </row>
    <row r="82" spans="1:5" x14ac:dyDescent="0.25">
      <c r="A82" t="s">
        <v>31</v>
      </c>
      <c r="B82">
        <v>2016</v>
      </c>
      <c r="C82">
        <v>3.5</v>
      </c>
      <c r="D82">
        <v>2.8</v>
      </c>
      <c r="E82">
        <v>2.9</v>
      </c>
    </row>
    <row r="83" spans="1:5" x14ac:dyDescent="0.25">
      <c r="A83" t="s">
        <v>32</v>
      </c>
      <c r="B83">
        <v>2016</v>
      </c>
      <c r="C83">
        <v>3.7</v>
      </c>
      <c r="D83">
        <v>3</v>
      </c>
      <c r="E83">
        <v>3.2</v>
      </c>
    </row>
    <row r="84" spans="1:5" x14ac:dyDescent="0.25">
      <c r="A84" t="s">
        <v>33</v>
      </c>
      <c r="B84">
        <v>2016</v>
      </c>
      <c r="C84">
        <v>7.9</v>
      </c>
      <c r="D84">
        <v>7.2</v>
      </c>
      <c r="E84">
        <v>7.3</v>
      </c>
    </row>
    <row r="85" spans="1:5" x14ac:dyDescent="0.25">
      <c r="A85" t="s">
        <v>34</v>
      </c>
      <c r="B85">
        <v>2016</v>
      </c>
      <c r="C85">
        <v>7.2</v>
      </c>
      <c r="D85">
        <v>6.5</v>
      </c>
      <c r="E85">
        <v>6.8</v>
      </c>
    </row>
    <row r="86" spans="1:5" x14ac:dyDescent="0.25">
      <c r="A86" t="s">
        <v>35</v>
      </c>
      <c r="B86">
        <v>2016</v>
      </c>
      <c r="C86">
        <v>5.8</v>
      </c>
      <c r="D86">
        <v>5.0999999999999996</v>
      </c>
      <c r="E86">
        <v>5.3</v>
      </c>
    </row>
    <row r="87" spans="1:5" x14ac:dyDescent="0.25">
      <c r="A87" t="s">
        <v>36</v>
      </c>
      <c r="B87">
        <v>2016</v>
      </c>
      <c r="C87">
        <v>6.9</v>
      </c>
      <c r="D87">
        <v>6.2</v>
      </c>
      <c r="E87">
        <v>6.4</v>
      </c>
    </row>
    <row r="88" spans="1:5" x14ac:dyDescent="0.25">
      <c r="A88" t="s">
        <v>37</v>
      </c>
      <c r="B88">
        <v>2016</v>
      </c>
      <c r="C88">
        <v>5.3</v>
      </c>
      <c r="D88">
        <v>4.5999999999999996</v>
      </c>
      <c r="E88">
        <v>4.9000000000000004</v>
      </c>
    </row>
    <row r="89" spans="1:5" x14ac:dyDescent="0.25">
      <c r="A89" t="s">
        <v>38</v>
      </c>
      <c r="B89">
        <v>2016</v>
      </c>
      <c r="C89">
        <v>2.9</v>
      </c>
      <c r="D89">
        <v>2.2000000000000002</v>
      </c>
      <c r="E89">
        <v>2.5</v>
      </c>
    </row>
    <row r="90" spans="1:5" x14ac:dyDescent="0.25">
      <c r="A90" t="s">
        <v>39</v>
      </c>
      <c r="B90">
        <v>2016</v>
      </c>
      <c r="C90">
        <v>2.2000000000000002</v>
      </c>
      <c r="D90">
        <v>1.5</v>
      </c>
      <c r="E90">
        <v>1.7</v>
      </c>
    </row>
    <row r="91" spans="1:5" x14ac:dyDescent="0.25">
      <c r="A91" t="s">
        <v>40</v>
      </c>
      <c r="B91">
        <v>2016</v>
      </c>
      <c r="C91">
        <v>7.5</v>
      </c>
      <c r="D91">
        <v>6.8</v>
      </c>
      <c r="E91">
        <v>7</v>
      </c>
    </row>
    <row r="92" spans="1:5" x14ac:dyDescent="0.25">
      <c r="A92" t="s">
        <v>41</v>
      </c>
      <c r="B92">
        <v>2016</v>
      </c>
      <c r="C92">
        <v>7.9</v>
      </c>
      <c r="D92">
        <v>7.2</v>
      </c>
      <c r="E92">
        <v>7.3</v>
      </c>
    </row>
    <row r="93" spans="1:5" x14ac:dyDescent="0.25">
      <c r="A93" t="s">
        <v>42</v>
      </c>
      <c r="B93">
        <v>2016</v>
      </c>
      <c r="C93">
        <v>7.6</v>
      </c>
      <c r="D93">
        <v>6.8</v>
      </c>
      <c r="E93">
        <v>7</v>
      </c>
    </row>
    <row r="94" spans="1:5" x14ac:dyDescent="0.25">
      <c r="A94" t="s">
        <v>43</v>
      </c>
      <c r="B94">
        <v>2016</v>
      </c>
      <c r="C94">
        <v>5.7</v>
      </c>
      <c r="D94">
        <v>4.9000000000000004</v>
      </c>
      <c r="E94">
        <v>5.0999999999999996</v>
      </c>
    </row>
    <row r="95" spans="1:5" x14ac:dyDescent="0.25">
      <c r="A95" t="s">
        <v>44</v>
      </c>
      <c r="B95">
        <v>2016</v>
      </c>
      <c r="C95">
        <v>2.4</v>
      </c>
      <c r="D95">
        <v>1.7</v>
      </c>
      <c r="E95">
        <v>1.9</v>
      </c>
    </row>
    <row r="96" spans="1:5" x14ac:dyDescent="0.25">
      <c r="A96" t="s">
        <v>45</v>
      </c>
      <c r="B96">
        <v>2016</v>
      </c>
      <c r="C96">
        <v>5.2</v>
      </c>
      <c r="D96">
        <v>4.5</v>
      </c>
      <c r="E96">
        <v>4.7</v>
      </c>
    </row>
    <row r="97" spans="1:5" x14ac:dyDescent="0.25">
      <c r="A97" t="s">
        <v>46</v>
      </c>
      <c r="B97">
        <v>2016</v>
      </c>
      <c r="C97">
        <v>7.2</v>
      </c>
      <c r="D97">
        <v>6.5</v>
      </c>
      <c r="E97">
        <v>6.7</v>
      </c>
    </row>
    <row r="98" spans="1:5" x14ac:dyDescent="0.25">
      <c r="A98" t="s">
        <v>47</v>
      </c>
      <c r="B98">
        <v>2016</v>
      </c>
      <c r="C98">
        <v>2.2000000000000002</v>
      </c>
      <c r="D98">
        <v>1.5</v>
      </c>
      <c r="E98">
        <v>1.8</v>
      </c>
    </row>
    <row r="99" spans="1:5" x14ac:dyDescent="0.25">
      <c r="A99" t="s">
        <v>48</v>
      </c>
      <c r="B99">
        <v>2016</v>
      </c>
      <c r="C99">
        <v>4.3</v>
      </c>
      <c r="D99">
        <v>3.6</v>
      </c>
      <c r="E99">
        <v>3.8</v>
      </c>
    </row>
    <row r="100" spans="1:5" x14ac:dyDescent="0.25">
      <c r="A100" t="s">
        <v>49</v>
      </c>
      <c r="B100">
        <v>2016</v>
      </c>
      <c r="C100">
        <v>7.8</v>
      </c>
      <c r="D100">
        <v>7.1</v>
      </c>
      <c r="E100">
        <v>7.3</v>
      </c>
    </row>
    <row r="101" spans="1:5" x14ac:dyDescent="0.25">
      <c r="A101" t="s">
        <v>50</v>
      </c>
      <c r="B101">
        <v>2016</v>
      </c>
      <c r="C101">
        <v>7.6</v>
      </c>
      <c r="D101">
        <v>6.9</v>
      </c>
      <c r="E101">
        <v>7.1</v>
      </c>
    </row>
    <row r="102" spans="1:5" x14ac:dyDescent="0.25">
      <c r="A102" t="s">
        <v>51</v>
      </c>
      <c r="B102">
        <v>2016</v>
      </c>
      <c r="C102">
        <v>5.9</v>
      </c>
      <c r="D102">
        <v>5.2</v>
      </c>
      <c r="E102">
        <v>5.5</v>
      </c>
    </row>
    <row r="103" spans="1:5" x14ac:dyDescent="0.25">
      <c r="A103" t="s">
        <v>52</v>
      </c>
      <c r="B103">
        <v>2016</v>
      </c>
      <c r="C103">
        <v>7</v>
      </c>
      <c r="D103">
        <v>6.3</v>
      </c>
      <c r="E103">
        <v>6.5</v>
      </c>
    </row>
    <row r="104" spans="1:5" x14ac:dyDescent="0.25">
      <c r="A104" t="s">
        <v>53</v>
      </c>
      <c r="B104">
        <v>2016</v>
      </c>
      <c r="C104">
        <v>4.7</v>
      </c>
      <c r="D104">
        <v>4</v>
      </c>
      <c r="E104">
        <v>4.3</v>
      </c>
    </row>
    <row r="105" spans="1:5" x14ac:dyDescent="0.25">
      <c r="A105" t="s">
        <v>54</v>
      </c>
      <c r="B105">
        <v>2016</v>
      </c>
      <c r="C105">
        <v>4.0999999999999996</v>
      </c>
      <c r="D105">
        <v>3.4</v>
      </c>
      <c r="E105">
        <v>3.5</v>
      </c>
    </row>
    <row r="106" spans="1:5" x14ac:dyDescent="0.25">
      <c r="A106" t="s">
        <v>55</v>
      </c>
      <c r="B106">
        <v>2016</v>
      </c>
      <c r="C106">
        <v>7.7</v>
      </c>
      <c r="D106">
        <v>6.9</v>
      </c>
      <c r="E106">
        <v>7.2</v>
      </c>
    </row>
    <row r="107" spans="1:5" x14ac:dyDescent="0.25">
      <c r="A107" t="s">
        <v>56</v>
      </c>
      <c r="B107">
        <v>2016</v>
      </c>
      <c r="C107">
        <v>4.5999999999999996</v>
      </c>
      <c r="D107">
        <v>3.9</v>
      </c>
      <c r="E107">
        <v>4.2</v>
      </c>
    </row>
    <row r="108" spans="1:5" x14ac:dyDescent="0.25">
      <c r="A108" t="s">
        <v>57</v>
      </c>
      <c r="B108">
        <v>2016</v>
      </c>
      <c r="C108">
        <v>5.3</v>
      </c>
      <c r="D108">
        <v>4.5</v>
      </c>
      <c r="E108">
        <v>4.8</v>
      </c>
    </row>
    <row r="109" spans="1:5" x14ac:dyDescent="0.25">
      <c r="A109" t="s">
        <v>8</v>
      </c>
      <c r="B109">
        <v>2017</v>
      </c>
      <c r="C109">
        <v>-4.4000000000000004</v>
      </c>
      <c r="D109">
        <v>-3.7</v>
      </c>
      <c r="E109">
        <v>-4</v>
      </c>
    </row>
    <row r="110" spans="1:5" x14ac:dyDescent="0.25">
      <c r="A110" t="s">
        <v>9</v>
      </c>
      <c r="B110">
        <v>2017</v>
      </c>
      <c r="C110">
        <v>0.1</v>
      </c>
      <c r="D110">
        <v>0.8</v>
      </c>
      <c r="E110">
        <v>0.5</v>
      </c>
    </row>
    <row r="111" spans="1:5" x14ac:dyDescent="0.25">
      <c r="A111" t="s">
        <v>10</v>
      </c>
      <c r="B111">
        <v>2017</v>
      </c>
      <c r="C111">
        <v>-5.0999999999999996</v>
      </c>
      <c r="D111">
        <v>-4.4000000000000004</v>
      </c>
      <c r="E111">
        <v>-4.7</v>
      </c>
    </row>
    <row r="112" spans="1:5" x14ac:dyDescent="0.25">
      <c r="A112" t="s">
        <v>11</v>
      </c>
      <c r="B112">
        <v>2017</v>
      </c>
      <c r="C112">
        <v>-2.2000000000000002</v>
      </c>
      <c r="D112">
        <v>-1.5</v>
      </c>
      <c r="E112">
        <v>-1.7</v>
      </c>
    </row>
    <row r="113" spans="1:5" x14ac:dyDescent="0.25">
      <c r="A113" t="s">
        <v>12</v>
      </c>
      <c r="B113">
        <v>2017</v>
      </c>
      <c r="C113">
        <v>-3.7</v>
      </c>
      <c r="D113">
        <v>-3</v>
      </c>
      <c r="E113">
        <v>-3.2</v>
      </c>
    </row>
    <row r="114" spans="1:5" x14ac:dyDescent="0.25">
      <c r="A114" t="s">
        <v>13</v>
      </c>
      <c r="B114">
        <v>2017</v>
      </c>
      <c r="C114">
        <v>-5.0999999999999996</v>
      </c>
      <c r="D114">
        <v>-4.4000000000000004</v>
      </c>
      <c r="E114">
        <v>-4.5999999999999996</v>
      </c>
    </row>
    <row r="115" spans="1:5" x14ac:dyDescent="0.25">
      <c r="A115" t="s">
        <v>14</v>
      </c>
      <c r="B115">
        <v>2017</v>
      </c>
      <c r="C115">
        <v>0.6</v>
      </c>
      <c r="D115">
        <v>1.3</v>
      </c>
      <c r="E115">
        <v>1</v>
      </c>
    </row>
    <row r="116" spans="1:5" x14ac:dyDescent="0.25">
      <c r="A116" t="s">
        <v>15</v>
      </c>
      <c r="B116">
        <v>2017</v>
      </c>
      <c r="C116">
        <v>-2.8</v>
      </c>
      <c r="D116">
        <v>-2.1</v>
      </c>
      <c r="E116">
        <v>-2.2999999999999998</v>
      </c>
    </row>
    <row r="117" spans="1:5" x14ac:dyDescent="0.25">
      <c r="A117" t="s">
        <v>16</v>
      </c>
      <c r="B117">
        <v>2017</v>
      </c>
      <c r="C117">
        <v>-1.4</v>
      </c>
      <c r="D117">
        <v>-0.7</v>
      </c>
      <c r="E117">
        <v>-0.9</v>
      </c>
    </row>
    <row r="118" spans="1:5" x14ac:dyDescent="0.25">
      <c r="A118" t="s">
        <v>17</v>
      </c>
      <c r="B118">
        <v>2017</v>
      </c>
      <c r="C118">
        <v>-5.3</v>
      </c>
      <c r="D118">
        <v>-4.5999999999999996</v>
      </c>
      <c r="E118">
        <v>-4.9000000000000004</v>
      </c>
    </row>
    <row r="119" spans="1:5" x14ac:dyDescent="0.25">
      <c r="A119" t="s">
        <v>18</v>
      </c>
      <c r="B119">
        <v>2017</v>
      </c>
      <c r="C119">
        <v>-1.5</v>
      </c>
      <c r="D119">
        <v>-0.8</v>
      </c>
      <c r="E119">
        <v>-1</v>
      </c>
    </row>
    <row r="120" spans="1:5" x14ac:dyDescent="0.25">
      <c r="A120" t="s">
        <v>19</v>
      </c>
      <c r="B120">
        <v>2017</v>
      </c>
      <c r="C120">
        <v>-0.3</v>
      </c>
      <c r="D120">
        <v>0.4</v>
      </c>
      <c r="E120">
        <v>0.1</v>
      </c>
    </row>
    <row r="121" spans="1:5" x14ac:dyDescent="0.25">
      <c r="A121" t="s">
        <v>20</v>
      </c>
      <c r="B121">
        <v>2017</v>
      </c>
      <c r="C121">
        <v>-2.4</v>
      </c>
      <c r="D121">
        <v>-1.6</v>
      </c>
      <c r="E121">
        <v>-1.8</v>
      </c>
    </row>
    <row r="122" spans="1:5" x14ac:dyDescent="0.25">
      <c r="A122" t="s">
        <v>21</v>
      </c>
      <c r="B122">
        <v>2017</v>
      </c>
      <c r="C122">
        <v>-2.6</v>
      </c>
      <c r="D122">
        <v>-1.9</v>
      </c>
      <c r="E122">
        <v>-2.1</v>
      </c>
    </row>
    <row r="123" spans="1:5" x14ac:dyDescent="0.25">
      <c r="A123" t="s">
        <v>22</v>
      </c>
      <c r="B123">
        <v>2017</v>
      </c>
      <c r="C123">
        <v>-0.8</v>
      </c>
      <c r="D123">
        <v>-0.1</v>
      </c>
      <c r="E123">
        <v>-0.2</v>
      </c>
    </row>
    <row r="124" spans="1:5" x14ac:dyDescent="0.25">
      <c r="A124" t="s">
        <v>23</v>
      </c>
      <c r="B124">
        <v>2017</v>
      </c>
      <c r="C124">
        <v>-2.5</v>
      </c>
      <c r="D124">
        <v>-1.8</v>
      </c>
      <c r="E124">
        <v>-2</v>
      </c>
    </row>
    <row r="125" spans="1:5" x14ac:dyDescent="0.25">
      <c r="A125" t="s">
        <v>24</v>
      </c>
      <c r="B125">
        <v>2017</v>
      </c>
      <c r="C125">
        <v>-3.3</v>
      </c>
      <c r="D125">
        <v>-2.6</v>
      </c>
      <c r="E125">
        <v>-2.8</v>
      </c>
    </row>
    <row r="126" spans="1:5" x14ac:dyDescent="0.25">
      <c r="A126" t="s">
        <v>25</v>
      </c>
      <c r="B126">
        <v>2017</v>
      </c>
      <c r="C126">
        <v>-1.1000000000000001</v>
      </c>
      <c r="D126">
        <v>-0.4</v>
      </c>
      <c r="E126">
        <v>-0.6</v>
      </c>
    </row>
    <row r="127" spans="1:5" x14ac:dyDescent="0.25">
      <c r="A127" t="s">
        <v>26</v>
      </c>
      <c r="B127">
        <v>2017</v>
      </c>
      <c r="C127">
        <v>-5.3</v>
      </c>
      <c r="D127">
        <v>-4.5999999999999996</v>
      </c>
      <c r="E127">
        <v>-4.8</v>
      </c>
    </row>
    <row r="128" spans="1:5" x14ac:dyDescent="0.25">
      <c r="A128" t="s">
        <v>27</v>
      </c>
      <c r="B128">
        <v>2017</v>
      </c>
      <c r="C128">
        <v>0.4</v>
      </c>
      <c r="D128">
        <v>1.1000000000000001</v>
      </c>
      <c r="E128">
        <v>0.9</v>
      </c>
    </row>
    <row r="129" spans="1:5" x14ac:dyDescent="0.25">
      <c r="A129" t="s">
        <v>28</v>
      </c>
      <c r="B129">
        <v>2017</v>
      </c>
      <c r="C129">
        <v>-1.7</v>
      </c>
      <c r="D129">
        <v>-0.9</v>
      </c>
      <c r="E129">
        <v>-1.2</v>
      </c>
    </row>
    <row r="130" spans="1:5" x14ac:dyDescent="0.25">
      <c r="A130" t="s">
        <v>29</v>
      </c>
      <c r="B130">
        <v>2017</v>
      </c>
      <c r="C130">
        <v>-2.2999999999999998</v>
      </c>
      <c r="D130">
        <v>-1.6</v>
      </c>
      <c r="E130">
        <v>-1.9</v>
      </c>
    </row>
    <row r="131" spans="1:5" x14ac:dyDescent="0.25">
      <c r="A131" t="s">
        <v>30</v>
      </c>
      <c r="B131">
        <v>2017</v>
      </c>
      <c r="C131">
        <v>-1.9</v>
      </c>
      <c r="D131">
        <v>-1.2</v>
      </c>
      <c r="E131">
        <v>-1.4</v>
      </c>
    </row>
    <row r="132" spans="1:5" x14ac:dyDescent="0.25">
      <c r="A132" t="s">
        <v>31</v>
      </c>
      <c r="B132">
        <v>2017</v>
      </c>
      <c r="C132">
        <v>-5.3</v>
      </c>
      <c r="D132">
        <v>-4.5999999999999996</v>
      </c>
      <c r="E132">
        <v>-4.8</v>
      </c>
    </row>
    <row r="133" spans="1:5" x14ac:dyDescent="0.25">
      <c r="A133" t="s">
        <v>32</v>
      </c>
      <c r="B133">
        <v>2017</v>
      </c>
      <c r="C133">
        <v>-5.4</v>
      </c>
      <c r="D133">
        <v>-4.7</v>
      </c>
      <c r="E133">
        <v>-4.9000000000000004</v>
      </c>
    </row>
    <row r="134" spans="1:5" x14ac:dyDescent="0.25">
      <c r="A134" t="s">
        <v>33</v>
      </c>
      <c r="B134">
        <v>2017</v>
      </c>
      <c r="C134">
        <v>-4.3</v>
      </c>
      <c r="D134">
        <v>-3.6</v>
      </c>
      <c r="E134">
        <v>-3.8</v>
      </c>
    </row>
    <row r="135" spans="1:5" x14ac:dyDescent="0.25">
      <c r="A135" t="s">
        <v>34</v>
      </c>
      <c r="B135">
        <v>2017</v>
      </c>
      <c r="C135">
        <v>-2.4</v>
      </c>
      <c r="D135">
        <v>-1.7</v>
      </c>
      <c r="E135">
        <v>-1.9</v>
      </c>
    </row>
    <row r="136" spans="1:5" x14ac:dyDescent="0.25">
      <c r="A136" t="s">
        <v>35</v>
      </c>
      <c r="B136">
        <v>2017</v>
      </c>
      <c r="C136">
        <v>0.2</v>
      </c>
      <c r="D136">
        <v>0.9</v>
      </c>
      <c r="E136">
        <v>0.7</v>
      </c>
    </row>
    <row r="137" spans="1:5" x14ac:dyDescent="0.25">
      <c r="A137" t="s">
        <v>36</v>
      </c>
      <c r="B137">
        <v>2017</v>
      </c>
      <c r="C137">
        <v>-2.6</v>
      </c>
      <c r="D137">
        <v>-1.9</v>
      </c>
      <c r="E137">
        <v>-2.1</v>
      </c>
    </row>
    <row r="138" spans="1:5" x14ac:dyDescent="0.25">
      <c r="A138" t="s">
        <v>37</v>
      </c>
      <c r="B138">
        <v>2017</v>
      </c>
      <c r="C138">
        <v>0.5</v>
      </c>
      <c r="D138">
        <v>1.2</v>
      </c>
      <c r="E138">
        <v>1</v>
      </c>
    </row>
    <row r="139" spans="1:5" x14ac:dyDescent="0.25">
      <c r="A139" t="s">
        <v>38</v>
      </c>
      <c r="B139">
        <v>2017</v>
      </c>
      <c r="C139">
        <v>0.3</v>
      </c>
      <c r="D139">
        <v>1</v>
      </c>
      <c r="E139">
        <v>0.8</v>
      </c>
    </row>
    <row r="140" spans="1:5" x14ac:dyDescent="0.25">
      <c r="A140" t="s">
        <v>39</v>
      </c>
      <c r="B140">
        <v>2017</v>
      </c>
      <c r="C140">
        <v>-3.7</v>
      </c>
      <c r="D140">
        <v>-3</v>
      </c>
      <c r="E140">
        <v>-3.1</v>
      </c>
    </row>
    <row r="141" spans="1:5" x14ac:dyDescent="0.25">
      <c r="A141" t="s">
        <v>40</v>
      </c>
      <c r="B141">
        <v>2017</v>
      </c>
      <c r="C141">
        <v>-2.7</v>
      </c>
      <c r="D141">
        <v>-2</v>
      </c>
      <c r="E141">
        <v>-2.2999999999999998</v>
      </c>
    </row>
    <row r="142" spans="1:5" x14ac:dyDescent="0.25">
      <c r="A142" t="s">
        <v>41</v>
      </c>
      <c r="B142">
        <v>2017</v>
      </c>
      <c r="C142">
        <v>-5.2</v>
      </c>
      <c r="D142">
        <v>-4.4000000000000004</v>
      </c>
      <c r="E142">
        <v>-4.7</v>
      </c>
    </row>
    <row r="143" spans="1:5" x14ac:dyDescent="0.25">
      <c r="A143" t="s">
        <v>42</v>
      </c>
      <c r="B143">
        <v>2017</v>
      </c>
      <c r="C143">
        <v>-5.3</v>
      </c>
      <c r="D143">
        <v>-4.5999999999999996</v>
      </c>
      <c r="E143">
        <v>-4.8</v>
      </c>
    </row>
    <row r="144" spans="1:5" x14ac:dyDescent="0.25">
      <c r="A144" t="s">
        <v>43</v>
      </c>
      <c r="B144">
        <v>2017</v>
      </c>
      <c r="C144">
        <v>-1.6</v>
      </c>
      <c r="D144">
        <v>-0.9</v>
      </c>
      <c r="E144">
        <v>-1.1000000000000001</v>
      </c>
    </row>
    <row r="145" spans="1:5" x14ac:dyDescent="0.25">
      <c r="A145" t="s">
        <v>44</v>
      </c>
      <c r="B145">
        <v>2017</v>
      </c>
      <c r="C145">
        <v>-2.1</v>
      </c>
      <c r="D145">
        <v>-1.4</v>
      </c>
      <c r="E145">
        <v>-1.7</v>
      </c>
    </row>
    <row r="146" spans="1:5" x14ac:dyDescent="0.25">
      <c r="A146" t="s">
        <v>45</v>
      </c>
      <c r="B146">
        <v>2017</v>
      </c>
      <c r="C146">
        <v>-2.9</v>
      </c>
      <c r="D146">
        <v>-2.1</v>
      </c>
      <c r="E146">
        <v>-2.4</v>
      </c>
    </row>
    <row r="147" spans="1:5" x14ac:dyDescent="0.25">
      <c r="A147" t="s">
        <v>46</v>
      </c>
      <c r="B147">
        <v>2017</v>
      </c>
      <c r="C147">
        <v>-2.9</v>
      </c>
      <c r="D147">
        <v>-2.2000000000000002</v>
      </c>
      <c r="E147">
        <v>-2.4</v>
      </c>
    </row>
    <row r="148" spans="1:5" x14ac:dyDescent="0.25">
      <c r="A148" t="s">
        <v>47</v>
      </c>
      <c r="B148">
        <v>2017</v>
      </c>
      <c r="C148">
        <v>-4.5999999999999996</v>
      </c>
      <c r="D148">
        <v>-3.9</v>
      </c>
      <c r="E148">
        <v>-4.0999999999999996</v>
      </c>
    </row>
    <row r="149" spans="1:5" x14ac:dyDescent="0.25">
      <c r="A149" t="s">
        <v>48</v>
      </c>
      <c r="B149">
        <v>2017</v>
      </c>
      <c r="C149">
        <v>-4.8</v>
      </c>
      <c r="D149">
        <v>-4.0999999999999996</v>
      </c>
      <c r="E149">
        <v>-4.3</v>
      </c>
    </row>
    <row r="150" spans="1:5" x14ac:dyDescent="0.25">
      <c r="A150" t="s">
        <v>49</v>
      </c>
      <c r="B150">
        <v>2017</v>
      </c>
      <c r="C150">
        <v>-2.1</v>
      </c>
      <c r="D150">
        <v>-1.4</v>
      </c>
      <c r="E150">
        <v>-1.7</v>
      </c>
    </row>
    <row r="151" spans="1:5" x14ac:dyDescent="0.25">
      <c r="A151" t="s">
        <v>50</v>
      </c>
      <c r="B151">
        <v>2017</v>
      </c>
      <c r="C151">
        <v>-3.1</v>
      </c>
      <c r="D151">
        <v>-2.4</v>
      </c>
      <c r="E151">
        <v>-2.5</v>
      </c>
    </row>
    <row r="152" spans="1:5" x14ac:dyDescent="0.25">
      <c r="A152" t="s">
        <v>51</v>
      </c>
      <c r="B152">
        <v>2017</v>
      </c>
      <c r="C152">
        <v>-2.9</v>
      </c>
      <c r="D152">
        <v>-2.2000000000000002</v>
      </c>
      <c r="E152">
        <v>-2.4</v>
      </c>
    </row>
    <row r="153" spans="1:5" x14ac:dyDescent="0.25">
      <c r="A153" t="s">
        <v>52</v>
      </c>
      <c r="B153">
        <v>2017</v>
      </c>
      <c r="C153">
        <v>-2.7</v>
      </c>
      <c r="D153">
        <v>-2</v>
      </c>
      <c r="E153">
        <v>-2.1</v>
      </c>
    </row>
    <row r="154" spans="1:5" x14ac:dyDescent="0.25">
      <c r="A154" t="s">
        <v>53</v>
      </c>
      <c r="B154">
        <v>2017</v>
      </c>
      <c r="C154">
        <v>-0.9</v>
      </c>
      <c r="D154">
        <v>-0.2</v>
      </c>
      <c r="E154">
        <v>-0.4</v>
      </c>
    </row>
    <row r="155" spans="1:5" x14ac:dyDescent="0.25">
      <c r="A155" t="s">
        <v>54</v>
      </c>
      <c r="B155">
        <v>2017</v>
      </c>
      <c r="C155">
        <v>-3</v>
      </c>
      <c r="D155">
        <v>-2.2999999999999998</v>
      </c>
      <c r="E155">
        <v>-2.6</v>
      </c>
    </row>
    <row r="156" spans="1:5" x14ac:dyDescent="0.25">
      <c r="A156" t="s">
        <v>55</v>
      </c>
      <c r="B156">
        <v>2017</v>
      </c>
      <c r="C156">
        <v>-3.6</v>
      </c>
      <c r="D156">
        <v>-2.9</v>
      </c>
      <c r="E156">
        <v>-3.2</v>
      </c>
    </row>
    <row r="157" spans="1:5" x14ac:dyDescent="0.25">
      <c r="A157" t="s">
        <v>56</v>
      </c>
      <c r="B157">
        <v>2017</v>
      </c>
      <c r="C157">
        <v>-3.4</v>
      </c>
      <c r="D157">
        <v>-2.7</v>
      </c>
      <c r="E157">
        <v>-2.9</v>
      </c>
    </row>
    <row r="158" spans="1:5" x14ac:dyDescent="0.25">
      <c r="A158" t="s">
        <v>57</v>
      </c>
      <c r="B158">
        <v>2017</v>
      </c>
      <c r="C158">
        <v>-2.7</v>
      </c>
      <c r="D158">
        <v>-2</v>
      </c>
      <c r="E158">
        <v>-2.2000000000000002</v>
      </c>
    </row>
    <row r="159" spans="1:5" x14ac:dyDescent="0.25">
      <c r="A159" t="s">
        <v>8</v>
      </c>
      <c r="B159">
        <v>2018</v>
      </c>
      <c r="C159">
        <v>-0.1</v>
      </c>
      <c r="D159">
        <v>-0.3</v>
      </c>
      <c r="E159">
        <v>-0.3</v>
      </c>
    </row>
    <row r="160" spans="1:5" x14ac:dyDescent="0.25">
      <c r="A160" t="s">
        <v>9</v>
      </c>
      <c r="B160">
        <v>2018</v>
      </c>
      <c r="C160">
        <v>3.2</v>
      </c>
      <c r="D160">
        <v>2.9</v>
      </c>
      <c r="E160">
        <v>3</v>
      </c>
    </row>
    <row r="161" spans="1:5" x14ac:dyDescent="0.25">
      <c r="A161" t="s">
        <v>10</v>
      </c>
      <c r="B161">
        <v>2018</v>
      </c>
      <c r="C161">
        <v>3.4</v>
      </c>
      <c r="D161">
        <v>3.2</v>
      </c>
      <c r="E161">
        <v>3.3</v>
      </c>
    </row>
    <row r="162" spans="1:5" x14ac:dyDescent="0.25">
      <c r="A162" t="s">
        <v>11</v>
      </c>
      <c r="B162">
        <v>2018</v>
      </c>
      <c r="C162">
        <v>1.6</v>
      </c>
      <c r="D162">
        <v>1.3</v>
      </c>
      <c r="E162">
        <v>1.4</v>
      </c>
    </row>
    <row r="163" spans="1:5" x14ac:dyDescent="0.25">
      <c r="A163" t="s">
        <v>12</v>
      </c>
      <c r="B163">
        <v>2018</v>
      </c>
      <c r="C163">
        <v>2.2999999999999998</v>
      </c>
      <c r="D163">
        <v>2.1</v>
      </c>
      <c r="E163">
        <v>2.2000000000000002</v>
      </c>
    </row>
    <row r="164" spans="1:5" x14ac:dyDescent="0.25">
      <c r="A164" t="s">
        <v>13</v>
      </c>
      <c r="B164">
        <v>2018</v>
      </c>
      <c r="C164">
        <v>3.8</v>
      </c>
      <c r="D164">
        <v>3.6</v>
      </c>
      <c r="E164">
        <v>3.7</v>
      </c>
    </row>
    <row r="165" spans="1:5" x14ac:dyDescent="0.25">
      <c r="A165" t="s">
        <v>14</v>
      </c>
      <c r="B165">
        <v>2018</v>
      </c>
      <c r="C165">
        <v>1.3</v>
      </c>
      <c r="D165">
        <v>1</v>
      </c>
      <c r="E165">
        <v>1.1000000000000001</v>
      </c>
    </row>
    <row r="166" spans="1:5" x14ac:dyDescent="0.25">
      <c r="A166" t="s">
        <v>15</v>
      </c>
      <c r="B166">
        <v>2018</v>
      </c>
      <c r="C166">
        <v>2.4</v>
      </c>
      <c r="D166">
        <v>2.2000000000000002</v>
      </c>
      <c r="E166">
        <v>2.2999999999999998</v>
      </c>
    </row>
    <row r="167" spans="1:5" x14ac:dyDescent="0.25">
      <c r="A167" t="s">
        <v>16</v>
      </c>
      <c r="B167">
        <v>2018</v>
      </c>
      <c r="C167">
        <v>1.1000000000000001</v>
      </c>
      <c r="D167">
        <v>0.9</v>
      </c>
      <c r="E167">
        <v>1</v>
      </c>
    </row>
    <row r="168" spans="1:5" x14ac:dyDescent="0.25">
      <c r="A168" t="s">
        <v>17</v>
      </c>
      <c r="B168">
        <v>2018</v>
      </c>
      <c r="C168">
        <v>4</v>
      </c>
      <c r="D168">
        <v>3.8</v>
      </c>
      <c r="E168">
        <v>3.9</v>
      </c>
    </row>
    <row r="169" spans="1:5" x14ac:dyDescent="0.25">
      <c r="A169" t="s">
        <v>18</v>
      </c>
      <c r="B169">
        <v>2018</v>
      </c>
      <c r="C169">
        <v>4.5</v>
      </c>
      <c r="D169">
        <v>4.2</v>
      </c>
      <c r="E169">
        <v>4.3</v>
      </c>
    </row>
    <row r="170" spans="1:5" x14ac:dyDescent="0.25">
      <c r="A170" t="s">
        <v>19</v>
      </c>
      <c r="B170">
        <v>2018</v>
      </c>
      <c r="C170">
        <v>2.2999999999999998</v>
      </c>
      <c r="D170">
        <v>2.1</v>
      </c>
      <c r="E170">
        <v>2.2000000000000002</v>
      </c>
    </row>
    <row r="171" spans="1:5" x14ac:dyDescent="0.25">
      <c r="A171" t="s">
        <v>20</v>
      </c>
      <c r="B171">
        <v>2018</v>
      </c>
      <c r="C171">
        <v>1</v>
      </c>
      <c r="D171">
        <v>0.8</v>
      </c>
      <c r="E171">
        <v>0.9</v>
      </c>
    </row>
    <row r="172" spans="1:5" x14ac:dyDescent="0.25">
      <c r="A172" t="s">
        <v>21</v>
      </c>
      <c r="B172">
        <v>2018</v>
      </c>
      <c r="C172">
        <v>0.7</v>
      </c>
      <c r="D172">
        <v>0.5</v>
      </c>
      <c r="E172">
        <v>0.6</v>
      </c>
    </row>
    <row r="173" spans="1:5" x14ac:dyDescent="0.25">
      <c r="A173" t="s">
        <v>22</v>
      </c>
      <c r="B173">
        <v>2018</v>
      </c>
      <c r="C173">
        <v>0</v>
      </c>
      <c r="D173">
        <v>-0.2</v>
      </c>
      <c r="E173">
        <v>-0.1</v>
      </c>
    </row>
    <row r="174" spans="1:5" x14ac:dyDescent="0.25">
      <c r="A174" t="s">
        <v>23</v>
      </c>
      <c r="B174">
        <v>2018</v>
      </c>
      <c r="C174">
        <v>1.6</v>
      </c>
      <c r="D174">
        <v>1.4</v>
      </c>
      <c r="E174">
        <v>1.4</v>
      </c>
    </row>
    <row r="175" spans="1:5" x14ac:dyDescent="0.25">
      <c r="A175" t="s">
        <v>24</v>
      </c>
      <c r="B175">
        <v>2018</v>
      </c>
      <c r="C175">
        <v>-0.1</v>
      </c>
      <c r="D175">
        <v>-0.3</v>
      </c>
      <c r="E175">
        <v>-0.2</v>
      </c>
    </row>
    <row r="176" spans="1:5" x14ac:dyDescent="0.25">
      <c r="A176" t="s">
        <v>25</v>
      </c>
      <c r="B176">
        <v>2018</v>
      </c>
      <c r="C176">
        <v>2.1</v>
      </c>
      <c r="D176">
        <v>1.9</v>
      </c>
      <c r="E176">
        <v>1.9</v>
      </c>
    </row>
    <row r="177" spans="1:5" x14ac:dyDescent="0.25">
      <c r="A177" t="s">
        <v>26</v>
      </c>
      <c r="B177">
        <v>2018</v>
      </c>
      <c r="C177">
        <v>5.0999999999999996</v>
      </c>
      <c r="D177">
        <v>4.9000000000000004</v>
      </c>
      <c r="E177">
        <v>5</v>
      </c>
    </row>
    <row r="178" spans="1:5" x14ac:dyDescent="0.25">
      <c r="A178" t="s">
        <v>27</v>
      </c>
      <c r="B178">
        <v>2018</v>
      </c>
      <c r="C178">
        <v>-0.4</v>
      </c>
      <c r="D178">
        <v>-0.6</v>
      </c>
      <c r="E178">
        <v>-0.5</v>
      </c>
    </row>
    <row r="179" spans="1:5" x14ac:dyDescent="0.25">
      <c r="A179" t="s">
        <v>28</v>
      </c>
      <c r="B179">
        <v>2018</v>
      </c>
      <c r="C179">
        <v>1.8</v>
      </c>
      <c r="D179">
        <v>1.6</v>
      </c>
      <c r="E179">
        <v>1.7</v>
      </c>
    </row>
    <row r="180" spans="1:5" x14ac:dyDescent="0.25">
      <c r="A180" t="s">
        <v>29</v>
      </c>
      <c r="B180">
        <v>2018</v>
      </c>
      <c r="C180">
        <v>0.5</v>
      </c>
      <c r="D180">
        <v>0.2</v>
      </c>
      <c r="E180">
        <v>0.3</v>
      </c>
    </row>
    <row r="181" spans="1:5" x14ac:dyDescent="0.25">
      <c r="A181" t="s">
        <v>30</v>
      </c>
      <c r="B181">
        <v>2018</v>
      </c>
      <c r="C181">
        <v>5.4</v>
      </c>
      <c r="D181">
        <v>5.2</v>
      </c>
      <c r="E181">
        <v>5.2</v>
      </c>
    </row>
    <row r="182" spans="1:5" x14ac:dyDescent="0.25">
      <c r="A182" t="s">
        <v>31</v>
      </c>
      <c r="B182">
        <v>2018</v>
      </c>
      <c r="C182">
        <v>4.8</v>
      </c>
      <c r="D182">
        <v>4.5999999999999996</v>
      </c>
      <c r="E182">
        <v>4.5999999999999996</v>
      </c>
    </row>
    <row r="183" spans="1:5" x14ac:dyDescent="0.25">
      <c r="A183" t="s">
        <v>32</v>
      </c>
      <c r="B183">
        <v>2018</v>
      </c>
      <c r="C183">
        <v>0.9</v>
      </c>
      <c r="D183">
        <v>0.7</v>
      </c>
      <c r="E183">
        <v>0.7</v>
      </c>
    </row>
    <row r="184" spans="1:5" x14ac:dyDescent="0.25">
      <c r="A184" t="s">
        <v>33</v>
      </c>
      <c r="B184">
        <v>2018</v>
      </c>
      <c r="C184">
        <v>-0.5</v>
      </c>
      <c r="D184">
        <v>-0.7</v>
      </c>
      <c r="E184">
        <v>-0.6</v>
      </c>
    </row>
    <row r="185" spans="1:5" x14ac:dyDescent="0.25">
      <c r="A185" t="s">
        <v>34</v>
      </c>
      <c r="B185">
        <v>2018</v>
      </c>
      <c r="C185">
        <v>2.1</v>
      </c>
      <c r="D185">
        <v>1.9</v>
      </c>
      <c r="E185">
        <v>2</v>
      </c>
    </row>
    <row r="186" spans="1:5" x14ac:dyDescent="0.25">
      <c r="A186" t="s">
        <v>35</v>
      </c>
      <c r="B186">
        <v>2018</v>
      </c>
      <c r="C186">
        <v>3</v>
      </c>
      <c r="D186">
        <v>2.8</v>
      </c>
      <c r="E186">
        <v>2.9</v>
      </c>
    </row>
    <row r="187" spans="1:5" x14ac:dyDescent="0.25">
      <c r="A187" t="s">
        <v>36</v>
      </c>
      <c r="B187">
        <v>2018</v>
      </c>
      <c r="C187">
        <v>2.2999999999999998</v>
      </c>
      <c r="D187">
        <v>2.1</v>
      </c>
      <c r="E187">
        <v>2.1</v>
      </c>
    </row>
    <row r="188" spans="1:5" x14ac:dyDescent="0.25">
      <c r="A188" t="s">
        <v>37</v>
      </c>
      <c r="B188">
        <v>2018</v>
      </c>
      <c r="C188">
        <v>2.4</v>
      </c>
      <c r="D188">
        <v>2.2000000000000002</v>
      </c>
      <c r="E188">
        <v>2.2999999999999998</v>
      </c>
    </row>
    <row r="189" spans="1:5" x14ac:dyDescent="0.25">
      <c r="A189" t="s">
        <v>38</v>
      </c>
      <c r="B189">
        <v>2018</v>
      </c>
      <c r="C189">
        <v>0.6</v>
      </c>
      <c r="D189">
        <v>0.4</v>
      </c>
      <c r="E189">
        <v>0.5</v>
      </c>
    </row>
    <row r="190" spans="1:5" x14ac:dyDescent="0.25">
      <c r="A190" t="s">
        <v>39</v>
      </c>
      <c r="B190">
        <v>2018</v>
      </c>
      <c r="C190">
        <v>1.1000000000000001</v>
      </c>
      <c r="D190">
        <v>0.9</v>
      </c>
      <c r="E190">
        <v>1</v>
      </c>
    </row>
    <row r="191" spans="1:5" x14ac:dyDescent="0.25">
      <c r="A191" t="s">
        <v>40</v>
      </c>
      <c r="B191">
        <v>2018</v>
      </c>
      <c r="C191">
        <v>2.4</v>
      </c>
      <c r="D191">
        <v>2.2000000000000002</v>
      </c>
      <c r="E191">
        <v>2.2999999999999998</v>
      </c>
    </row>
    <row r="192" spans="1:5" x14ac:dyDescent="0.25">
      <c r="A192" t="s">
        <v>41</v>
      </c>
      <c r="B192">
        <v>2018</v>
      </c>
      <c r="C192">
        <v>5.3</v>
      </c>
      <c r="D192">
        <v>5.0999999999999996</v>
      </c>
      <c r="E192">
        <v>5.2</v>
      </c>
    </row>
    <row r="193" spans="1:5" x14ac:dyDescent="0.25">
      <c r="A193" t="s">
        <v>42</v>
      </c>
      <c r="B193">
        <v>2018</v>
      </c>
      <c r="C193">
        <v>0.8</v>
      </c>
      <c r="D193">
        <v>0.6</v>
      </c>
      <c r="E193">
        <v>0.7</v>
      </c>
    </row>
    <row r="194" spans="1:5" x14ac:dyDescent="0.25">
      <c r="A194" t="s">
        <v>43</v>
      </c>
      <c r="B194">
        <v>2018</v>
      </c>
      <c r="C194">
        <v>4.5999999999999996</v>
      </c>
      <c r="D194">
        <v>4.4000000000000004</v>
      </c>
      <c r="E194">
        <v>4.4000000000000004</v>
      </c>
    </row>
    <row r="195" spans="1:5" x14ac:dyDescent="0.25">
      <c r="A195" t="s">
        <v>44</v>
      </c>
      <c r="B195">
        <v>2018</v>
      </c>
      <c r="C195">
        <v>0.8</v>
      </c>
      <c r="D195">
        <v>0.6</v>
      </c>
      <c r="E195">
        <v>0.7</v>
      </c>
    </row>
    <row r="196" spans="1:5" x14ac:dyDescent="0.25">
      <c r="A196" t="s">
        <v>45</v>
      </c>
      <c r="B196">
        <v>2018</v>
      </c>
      <c r="C196">
        <v>1.8</v>
      </c>
      <c r="D196">
        <v>1.6</v>
      </c>
      <c r="E196">
        <v>1.6</v>
      </c>
    </row>
    <row r="197" spans="1:5" x14ac:dyDescent="0.25">
      <c r="A197" t="s">
        <v>46</v>
      </c>
      <c r="B197">
        <v>2018</v>
      </c>
      <c r="C197">
        <v>5.3</v>
      </c>
      <c r="D197">
        <v>5</v>
      </c>
      <c r="E197">
        <v>5.0999999999999996</v>
      </c>
    </row>
    <row r="198" spans="1:5" x14ac:dyDescent="0.25">
      <c r="A198" t="s">
        <v>47</v>
      </c>
      <c r="B198">
        <v>2018</v>
      </c>
      <c r="C198">
        <v>5.3</v>
      </c>
      <c r="D198">
        <v>5.0999999999999996</v>
      </c>
      <c r="E198">
        <v>5.0999999999999996</v>
      </c>
    </row>
    <row r="199" spans="1:5" x14ac:dyDescent="0.25">
      <c r="A199" t="s">
        <v>48</v>
      </c>
      <c r="B199">
        <v>2018</v>
      </c>
      <c r="C199">
        <v>4.7</v>
      </c>
      <c r="D199">
        <v>4.5</v>
      </c>
      <c r="E199">
        <v>4.5999999999999996</v>
      </c>
    </row>
    <row r="200" spans="1:5" x14ac:dyDescent="0.25">
      <c r="A200" t="s">
        <v>49</v>
      </c>
      <c r="B200">
        <v>2018</v>
      </c>
      <c r="C200">
        <v>5.0999999999999996</v>
      </c>
      <c r="D200">
        <v>4.9000000000000004</v>
      </c>
      <c r="E200">
        <v>5</v>
      </c>
    </row>
    <row r="201" spans="1:5" x14ac:dyDescent="0.25">
      <c r="A201" t="s">
        <v>50</v>
      </c>
      <c r="B201">
        <v>2018</v>
      </c>
      <c r="C201">
        <v>3.4</v>
      </c>
      <c r="D201">
        <v>3.1</v>
      </c>
      <c r="E201">
        <v>3.2</v>
      </c>
    </row>
    <row r="202" spans="1:5" x14ac:dyDescent="0.25">
      <c r="A202" t="s">
        <v>51</v>
      </c>
      <c r="B202">
        <v>2018</v>
      </c>
      <c r="C202">
        <v>5.5</v>
      </c>
      <c r="D202">
        <v>5.2</v>
      </c>
      <c r="E202">
        <v>5.3</v>
      </c>
    </row>
    <row r="203" spans="1:5" x14ac:dyDescent="0.25">
      <c r="A203" t="s">
        <v>52</v>
      </c>
      <c r="B203">
        <v>2018</v>
      </c>
      <c r="C203">
        <v>0.4</v>
      </c>
      <c r="D203">
        <v>0.2</v>
      </c>
      <c r="E203">
        <v>0.2</v>
      </c>
    </row>
    <row r="204" spans="1:5" x14ac:dyDescent="0.25">
      <c r="A204" t="s">
        <v>53</v>
      </c>
      <c r="B204">
        <v>2018</v>
      </c>
      <c r="C204">
        <v>2.4</v>
      </c>
      <c r="D204">
        <v>2.2000000000000002</v>
      </c>
      <c r="E204">
        <v>2.2999999999999998</v>
      </c>
    </row>
    <row r="205" spans="1:5" x14ac:dyDescent="0.25">
      <c r="A205" t="s">
        <v>54</v>
      </c>
      <c r="B205">
        <v>2018</v>
      </c>
      <c r="C205">
        <v>1.5</v>
      </c>
      <c r="D205">
        <v>1.3</v>
      </c>
      <c r="E205">
        <v>1.4</v>
      </c>
    </row>
    <row r="206" spans="1:5" x14ac:dyDescent="0.25">
      <c r="A206" t="s">
        <v>55</v>
      </c>
      <c r="B206">
        <v>2018</v>
      </c>
      <c r="C206">
        <v>2.9</v>
      </c>
      <c r="D206">
        <v>2.7</v>
      </c>
      <c r="E206">
        <v>2.8</v>
      </c>
    </row>
    <row r="207" spans="1:5" x14ac:dyDescent="0.25">
      <c r="A207" t="s">
        <v>56</v>
      </c>
      <c r="B207">
        <v>2018</v>
      </c>
      <c r="C207">
        <v>3.8</v>
      </c>
      <c r="D207">
        <v>3.6</v>
      </c>
      <c r="E207">
        <v>3.6</v>
      </c>
    </row>
    <row r="208" spans="1:5" x14ac:dyDescent="0.25">
      <c r="A208" t="s">
        <v>57</v>
      </c>
      <c r="B208">
        <v>2018</v>
      </c>
      <c r="C208">
        <v>0.6</v>
      </c>
      <c r="D208">
        <v>0.4</v>
      </c>
      <c r="E208">
        <v>0.5</v>
      </c>
    </row>
    <row r="209" spans="1:5" x14ac:dyDescent="0.25">
      <c r="A209" t="s">
        <v>8</v>
      </c>
      <c r="B209">
        <v>2019</v>
      </c>
      <c r="C209">
        <v>14.6</v>
      </c>
      <c r="D209">
        <v>10.199999999999999</v>
      </c>
      <c r="E209">
        <v>11.3</v>
      </c>
    </row>
    <row r="210" spans="1:5" x14ac:dyDescent="0.25">
      <c r="A210" t="s">
        <v>9</v>
      </c>
      <c r="B210">
        <v>2019</v>
      </c>
      <c r="C210">
        <v>15.1</v>
      </c>
      <c r="D210">
        <v>10.7</v>
      </c>
      <c r="E210">
        <v>12.1</v>
      </c>
    </row>
    <row r="211" spans="1:5" x14ac:dyDescent="0.25">
      <c r="A211" t="s">
        <v>10</v>
      </c>
      <c r="B211">
        <v>2019</v>
      </c>
      <c r="C211">
        <v>18.7</v>
      </c>
      <c r="D211">
        <v>14.3</v>
      </c>
      <c r="E211">
        <v>15.8</v>
      </c>
    </row>
    <row r="212" spans="1:5" x14ac:dyDescent="0.25">
      <c r="A212" t="s">
        <v>11</v>
      </c>
      <c r="B212">
        <v>2019</v>
      </c>
      <c r="C212">
        <v>17</v>
      </c>
      <c r="D212">
        <v>12.6</v>
      </c>
      <c r="E212">
        <v>14</v>
      </c>
    </row>
    <row r="213" spans="1:5" x14ac:dyDescent="0.25">
      <c r="A213" t="s">
        <v>12</v>
      </c>
      <c r="B213">
        <v>2019</v>
      </c>
      <c r="C213">
        <v>19.399999999999999</v>
      </c>
      <c r="D213">
        <v>15</v>
      </c>
      <c r="E213">
        <v>16.100000000000001</v>
      </c>
    </row>
    <row r="214" spans="1:5" x14ac:dyDescent="0.25">
      <c r="A214" t="s">
        <v>13</v>
      </c>
      <c r="B214">
        <v>2019</v>
      </c>
      <c r="C214">
        <v>13.7</v>
      </c>
      <c r="D214">
        <v>9.3000000000000007</v>
      </c>
      <c r="E214">
        <v>10.7</v>
      </c>
    </row>
    <row r="215" spans="1:5" x14ac:dyDescent="0.25">
      <c r="A215" t="s">
        <v>14</v>
      </c>
      <c r="B215">
        <v>2019</v>
      </c>
      <c r="C215">
        <v>14.4</v>
      </c>
      <c r="D215">
        <v>10</v>
      </c>
      <c r="E215">
        <v>11.3</v>
      </c>
    </row>
    <row r="216" spans="1:5" x14ac:dyDescent="0.25">
      <c r="A216" t="s">
        <v>15</v>
      </c>
      <c r="B216">
        <v>2019</v>
      </c>
      <c r="C216">
        <v>15.7</v>
      </c>
      <c r="D216">
        <v>11.3</v>
      </c>
      <c r="E216">
        <v>13</v>
      </c>
    </row>
    <row r="217" spans="1:5" x14ac:dyDescent="0.25">
      <c r="A217" t="s">
        <v>16</v>
      </c>
      <c r="B217">
        <v>2019</v>
      </c>
      <c r="C217">
        <v>14.4</v>
      </c>
      <c r="D217">
        <v>10</v>
      </c>
      <c r="E217">
        <v>11.4</v>
      </c>
    </row>
    <row r="218" spans="1:5" x14ac:dyDescent="0.25">
      <c r="A218" t="s">
        <v>17</v>
      </c>
      <c r="B218">
        <v>2019</v>
      </c>
      <c r="C218">
        <v>14.6</v>
      </c>
      <c r="D218">
        <v>10.199999999999999</v>
      </c>
      <c r="E218">
        <v>11.5</v>
      </c>
    </row>
    <row r="219" spans="1:5" x14ac:dyDescent="0.25">
      <c r="A219" t="s">
        <v>18</v>
      </c>
      <c r="B219">
        <v>2019</v>
      </c>
      <c r="C219">
        <v>18.100000000000001</v>
      </c>
      <c r="D219">
        <v>13.7</v>
      </c>
      <c r="E219">
        <v>15.2</v>
      </c>
    </row>
    <row r="220" spans="1:5" x14ac:dyDescent="0.25">
      <c r="A220" t="s">
        <v>19</v>
      </c>
      <c r="B220">
        <v>2019</v>
      </c>
      <c r="C220">
        <v>18.100000000000001</v>
      </c>
      <c r="D220">
        <v>13.7</v>
      </c>
      <c r="E220">
        <v>14.7</v>
      </c>
    </row>
    <row r="221" spans="1:5" x14ac:dyDescent="0.25">
      <c r="A221" t="s">
        <v>20</v>
      </c>
      <c r="B221">
        <v>2019</v>
      </c>
      <c r="C221">
        <v>15.4</v>
      </c>
      <c r="D221">
        <v>11</v>
      </c>
      <c r="E221">
        <v>12.4</v>
      </c>
    </row>
    <row r="222" spans="1:5" x14ac:dyDescent="0.25">
      <c r="A222" t="s">
        <v>21</v>
      </c>
      <c r="B222">
        <v>2019</v>
      </c>
      <c r="C222">
        <v>14.3</v>
      </c>
      <c r="D222">
        <v>9.9</v>
      </c>
      <c r="E222">
        <v>11.1</v>
      </c>
    </row>
    <row r="223" spans="1:5" x14ac:dyDescent="0.25">
      <c r="A223" t="s">
        <v>22</v>
      </c>
      <c r="B223">
        <v>2019</v>
      </c>
      <c r="C223">
        <v>13.6</v>
      </c>
      <c r="D223">
        <v>9.1999999999999993</v>
      </c>
      <c r="E223">
        <v>10.9</v>
      </c>
    </row>
    <row r="224" spans="1:5" x14ac:dyDescent="0.25">
      <c r="A224" t="s">
        <v>23</v>
      </c>
      <c r="B224">
        <v>2019</v>
      </c>
      <c r="C224">
        <v>15.4</v>
      </c>
      <c r="D224">
        <v>11</v>
      </c>
      <c r="E224">
        <v>12.7</v>
      </c>
    </row>
    <row r="225" spans="1:5" x14ac:dyDescent="0.25">
      <c r="A225" t="s">
        <v>24</v>
      </c>
      <c r="B225">
        <v>2019</v>
      </c>
      <c r="C225">
        <v>16.100000000000001</v>
      </c>
      <c r="D225">
        <v>11.7</v>
      </c>
      <c r="E225">
        <v>12.8</v>
      </c>
    </row>
    <row r="226" spans="1:5" x14ac:dyDescent="0.25">
      <c r="A226" t="s">
        <v>25</v>
      </c>
      <c r="B226">
        <v>2019</v>
      </c>
      <c r="C226">
        <v>15.4</v>
      </c>
      <c r="D226">
        <v>11</v>
      </c>
      <c r="E226">
        <v>12.5</v>
      </c>
    </row>
    <row r="227" spans="1:5" x14ac:dyDescent="0.25">
      <c r="A227" t="s">
        <v>26</v>
      </c>
      <c r="B227">
        <v>2019</v>
      </c>
      <c r="C227">
        <v>14.4</v>
      </c>
      <c r="D227">
        <v>10</v>
      </c>
      <c r="E227">
        <v>11.5</v>
      </c>
    </row>
    <row r="228" spans="1:5" x14ac:dyDescent="0.25">
      <c r="A228" t="s">
        <v>27</v>
      </c>
      <c r="B228">
        <v>2019</v>
      </c>
      <c r="C228">
        <v>14.2</v>
      </c>
      <c r="D228">
        <v>9.8000000000000007</v>
      </c>
      <c r="E228">
        <v>11.3</v>
      </c>
    </row>
    <row r="229" spans="1:5" x14ac:dyDescent="0.25">
      <c r="A229" t="s">
        <v>28</v>
      </c>
      <c r="B229">
        <v>2019</v>
      </c>
      <c r="C229">
        <v>19.5</v>
      </c>
      <c r="D229">
        <v>15.1</v>
      </c>
      <c r="E229">
        <v>16</v>
      </c>
    </row>
    <row r="230" spans="1:5" x14ac:dyDescent="0.25">
      <c r="A230" t="s">
        <v>29</v>
      </c>
      <c r="B230">
        <v>2019</v>
      </c>
      <c r="C230">
        <v>17.5</v>
      </c>
      <c r="D230">
        <v>13.1</v>
      </c>
      <c r="E230">
        <v>14</v>
      </c>
    </row>
    <row r="231" spans="1:5" x14ac:dyDescent="0.25">
      <c r="A231" t="s">
        <v>30</v>
      </c>
      <c r="B231">
        <v>2019</v>
      </c>
      <c r="C231">
        <v>14.2</v>
      </c>
      <c r="D231">
        <v>9.8000000000000007</v>
      </c>
      <c r="E231">
        <v>10.7</v>
      </c>
    </row>
    <row r="232" spans="1:5" x14ac:dyDescent="0.25">
      <c r="A232" t="s">
        <v>31</v>
      </c>
      <c r="B232">
        <v>2019</v>
      </c>
      <c r="C232">
        <v>17.600000000000001</v>
      </c>
      <c r="D232">
        <v>13.2</v>
      </c>
      <c r="E232">
        <v>14.6</v>
      </c>
    </row>
    <row r="233" spans="1:5" x14ac:dyDescent="0.25">
      <c r="A233" t="s">
        <v>32</v>
      </c>
      <c r="B233">
        <v>2019</v>
      </c>
      <c r="C233">
        <v>18</v>
      </c>
      <c r="D233">
        <v>13.6</v>
      </c>
      <c r="E233">
        <v>14.7</v>
      </c>
    </row>
    <row r="234" spans="1:5" x14ac:dyDescent="0.25">
      <c r="A234" t="s">
        <v>33</v>
      </c>
      <c r="B234">
        <v>2019</v>
      </c>
      <c r="C234">
        <v>14.2</v>
      </c>
      <c r="D234">
        <v>9.8000000000000007</v>
      </c>
      <c r="E234">
        <v>11.1</v>
      </c>
    </row>
    <row r="235" spans="1:5" x14ac:dyDescent="0.25">
      <c r="A235" t="s">
        <v>34</v>
      </c>
      <c r="B235">
        <v>2019</v>
      </c>
      <c r="C235">
        <v>15.1</v>
      </c>
      <c r="D235">
        <v>10.7</v>
      </c>
      <c r="E235">
        <v>12.4</v>
      </c>
    </row>
    <row r="236" spans="1:5" x14ac:dyDescent="0.25">
      <c r="A236" t="s">
        <v>35</v>
      </c>
      <c r="B236">
        <v>2019</v>
      </c>
      <c r="C236">
        <v>16.2</v>
      </c>
      <c r="D236">
        <v>11.8</v>
      </c>
      <c r="E236">
        <v>13.4</v>
      </c>
    </row>
    <row r="237" spans="1:5" x14ac:dyDescent="0.25">
      <c r="A237" t="s">
        <v>36</v>
      </c>
      <c r="B237">
        <v>2019</v>
      </c>
      <c r="C237">
        <v>15.5</v>
      </c>
      <c r="D237">
        <v>11.1</v>
      </c>
      <c r="E237">
        <v>12.7</v>
      </c>
    </row>
    <row r="238" spans="1:5" x14ac:dyDescent="0.25">
      <c r="A238" t="s">
        <v>37</v>
      </c>
      <c r="B238">
        <v>2019</v>
      </c>
      <c r="C238">
        <v>17.7</v>
      </c>
      <c r="D238">
        <v>13.3</v>
      </c>
      <c r="E238">
        <v>14.3</v>
      </c>
    </row>
    <row r="239" spans="1:5" x14ac:dyDescent="0.25">
      <c r="A239" t="s">
        <v>38</v>
      </c>
      <c r="B239">
        <v>2019</v>
      </c>
      <c r="C239">
        <v>19</v>
      </c>
      <c r="D239">
        <v>14.6</v>
      </c>
      <c r="E239">
        <v>16.100000000000001</v>
      </c>
    </row>
    <row r="240" spans="1:5" x14ac:dyDescent="0.25">
      <c r="A240" t="s">
        <v>39</v>
      </c>
      <c r="B240">
        <v>2019</v>
      </c>
      <c r="C240">
        <v>17.100000000000001</v>
      </c>
      <c r="D240">
        <v>12.7</v>
      </c>
      <c r="E240">
        <v>13.6</v>
      </c>
    </row>
    <row r="241" spans="1:5" x14ac:dyDescent="0.25">
      <c r="A241" t="s">
        <v>40</v>
      </c>
      <c r="B241">
        <v>2019</v>
      </c>
      <c r="C241">
        <v>15.6</v>
      </c>
      <c r="D241">
        <v>11.2</v>
      </c>
      <c r="E241">
        <v>12.9</v>
      </c>
    </row>
    <row r="242" spans="1:5" x14ac:dyDescent="0.25">
      <c r="A242" t="s">
        <v>41</v>
      </c>
      <c r="B242">
        <v>2019</v>
      </c>
      <c r="C242">
        <v>18.600000000000001</v>
      </c>
      <c r="D242">
        <v>14.2</v>
      </c>
      <c r="E242">
        <v>15.5</v>
      </c>
    </row>
    <row r="243" spans="1:5" x14ac:dyDescent="0.25">
      <c r="A243" t="s">
        <v>42</v>
      </c>
      <c r="B243">
        <v>2019</v>
      </c>
      <c r="C243">
        <v>18.600000000000001</v>
      </c>
      <c r="D243">
        <v>14.2</v>
      </c>
      <c r="E243">
        <v>15.2</v>
      </c>
    </row>
    <row r="244" spans="1:5" x14ac:dyDescent="0.25">
      <c r="A244" t="s">
        <v>43</v>
      </c>
      <c r="B244">
        <v>2019</v>
      </c>
      <c r="C244">
        <v>16</v>
      </c>
      <c r="D244">
        <v>11.6</v>
      </c>
      <c r="E244">
        <v>13.3</v>
      </c>
    </row>
    <row r="245" spans="1:5" x14ac:dyDescent="0.25">
      <c r="A245" t="s">
        <v>44</v>
      </c>
      <c r="B245">
        <v>2019</v>
      </c>
      <c r="C245">
        <v>17</v>
      </c>
      <c r="D245">
        <v>12.6</v>
      </c>
      <c r="E245">
        <v>14</v>
      </c>
    </row>
    <row r="246" spans="1:5" x14ac:dyDescent="0.25">
      <c r="A246" t="s">
        <v>45</v>
      </c>
      <c r="B246">
        <v>2019</v>
      </c>
      <c r="C246">
        <v>19.3</v>
      </c>
      <c r="D246">
        <v>14.9</v>
      </c>
      <c r="E246">
        <v>16.100000000000001</v>
      </c>
    </row>
    <row r="247" spans="1:5" x14ac:dyDescent="0.25">
      <c r="A247" t="s">
        <v>46</v>
      </c>
      <c r="B247">
        <v>2019</v>
      </c>
      <c r="C247">
        <v>14.1</v>
      </c>
      <c r="D247">
        <v>9.6999999999999993</v>
      </c>
      <c r="E247">
        <v>11</v>
      </c>
    </row>
    <row r="248" spans="1:5" x14ac:dyDescent="0.25">
      <c r="A248" t="s">
        <v>47</v>
      </c>
      <c r="B248">
        <v>2019</v>
      </c>
      <c r="C248">
        <v>19.399999999999999</v>
      </c>
      <c r="D248">
        <v>15</v>
      </c>
      <c r="E248">
        <v>16.7</v>
      </c>
    </row>
    <row r="249" spans="1:5" x14ac:dyDescent="0.25">
      <c r="A249" t="s">
        <v>48</v>
      </c>
      <c r="B249">
        <v>2019</v>
      </c>
      <c r="C249">
        <v>13.7</v>
      </c>
      <c r="D249">
        <v>9.3000000000000007</v>
      </c>
      <c r="E249">
        <v>10.7</v>
      </c>
    </row>
    <row r="250" spans="1:5" x14ac:dyDescent="0.25">
      <c r="A250" t="s">
        <v>49</v>
      </c>
      <c r="B250">
        <v>2019</v>
      </c>
      <c r="C250">
        <v>14.5</v>
      </c>
      <c r="D250">
        <v>10.1</v>
      </c>
      <c r="E250">
        <v>11.3</v>
      </c>
    </row>
    <row r="251" spans="1:5" x14ac:dyDescent="0.25">
      <c r="A251" t="s">
        <v>50</v>
      </c>
      <c r="B251">
        <v>2019</v>
      </c>
      <c r="C251">
        <v>15.1</v>
      </c>
      <c r="D251">
        <v>10.7</v>
      </c>
      <c r="E251">
        <v>12.1</v>
      </c>
    </row>
    <row r="252" spans="1:5" x14ac:dyDescent="0.25">
      <c r="A252" t="s">
        <v>51</v>
      </c>
      <c r="B252">
        <v>2019</v>
      </c>
      <c r="C252">
        <v>17.399999999999999</v>
      </c>
      <c r="D252">
        <v>13</v>
      </c>
      <c r="E252">
        <v>14.2</v>
      </c>
    </row>
    <row r="253" spans="1:5" x14ac:dyDescent="0.25">
      <c r="A253" t="s">
        <v>52</v>
      </c>
      <c r="B253">
        <v>2019</v>
      </c>
      <c r="C253">
        <v>18.399999999999999</v>
      </c>
      <c r="D253">
        <v>14</v>
      </c>
      <c r="E253">
        <v>15</v>
      </c>
    </row>
    <row r="254" spans="1:5" x14ac:dyDescent="0.25">
      <c r="A254" t="s">
        <v>53</v>
      </c>
      <c r="B254">
        <v>2019</v>
      </c>
      <c r="C254">
        <v>16.2</v>
      </c>
      <c r="D254">
        <v>11.8</v>
      </c>
      <c r="E254">
        <v>13.2</v>
      </c>
    </row>
    <row r="255" spans="1:5" x14ac:dyDescent="0.25">
      <c r="A255" t="s">
        <v>54</v>
      </c>
      <c r="B255">
        <v>2019</v>
      </c>
      <c r="C255">
        <v>15.4</v>
      </c>
      <c r="D255">
        <v>11</v>
      </c>
      <c r="E255">
        <v>12</v>
      </c>
    </row>
    <row r="256" spans="1:5" x14ac:dyDescent="0.25">
      <c r="A256" t="s">
        <v>55</v>
      </c>
      <c r="B256">
        <v>2019</v>
      </c>
      <c r="C256">
        <v>17</v>
      </c>
      <c r="D256">
        <v>12.6</v>
      </c>
      <c r="E256">
        <v>13.7</v>
      </c>
    </row>
    <row r="257" spans="1:5" x14ac:dyDescent="0.25">
      <c r="A257" t="s">
        <v>56</v>
      </c>
      <c r="B257">
        <v>2019</v>
      </c>
      <c r="C257">
        <v>18.600000000000001</v>
      </c>
      <c r="D257">
        <v>14.2</v>
      </c>
      <c r="E257">
        <v>15.6</v>
      </c>
    </row>
    <row r="258" spans="1:5" x14ac:dyDescent="0.25">
      <c r="A258" t="s">
        <v>57</v>
      </c>
      <c r="B258">
        <v>2019</v>
      </c>
      <c r="C258">
        <v>17.7</v>
      </c>
      <c r="D258">
        <v>13.4</v>
      </c>
      <c r="E258">
        <v>14.3</v>
      </c>
    </row>
    <row r="259" spans="1:5" x14ac:dyDescent="0.25">
      <c r="A259" t="s">
        <v>8</v>
      </c>
      <c r="B259">
        <v>2020</v>
      </c>
      <c r="C259">
        <v>12</v>
      </c>
      <c r="D259">
        <v>8.6999999999999993</v>
      </c>
      <c r="E259">
        <v>9.8000000000000007</v>
      </c>
    </row>
    <row r="260" spans="1:5" x14ac:dyDescent="0.25">
      <c r="A260" t="s">
        <v>9</v>
      </c>
      <c r="B260">
        <v>2020</v>
      </c>
      <c r="C260">
        <v>10.9</v>
      </c>
      <c r="D260">
        <v>7.6</v>
      </c>
      <c r="E260">
        <v>8.6</v>
      </c>
    </row>
    <row r="261" spans="1:5" x14ac:dyDescent="0.25">
      <c r="A261" t="s">
        <v>10</v>
      </c>
      <c r="B261">
        <v>2020</v>
      </c>
      <c r="C261">
        <v>14.3</v>
      </c>
      <c r="D261">
        <v>11</v>
      </c>
      <c r="E261">
        <v>12.1</v>
      </c>
    </row>
    <row r="262" spans="1:5" x14ac:dyDescent="0.25">
      <c r="A262" t="s">
        <v>11</v>
      </c>
      <c r="B262">
        <v>2020</v>
      </c>
      <c r="C262">
        <v>12.4</v>
      </c>
      <c r="D262">
        <v>9.1</v>
      </c>
      <c r="E262">
        <v>10.1</v>
      </c>
    </row>
    <row r="263" spans="1:5" x14ac:dyDescent="0.25">
      <c r="A263" t="s">
        <v>12</v>
      </c>
      <c r="B263">
        <v>2020</v>
      </c>
      <c r="C263">
        <v>13.6</v>
      </c>
      <c r="D263">
        <v>10.3</v>
      </c>
      <c r="E263">
        <v>11</v>
      </c>
    </row>
    <row r="264" spans="1:5" x14ac:dyDescent="0.25">
      <c r="A264" t="s">
        <v>13</v>
      </c>
      <c r="B264">
        <v>2020</v>
      </c>
      <c r="C264">
        <v>9.6999999999999993</v>
      </c>
      <c r="D264">
        <v>6.5</v>
      </c>
      <c r="E264">
        <v>7.7</v>
      </c>
    </row>
    <row r="265" spans="1:5" x14ac:dyDescent="0.25">
      <c r="A265" t="s">
        <v>14</v>
      </c>
      <c r="B265">
        <v>2020</v>
      </c>
      <c r="C265">
        <v>12.6</v>
      </c>
      <c r="D265">
        <v>9.3000000000000007</v>
      </c>
      <c r="E265">
        <v>10.4</v>
      </c>
    </row>
    <row r="266" spans="1:5" x14ac:dyDescent="0.25">
      <c r="A266" t="s">
        <v>15</v>
      </c>
      <c r="B266">
        <v>2020</v>
      </c>
      <c r="C266">
        <v>8.6999999999999993</v>
      </c>
      <c r="D266">
        <v>5.4</v>
      </c>
      <c r="E266">
        <v>6.3</v>
      </c>
    </row>
    <row r="267" spans="1:5" x14ac:dyDescent="0.25">
      <c r="A267" t="s">
        <v>16</v>
      </c>
      <c r="B267">
        <v>2020</v>
      </c>
      <c r="C267">
        <v>12.8</v>
      </c>
      <c r="D267">
        <v>9.5</v>
      </c>
      <c r="E267">
        <v>10.4</v>
      </c>
    </row>
    <row r="268" spans="1:5" x14ac:dyDescent="0.25">
      <c r="A268" t="s">
        <v>17</v>
      </c>
      <c r="B268">
        <v>2020</v>
      </c>
      <c r="C268">
        <v>10.9</v>
      </c>
      <c r="D268">
        <v>7.6</v>
      </c>
      <c r="E268">
        <v>8.9</v>
      </c>
    </row>
    <row r="269" spans="1:5" x14ac:dyDescent="0.25">
      <c r="A269" t="s">
        <v>18</v>
      </c>
      <c r="B269">
        <v>2020</v>
      </c>
      <c r="C269">
        <v>11.7</v>
      </c>
      <c r="D269">
        <v>8.5</v>
      </c>
      <c r="E269">
        <v>9.5</v>
      </c>
    </row>
    <row r="270" spans="1:5" x14ac:dyDescent="0.25">
      <c r="A270" t="s">
        <v>19</v>
      </c>
      <c r="B270">
        <v>2020</v>
      </c>
      <c r="C270">
        <v>13.3</v>
      </c>
      <c r="D270">
        <v>10</v>
      </c>
      <c r="E270">
        <v>11</v>
      </c>
    </row>
    <row r="271" spans="1:5" x14ac:dyDescent="0.25">
      <c r="A271" t="s">
        <v>20</v>
      </c>
      <c r="B271">
        <v>2020</v>
      </c>
      <c r="C271">
        <v>13.3</v>
      </c>
      <c r="D271">
        <v>10</v>
      </c>
      <c r="E271">
        <v>11.2</v>
      </c>
    </row>
    <row r="272" spans="1:5" x14ac:dyDescent="0.25">
      <c r="A272" t="s">
        <v>21</v>
      </c>
      <c r="B272">
        <v>2020</v>
      </c>
      <c r="C272">
        <v>14</v>
      </c>
      <c r="D272">
        <v>10.7</v>
      </c>
      <c r="E272">
        <v>11.8</v>
      </c>
    </row>
    <row r="273" spans="1:5" x14ac:dyDescent="0.25">
      <c r="A273" t="s">
        <v>22</v>
      </c>
      <c r="B273">
        <v>2020</v>
      </c>
      <c r="C273">
        <v>11.9</v>
      </c>
      <c r="D273">
        <v>8.6</v>
      </c>
      <c r="E273">
        <v>9.5</v>
      </c>
    </row>
    <row r="274" spans="1:5" x14ac:dyDescent="0.25">
      <c r="A274" t="s">
        <v>23</v>
      </c>
      <c r="B274">
        <v>2020</v>
      </c>
      <c r="C274">
        <v>14.3</v>
      </c>
      <c r="D274">
        <v>11</v>
      </c>
      <c r="E274">
        <v>11.8</v>
      </c>
    </row>
    <row r="275" spans="1:5" x14ac:dyDescent="0.25">
      <c r="A275" t="s">
        <v>24</v>
      </c>
      <c r="B275">
        <v>2020</v>
      </c>
      <c r="C275">
        <v>8.9</v>
      </c>
      <c r="D275">
        <v>5.6</v>
      </c>
      <c r="E275">
        <v>6.4</v>
      </c>
    </row>
    <row r="276" spans="1:5" x14ac:dyDescent="0.25">
      <c r="A276" t="s">
        <v>25</v>
      </c>
      <c r="B276">
        <v>2020</v>
      </c>
      <c r="C276">
        <v>11.7</v>
      </c>
      <c r="D276">
        <v>8.4</v>
      </c>
      <c r="E276">
        <v>9.6</v>
      </c>
    </row>
    <row r="277" spans="1:5" x14ac:dyDescent="0.25">
      <c r="A277" t="s">
        <v>26</v>
      </c>
      <c r="B277">
        <v>2020</v>
      </c>
      <c r="C277">
        <v>11.9</v>
      </c>
      <c r="D277">
        <v>8.6</v>
      </c>
      <c r="E277">
        <v>9.6</v>
      </c>
    </row>
    <row r="278" spans="1:5" x14ac:dyDescent="0.25">
      <c r="A278" t="s">
        <v>27</v>
      </c>
      <c r="B278">
        <v>2020</v>
      </c>
      <c r="C278">
        <v>14.2</v>
      </c>
      <c r="D278">
        <v>10.9</v>
      </c>
      <c r="E278">
        <v>11.9</v>
      </c>
    </row>
    <row r="279" spans="1:5" x14ac:dyDescent="0.25">
      <c r="A279" t="s">
        <v>28</v>
      </c>
      <c r="B279">
        <v>2020</v>
      </c>
      <c r="C279">
        <v>13.3</v>
      </c>
      <c r="D279">
        <v>10</v>
      </c>
      <c r="E279">
        <v>11.1</v>
      </c>
    </row>
    <row r="280" spans="1:5" x14ac:dyDescent="0.25">
      <c r="A280" t="s">
        <v>29</v>
      </c>
      <c r="B280">
        <v>2020</v>
      </c>
      <c r="C280">
        <v>13.3</v>
      </c>
      <c r="D280">
        <v>10</v>
      </c>
      <c r="E280">
        <v>11.1</v>
      </c>
    </row>
    <row r="281" spans="1:5" x14ac:dyDescent="0.25">
      <c r="A281" t="s">
        <v>30</v>
      </c>
      <c r="B281">
        <v>2020</v>
      </c>
      <c r="C281">
        <v>11.4</v>
      </c>
      <c r="D281">
        <v>8.1999999999999993</v>
      </c>
      <c r="E281">
        <v>9.1</v>
      </c>
    </row>
    <row r="282" spans="1:5" x14ac:dyDescent="0.25">
      <c r="A282" t="s">
        <v>31</v>
      </c>
      <c r="B282">
        <v>2020</v>
      </c>
      <c r="C282">
        <v>8.6999999999999993</v>
      </c>
      <c r="D282">
        <v>5.4</v>
      </c>
      <c r="E282">
        <v>6.3</v>
      </c>
    </row>
    <row r="283" spans="1:5" x14ac:dyDescent="0.25">
      <c r="A283" t="s">
        <v>32</v>
      </c>
      <c r="B283">
        <v>2020</v>
      </c>
      <c r="C283">
        <v>11.3</v>
      </c>
      <c r="D283">
        <v>8</v>
      </c>
      <c r="E283">
        <v>9</v>
      </c>
    </row>
    <row r="284" spans="1:5" x14ac:dyDescent="0.25">
      <c r="A284" t="s">
        <v>33</v>
      </c>
      <c r="B284">
        <v>2020</v>
      </c>
      <c r="C284">
        <v>13.3</v>
      </c>
      <c r="D284">
        <v>10</v>
      </c>
      <c r="E284">
        <v>11.2</v>
      </c>
    </row>
    <row r="285" spans="1:5" x14ac:dyDescent="0.25">
      <c r="A285" t="s">
        <v>34</v>
      </c>
      <c r="B285">
        <v>2020</v>
      </c>
      <c r="C285">
        <v>13.6</v>
      </c>
      <c r="D285">
        <v>10.4</v>
      </c>
      <c r="E285">
        <v>11.1</v>
      </c>
    </row>
    <row r="286" spans="1:5" x14ac:dyDescent="0.25">
      <c r="A286" t="s">
        <v>35</v>
      </c>
      <c r="B286">
        <v>2020</v>
      </c>
      <c r="C286">
        <v>10.3</v>
      </c>
      <c r="D286">
        <v>7</v>
      </c>
      <c r="E286">
        <v>7.7</v>
      </c>
    </row>
    <row r="287" spans="1:5" x14ac:dyDescent="0.25">
      <c r="A287" t="s">
        <v>36</v>
      </c>
      <c r="B287">
        <v>2020</v>
      </c>
      <c r="C287">
        <v>13.5</v>
      </c>
      <c r="D287">
        <v>10.199999999999999</v>
      </c>
      <c r="E287">
        <v>11</v>
      </c>
    </row>
    <row r="288" spans="1:5" x14ac:dyDescent="0.25">
      <c r="A288" t="s">
        <v>37</v>
      </c>
      <c r="B288">
        <v>2020</v>
      </c>
      <c r="C288">
        <v>13.3</v>
      </c>
      <c r="D288">
        <v>10.1</v>
      </c>
      <c r="E288">
        <v>11.1</v>
      </c>
    </row>
    <row r="289" spans="1:5" x14ac:dyDescent="0.25">
      <c r="A289" t="s">
        <v>38</v>
      </c>
      <c r="B289">
        <v>2020</v>
      </c>
      <c r="C289">
        <v>9.1</v>
      </c>
      <c r="D289">
        <v>5.8</v>
      </c>
      <c r="E289">
        <v>6.9</v>
      </c>
    </row>
    <row r="290" spans="1:5" x14ac:dyDescent="0.25">
      <c r="A290" t="s">
        <v>39</v>
      </c>
      <c r="B290">
        <v>2020</v>
      </c>
      <c r="C290">
        <v>12.3</v>
      </c>
      <c r="D290">
        <v>9</v>
      </c>
      <c r="E290">
        <v>9.6999999999999993</v>
      </c>
    </row>
    <row r="291" spans="1:5" x14ac:dyDescent="0.25">
      <c r="A291" t="s">
        <v>40</v>
      </c>
      <c r="B291">
        <v>2020</v>
      </c>
      <c r="C291">
        <v>11</v>
      </c>
      <c r="D291">
        <v>7.8</v>
      </c>
      <c r="E291">
        <v>8.9</v>
      </c>
    </row>
    <row r="292" spans="1:5" x14ac:dyDescent="0.25">
      <c r="A292" t="s">
        <v>41</v>
      </c>
      <c r="B292">
        <v>2020</v>
      </c>
      <c r="C292">
        <v>14.5</v>
      </c>
      <c r="D292">
        <v>11.3</v>
      </c>
      <c r="E292">
        <v>12.1</v>
      </c>
    </row>
    <row r="293" spans="1:5" x14ac:dyDescent="0.25">
      <c r="A293" t="s">
        <v>42</v>
      </c>
      <c r="B293">
        <v>2020</v>
      </c>
      <c r="C293">
        <v>8.6</v>
      </c>
      <c r="D293">
        <v>5.3</v>
      </c>
      <c r="E293">
        <v>6.4</v>
      </c>
    </row>
    <row r="294" spans="1:5" x14ac:dyDescent="0.25">
      <c r="A294" t="s">
        <v>43</v>
      </c>
      <c r="B294">
        <v>2020</v>
      </c>
      <c r="C294">
        <v>9.1999999999999993</v>
      </c>
      <c r="D294">
        <v>5.9</v>
      </c>
      <c r="E294">
        <v>7</v>
      </c>
    </row>
    <row r="295" spans="1:5" x14ac:dyDescent="0.25">
      <c r="A295" t="s">
        <v>44</v>
      </c>
      <c r="B295">
        <v>2020</v>
      </c>
      <c r="C295">
        <v>12.2</v>
      </c>
      <c r="D295">
        <v>8.9</v>
      </c>
      <c r="E295">
        <v>9.9</v>
      </c>
    </row>
    <row r="296" spans="1:5" x14ac:dyDescent="0.25">
      <c r="A296" t="s">
        <v>45</v>
      </c>
      <c r="B296">
        <v>2020</v>
      </c>
      <c r="C296">
        <v>10.3</v>
      </c>
      <c r="D296">
        <v>7.1</v>
      </c>
      <c r="E296">
        <v>7.9</v>
      </c>
    </row>
    <row r="297" spans="1:5" x14ac:dyDescent="0.25">
      <c r="A297" t="s">
        <v>46</v>
      </c>
      <c r="B297">
        <v>2020</v>
      </c>
      <c r="C297">
        <v>8.8000000000000007</v>
      </c>
      <c r="D297">
        <v>5.5</v>
      </c>
      <c r="E297">
        <v>6.7</v>
      </c>
    </row>
    <row r="298" spans="1:5" x14ac:dyDescent="0.25">
      <c r="A298" t="s">
        <v>47</v>
      </c>
      <c r="B298">
        <v>2020</v>
      </c>
      <c r="C298">
        <v>12</v>
      </c>
      <c r="D298">
        <v>8.6999999999999993</v>
      </c>
      <c r="E298">
        <v>9.9</v>
      </c>
    </row>
    <row r="299" spans="1:5" x14ac:dyDescent="0.25">
      <c r="A299" t="s">
        <v>48</v>
      </c>
      <c r="B299">
        <v>2020</v>
      </c>
      <c r="C299">
        <v>11.4</v>
      </c>
      <c r="D299">
        <v>8.1</v>
      </c>
      <c r="E299">
        <v>9.1</v>
      </c>
    </row>
    <row r="300" spans="1:5" x14ac:dyDescent="0.25">
      <c r="A300" t="s">
        <v>49</v>
      </c>
      <c r="B300">
        <v>2020</v>
      </c>
      <c r="C300">
        <v>11.9</v>
      </c>
      <c r="D300">
        <v>8.6</v>
      </c>
      <c r="E300">
        <v>9.8000000000000007</v>
      </c>
    </row>
    <row r="301" spans="1:5" x14ac:dyDescent="0.25">
      <c r="A301" t="s">
        <v>50</v>
      </c>
      <c r="B301">
        <v>2020</v>
      </c>
      <c r="C301">
        <v>10.8</v>
      </c>
      <c r="D301">
        <v>7.5</v>
      </c>
      <c r="E301">
        <v>8.3000000000000007</v>
      </c>
    </row>
    <row r="302" spans="1:5" x14ac:dyDescent="0.25">
      <c r="A302" t="s">
        <v>51</v>
      </c>
      <c r="B302">
        <v>2020</v>
      </c>
      <c r="C302">
        <v>12.7</v>
      </c>
      <c r="D302">
        <v>9.4</v>
      </c>
      <c r="E302">
        <v>10.199999999999999</v>
      </c>
    </row>
    <row r="303" spans="1:5" x14ac:dyDescent="0.25">
      <c r="A303" t="s">
        <v>52</v>
      </c>
      <c r="B303">
        <v>2020</v>
      </c>
      <c r="C303">
        <v>11</v>
      </c>
      <c r="D303">
        <v>7.7</v>
      </c>
      <c r="E303">
        <v>9</v>
      </c>
    </row>
    <row r="304" spans="1:5" x14ac:dyDescent="0.25">
      <c r="A304" t="s">
        <v>53</v>
      </c>
      <c r="B304">
        <v>2020</v>
      </c>
      <c r="C304">
        <v>12.3</v>
      </c>
      <c r="D304">
        <v>9</v>
      </c>
      <c r="E304">
        <v>10</v>
      </c>
    </row>
    <row r="305" spans="1:5" x14ac:dyDescent="0.25">
      <c r="A305" t="s">
        <v>54</v>
      </c>
      <c r="B305">
        <v>2020</v>
      </c>
      <c r="C305">
        <v>11.6</v>
      </c>
      <c r="D305">
        <v>8.3000000000000007</v>
      </c>
      <c r="E305">
        <v>9.4</v>
      </c>
    </row>
    <row r="306" spans="1:5" x14ac:dyDescent="0.25">
      <c r="A306" t="s">
        <v>55</v>
      </c>
      <c r="B306">
        <v>2020</v>
      </c>
      <c r="C306">
        <v>9.3000000000000007</v>
      </c>
      <c r="D306">
        <v>6.1</v>
      </c>
      <c r="E306">
        <v>7.1</v>
      </c>
    </row>
    <row r="307" spans="1:5" x14ac:dyDescent="0.25">
      <c r="A307" t="s">
        <v>56</v>
      </c>
      <c r="B307">
        <v>2020</v>
      </c>
      <c r="C307">
        <v>11.3</v>
      </c>
      <c r="D307">
        <v>8</v>
      </c>
      <c r="E307">
        <v>9.3000000000000007</v>
      </c>
    </row>
    <row r="308" spans="1:5" x14ac:dyDescent="0.25">
      <c r="A308" t="s">
        <v>57</v>
      </c>
      <c r="B308">
        <v>2020</v>
      </c>
      <c r="C308">
        <v>9.6999999999999993</v>
      </c>
      <c r="D308">
        <v>6.4</v>
      </c>
      <c r="E308">
        <v>7.3</v>
      </c>
    </row>
    <row r="309" spans="1:5" x14ac:dyDescent="0.25">
      <c r="A309" t="s">
        <v>8</v>
      </c>
      <c r="B309">
        <v>2021</v>
      </c>
      <c r="C309">
        <v>11.6</v>
      </c>
      <c r="D309">
        <v>9.5</v>
      </c>
      <c r="E309">
        <v>10.3</v>
      </c>
    </row>
    <row r="310" spans="1:5" x14ac:dyDescent="0.25">
      <c r="A310" t="s">
        <v>9</v>
      </c>
      <c r="B310">
        <v>2021</v>
      </c>
      <c r="C310">
        <v>12.6</v>
      </c>
      <c r="D310">
        <v>10.5</v>
      </c>
      <c r="E310">
        <v>11.2</v>
      </c>
    </row>
    <row r="311" spans="1:5" x14ac:dyDescent="0.25">
      <c r="A311" t="s">
        <v>10</v>
      </c>
      <c r="B311">
        <v>2021</v>
      </c>
      <c r="C311">
        <v>12.6</v>
      </c>
      <c r="D311">
        <v>10.4</v>
      </c>
      <c r="E311">
        <v>11.3</v>
      </c>
    </row>
    <row r="312" spans="1:5" x14ac:dyDescent="0.25">
      <c r="A312" t="s">
        <v>11</v>
      </c>
      <c r="B312">
        <v>2021</v>
      </c>
      <c r="C312">
        <v>12.1</v>
      </c>
      <c r="D312">
        <v>10</v>
      </c>
      <c r="E312">
        <v>10.6</v>
      </c>
    </row>
    <row r="313" spans="1:5" x14ac:dyDescent="0.25">
      <c r="A313" t="s">
        <v>12</v>
      </c>
      <c r="B313">
        <v>2021</v>
      </c>
      <c r="C313">
        <v>12.9</v>
      </c>
      <c r="D313">
        <v>10.7</v>
      </c>
      <c r="E313">
        <v>11.2</v>
      </c>
    </row>
    <row r="314" spans="1:5" x14ac:dyDescent="0.25">
      <c r="A314" t="s">
        <v>13</v>
      </c>
      <c r="B314">
        <v>2021</v>
      </c>
      <c r="C314">
        <v>12.7</v>
      </c>
      <c r="D314">
        <v>10.6</v>
      </c>
      <c r="E314">
        <v>11.4</v>
      </c>
    </row>
    <row r="315" spans="1:5" x14ac:dyDescent="0.25">
      <c r="A315" t="s">
        <v>14</v>
      </c>
      <c r="B315">
        <v>2021</v>
      </c>
      <c r="C315">
        <v>15.2</v>
      </c>
      <c r="D315">
        <v>13.1</v>
      </c>
      <c r="E315">
        <v>13.8</v>
      </c>
    </row>
    <row r="316" spans="1:5" x14ac:dyDescent="0.25">
      <c r="A316" t="s">
        <v>15</v>
      </c>
      <c r="B316">
        <v>2021</v>
      </c>
      <c r="C316">
        <v>13.7</v>
      </c>
      <c r="D316">
        <v>11.6</v>
      </c>
      <c r="E316">
        <v>12.4</v>
      </c>
    </row>
    <row r="317" spans="1:5" x14ac:dyDescent="0.25">
      <c r="A317" t="s">
        <v>16</v>
      </c>
      <c r="B317">
        <v>2021</v>
      </c>
      <c r="C317">
        <v>10.5</v>
      </c>
      <c r="D317">
        <v>8.4</v>
      </c>
      <c r="E317">
        <v>8.9</v>
      </c>
    </row>
    <row r="318" spans="1:5" x14ac:dyDescent="0.25">
      <c r="A318" t="s">
        <v>17</v>
      </c>
      <c r="B318">
        <v>2021</v>
      </c>
      <c r="C318">
        <v>10.199999999999999</v>
      </c>
      <c r="D318">
        <v>8.1</v>
      </c>
      <c r="E318">
        <v>8.9</v>
      </c>
    </row>
    <row r="319" spans="1:5" x14ac:dyDescent="0.25">
      <c r="A319" t="s">
        <v>18</v>
      </c>
      <c r="B319">
        <v>2021</v>
      </c>
      <c r="C319">
        <v>10</v>
      </c>
      <c r="D319">
        <v>7.9</v>
      </c>
      <c r="E319">
        <v>8.3000000000000007</v>
      </c>
    </row>
    <row r="320" spans="1:5" x14ac:dyDescent="0.25">
      <c r="A320" t="s">
        <v>19</v>
      </c>
      <c r="B320">
        <v>2021</v>
      </c>
      <c r="C320">
        <v>13.2</v>
      </c>
      <c r="D320">
        <v>11.1</v>
      </c>
      <c r="E320">
        <v>11.9</v>
      </c>
    </row>
    <row r="321" spans="1:5" x14ac:dyDescent="0.25">
      <c r="A321" t="s">
        <v>20</v>
      </c>
      <c r="B321">
        <v>2021</v>
      </c>
      <c r="C321">
        <v>12.5</v>
      </c>
      <c r="D321">
        <v>10.3</v>
      </c>
      <c r="E321">
        <v>11</v>
      </c>
    </row>
    <row r="322" spans="1:5" x14ac:dyDescent="0.25">
      <c r="A322" t="s">
        <v>21</v>
      </c>
      <c r="B322">
        <v>2021</v>
      </c>
      <c r="C322">
        <v>12.4</v>
      </c>
      <c r="D322">
        <v>10.3</v>
      </c>
      <c r="E322">
        <v>10.9</v>
      </c>
    </row>
    <row r="323" spans="1:5" x14ac:dyDescent="0.25">
      <c r="A323" t="s">
        <v>22</v>
      </c>
      <c r="B323">
        <v>2021</v>
      </c>
      <c r="C323">
        <v>9.6999999999999993</v>
      </c>
      <c r="D323">
        <v>7.5</v>
      </c>
      <c r="E323">
        <v>8.1999999999999993</v>
      </c>
    </row>
    <row r="324" spans="1:5" x14ac:dyDescent="0.25">
      <c r="A324" t="s">
        <v>23</v>
      </c>
      <c r="B324">
        <v>2021</v>
      </c>
      <c r="C324">
        <v>14.9</v>
      </c>
      <c r="D324">
        <v>12.8</v>
      </c>
      <c r="E324">
        <v>13.2</v>
      </c>
    </row>
    <row r="325" spans="1:5" x14ac:dyDescent="0.25">
      <c r="A325" t="s">
        <v>24</v>
      </c>
      <c r="B325">
        <v>2021</v>
      </c>
      <c r="C325">
        <v>12.7</v>
      </c>
      <c r="D325">
        <v>10.5</v>
      </c>
      <c r="E325">
        <v>11.2</v>
      </c>
    </row>
    <row r="326" spans="1:5" x14ac:dyDescent="0.25">
      <c r="A326" t="s">
        <v>25</v>
      </c>
      <c r="B326">
        <v>2021</v>
      </c>
      <c r="C326">
        <v>9.6999999999999993</v>
      </c>
      <c r="D326">
        <v>7.5</v>
      </c>
      <c r="E326">
        <v>8.1999999999999993</v>
      </c>
    </row>
    <row r="327" spans="1:5" x14ac:dyDescent="0.25">
      <c r="A327" t="s">
        <v>26</v>
      </c>
      <c r="B327">
        <v>2021</v>
      </c>
      <c r="C327">
        <v>10.199999999999999</v>
      </c>
      <c r="D327">
        <v>8.1</v>
      </c>
      <c r="E327">
        <v>8.8000000000000007</v>
      </c>
    </row>
    <row r="328" spans="1:5" x14ac:dyDescent="0.25">
      <c r="A328" t="s">
        <v>27</v>
      </c>
      <c r="B328">
        <v>2021</v>
      </c>
      <c r="C328">
        <v>14.7</v>
      </c>
      <c r="D328">
        <v>12.6</v>
      </c>
      <c r="E328">
        <v>13.3</v>
      </c>
    </row>
    <row r="329" spans="1:5" x14ac:dyDescent="0.25">
      <c r="A329" t="s">
        <v>28</v>
      </c>
      <c r="B329">
        <v>2021</v>
      </c>
      <c r="C329">
        <v>10</v>
      </c>
      <c r="D329">
        <v>7.8</v>
      </c>
      <c r="E329">
        <v>8.6</v>
      </c>
    </row>
    <row r="330" spans="1:5" x14ac:dyDescent="0.25">
      <c r="A330" t="s">
        <v>29</v>
      </c>
      <c r="B330">
        <v>2021</v>
      </c>
      <c r="C330">
        <v>9.9</v>
      </c>
      <c r="D330">
        <v>7.8</v>
      </c>
      <c r="E330">
        <v>8.4</v>
      </c>
    </row>
    <row r="331" spans="1:5" x14ac:dyDescent="0.25">
      <c r="A331" t="s">
        <v>30</v>
      </c>
      <c r="B331">
        <v>2021</v>
      </c>
      <c r="C331">
        <v>12.6</v>
      </c>
      <c r="D331">
        <v>10.4</v>
      </c>
      <c r="E331">
        <v>10.9</v>
      </c>
    </row>
    <row r="332" spans="1:5" x14ac:dyDescent="0.25">
      <c r="A332" t="s">
        <v>31</v>
      </c>
      <c r="B332">
        <v>2021</v>
      </c>
      <c r="C332">
        <v>12.3</v>
      </c>
      <c r="D332">
        <v>10.199999999999999</v>
      </c>
      <c r="E332">
        <v>10.8</v>
      </c>
    </row>
    <row r="333" spans="1:5" x14ac:dyDescent="0.25">
      <c r="A333" t="s">
        <v>32</v>
      </c>
      <c r="B333">
        <v>2021</v>
      </c>
      <c r="C333">
        <v>14.1</v>
      </c>
      <c r="D333">
        <v>11.9</v>
      </c>
      <c r="E333">
        <v>12.8</v>
      </c>
    </row>
    <row r="334" spans="1:5" x14ac:dyDescent="0.25">
      <c r="A334" t="s">
        <v>33</v>
      </c>
      <c r="B334">
        <v>2021</v>
      </c>
      <c r="C334">
        <v>13.1</v>
      </c>
      <c r="D334">
        <v>10.9</v>
      </c>
      <c r="E334">
        <v>11.4</v>
      </c>
    </row>
    <row r="335" spans="1:5" x14ac:dyDescent="0.25">
      <c r="A335" t="s">
        <v>34</v>
      </c>
      <c r="B335">
        <v>2021</v>
      </c>
      <c r="C335">
        <v>13.2</v>
      </c>
      <c r="D335">
        <v>11</v>
      </c>
      <c r="E335">
        <v>11.8</v>
      </c>
    </row>
    <row r="336" spans="1:5" x14ac:dyDescent="0.25">
      <c r="A336" t="s">
        <v>35</v>
      </c>
      <c r="B336">
        <v>2021</v>
      </c>
      <c r="C336">
        <v>11.8</v>
      </c>
      <c r="D336">
        <v>9.6999999999999993</v>
      </c>
      <c r="E336">
        <v>10.199999999999999</v>
      </c>
    </row>
    <row r="337" spans="1:5" x14ac:dyDescent="0.25">
      <c r="A337" t="s">
        <v>36</v>
      </c>
      <c r="B337">
        <v>2021</v>
      </c>
      <c r="C337">
        <v>12.7</v>
      </c>
      <c r="D337">
        <v>10.6</v>
      </c>
      <c r="E337">
        <v>11.1</v>
      </c>
    </row>
    <row r="338" spans="1:5" x14ac:dyDescent="0.25">
      <c r="A338" t="s">
        <v>37</v>
      </c>
      <c r="B338">
        <v>2021</v>
      </c>
      <c r="C338">
        <v>15.3</v>
      </c>
      <c r="D338">
        <v>13.2</v>
      </c>
      <c r="E338">
        <v>13.7</v>
      </c>
    </row>
    <row r="339" spans="1:5" x14ac:dyDescent="0.25">
      <c r="A339" t="s">
        <v>38</v>
      </c>
      <c r="B339">
        <v>2021</v>
      </c>
      <c r="C339">
        <v>11.2</v>
      </c>
      <c r="D339">
        <v>9</v>
      </c>
      <c r="E339">
        <v>9.5</v>
      </c>
    </row>
    <row r="340" spans="1:5" x14ac:dyDescent="0.25">
      <c r="A340" t="s">
        <v>39</v>
      </c>
      <c r="B340">
        <v>2021</v>
      </c>
      <c r="C340">
        <v>11.1</v>
      </c>
      <c r="D340">
        <v>9</v>
      </c>
      <c r="E340">
        <v>9.5</v>
      </c>
    </row>
    <row r="341" spans="1:5" x14ac:dyDescent="0.25">
      <c r="A341" t="s">
        <v>40</v>
      </c>
      <c r="B341">
        <v>2021</v>
      </c>
      <c r="C341">
        <v>10.5</v>
      </c>
      <c r="D341">
        <v>8.4</v>
      </c>
      <c r="E341">
        <v>9.1999999999999993</v>
      </c>
    </row>
    <row r="342" spans="1:5" x14ac:dyDescent="0.25">
      <c r="A342" t="s">
        <v>41</v>
      </c>
      <c r="B342">
        <v>2021</v>
      </c>
      <c r="C342">
        <v>13.1</v>
      </c>
      <c r="D342">
        <v>10.9</v>
      </c>
      <c r="E342">
        <v>11.4</v>
      </c>
    </row>
    <row r="343" spans="1:5" x14ac:dyDescent="0.25">
      <c r="A343" t="s">
        <v>42</v>
      </c>
      <c r="B343">
        <v>2021</v>
      </c>
      <c r="C343">
        <v>12.4</v>
      </c>
      <c r="D343">
        <v>10.3</v>
      </c>
      <c r="E343">
        <v>11.1</v>
      </c>
    </row>
    <row r="344" spans="1:5" x14ac:dyDescent="0.25">
      <c r="A344" t="s">
        <v>43</v>
      </c>
      <c r="B344">
        <v>2021</v>
      </c>
      <c r="C344">
        <v>12.2</v>
      </c>
      <c r="D344">
        <v>10</v>
      </c>
      <c r="E344">
        <v>10.7</v>
      </c>
    </row>
    <row r="345" spans="1:5" x14ac:dyDescent="0.25">
      <c r="A345" t="s">
        <v>44</v>
      </c>
      <c r="B345">
        <v>2021</v>
      </c>
      <c r="C345">
        <v>14.2</v>
      </c>
      <c r="D345">
        <v>12</v>
      </c>
      <c r="E345">
        <v>12.5</v>
      </c>
    </row>
    <row r="346" spans="1:5" x14ac:dyDescent="0.25">
      <c r="A346" t="s">
        <v>45</v>
      </c>
      <c r="B346">
        <v>2021</v>
      </c>
      <c r="C346">
        <v>13.2</v>
      </c>
      <c r="D346">
        <v>11.1</v>
      </c>
      <c r="E346">
        <v>11.5</v>
      </c>
    </row>
    <row r="347" spans="1:5" x14ac:dyDescent="0.25">
      <c r="A347" t="s">
        <v>46</v>
      </c>
      <c r="B347">
        <v>2021</v>
      </c>
      <c r="C347">
        <v>10.199999999999999</v>
      </c>
      <c r="D347">
        <v>8</v>
      </c>
      <c r="E347">
        <v>8.8000000000000007</v>
      </c>
    </row>
    <row r="348" spans="1:5" x14ac:dyDescent="0.25">
      <c r="A348" t="s">
        <v>47</v>
      </c>
      <c r="B348">
        <v>2021</v>
      </c>
      <c r="C348">
        <v>10.4</v>
      </c>
      <c r="D348">
        <v>8.3000000000000007</v>
      </c>
      <c r="E348">
        <v>8.8000000000000007</v>
      </c>
    </row>
    <row r="349" spans="1:5" x14ac:dyDescent="0.25">
      <c r="A349" t="s">
        <v>48</v>
      </c>
      <c r="B349">
        <v>2021</v>
      </c>
      <c r="C349">
        <v>12.6</v>
      </c>
      <c r="D349">
        <v>10.5</v>
      </c>
      <c r="E349">
        <v>11.1</v>
      </c>
    </row>
    <row r="350" spans="1:5" x14ac:dyDescent="0.25">
      <c r="A350" t="s">
        <v>49</v>
      </c>
      <c r="B350">
        <v>2021</v>
      </c>
      <c r="C350">
        <v>13.8</v>
      </c>
      <c r="D350">
        <v>11.6</v>
      </c>
      <c r="E350">
        <v>12.1</v>
      </c>
    </row>
    <row r="351" spans="1:5" x14ac:dyDescent="0.25">
      <c r="A351" t="s">
        <v>50</v>
      </c>
      <c r="B351">
        <v>2021</v>
      </c>
      <c r="C351">
        <v>10.6</v>
      </c>
      <c r="D351">
        <v>8.5</v>
      </c>
      <c r="E351">
        <v>9</v>
      </c>
    </row>
    <row r="352" spans="1:5" x14ac:dyDescent="0.25">
      <c r="A352" t="s">
        <v>51</v>
      </c>
      <c r="B352">
        <v>2021</v>
      </c>
      <c r="C352">
        <v>11.5</v>
      </c>
      <c r="D352">
        <v>9.4</v>
      </c>
      <c r="E352">
        <v>10.199999999999999</v>
      </c>
    </row>
    <row r="353" spans="1:5" x14ac:dyDescent="0.25">
      <c r="A353" t="s">
        <v>52</v>
      </c>
      <c r="B353">
        <v>2021</v>
      </c>
      <c r="C353">
        <v>13.7</v>
      </c>
      <c r="D353">
        <v>11.6</v>
      </c>
      <c r="E353">
        <v>12.3</v>
      </c>
    </row>
    <row r="354" spans="1:5" x14ac:dyDescent="0.25">
      <c r="A354" t="s">
        <v>53</v>
      </c>
      <c r="B354">
        <v>2021</v>
      </c>
      <c r="C354">
        <v>10.7</v>
      </c>
      <c r="D354">
        <v>8.6</v>
      </c>
      <c r="E354">
        <v>9.1999999999999993</v>
      </c>
    </row>
    <row r="355" spans="1:5" x14ac:dyDescent="0.25">
      <c r="A355" t="s">
        <v>54</v>
      </c>
      <c r="B355">
        <v>2021</v>
      </c>
      <c r="C355">
        <v>14.7</v>
      </c>
      <c r="D355">
        <v>12.6</v>
      </c>
      <c r="E355">
        <v>13.1</v>
      </c>
    </row>
    <row r="356" spans="1:5" x14ac:dyDescent="0.25">
      <c r="A356" t="s">
        <v>55</v>
      </c>
      <c r="B356">
        <v>2021</v>
      </c>
      <c r="C356">
        <v>10.199999999999999</v>
      </c>
      <c r="D356">
        <v>8.1</v>
      </c>
      <c r="E356">
        <v>8.8000000000000007</v>
      </c>
    </row>
    <row r="357" spans="1:5" x14ac:dyDescent="0.25">
      <c r="A357" t="s">
        <v>56</v>
      </c>
      <c r="B357">
        <v>2021</v>
      </c>
      <c r="C357">
        <v>14.8</v>
      </c>
      <c r="D357">
        <v>12.7</v>
      </c>
      <c r="E357">
        <v>13.3</v>
      </c>
    </row>
    <row r="358" spans="1:5" x14ac:dyDescent="0.25">
      <c r="A358" t="s">
        <v>57</v>
      </c>
      <c r="B358">
        <v>2021</v>
      </c>
      <c r="C358">
        <v>14.5</v>
      </c>
      <c r="D358">
        <v>12.4</v>
      </c>
      <c r="E358">
        <v>13.2</v>
      </c>
    </row>
    <row r="359" spans="1:5" x14ac:dyDescent="0.25">
      <c r="A359" t="s">
        <v>8</v>
      </c>
      <c r="B359">
        <v>2022</v>
      </c>
      <c r="C359">
        <v>17.3</v>
      </c>
      <c r="D359">
        <v>16.8</v>
      </c>
      <c r="E359">
        <v>17</v>
      </c>
    </row>
    <row r="360" spans="1:5" x14ac:dyDescent="0.25">
      <c r="A360" t="s">
        <v>9</v>
      </c>
      <c r="B360">
        <v>2022</v>
      </c>
      <c r="C360">
        <v>19.3</v>
      </c>
      <c r="D360">
        <v>18.8</v>
      </c>
      <c r="E360">
        <v>19</v>
      </c>
    </row>
    <row r="361" spans="1:5" x14ac:dyDescent="0.25">
      <c r="A361" t="s">
        <v>10</v>
      </c>
      <c r="B361">
        <v>2022</v>
      </c>
      <c r="C361">
        <v>19.3</v>
      </c>
      <c r="D361">
        <v>18.7</v>
      </c>
      <c r="E361">
        <v>18.899999999999999</v>
      </c>
    </row>
    <row r="362" spans="1:5" x14ac:dyDescent="0.25">
      <c r="A362" t="s">
        <v>11</v>
      </c>
      <c r="B362">
        <v>2022</v>
      </c>
      <c r="C362">
        <v>15.6</v>
      </c>
      <c r="D362">
        <v>15.1</v>
      </c>
      <c r="E362">
        <v>15.2</v>
      </c>
    </row>
    <row r="363" spans="1:5" x14ac:dyDescent="0.25">
      <c r="A363" t="s">
        <v>12</v>
      </c>
      <c r="B363">
        <v>2022</v>
      </c>
      <c r="C363">
        <v>20.6</v>
      </c>
      <c r="D363">
        <v>20</v>
      </c>
      <c r="E363">
        <v>20.2</v>
      </c>
    </row>
    <row r="364" spans="1:5" x14ac:dyDescent="0.25">
      <c r="A364" t="s">
        <v>13</v>
      </c>
      <c r="B364">
        <v>2022</v>
      </c>
      <c r="C364">
        <v>16.7</v>
      </c>
      <c r="D364">
        <v>16.2</v>
      </c>
      <c r="E364">
        <v>16.3</v>
      </c>
    </row>
    <row r="365" spans="1:5" x14ac:dyDescent="0.25">
      <c r="A365" t="s">
        <v>14</v>
      </c>
      <c r="B365">
        <v>2022</v>
      </c>
      <c r="C365">
        <v>18</v>
      </c>
      <c r="D365">
        <v>17.399999999999999</v>
      </c>
      <c r="E365">
        <v>17.5</v>
      </c>
    </row>
    <row r="366" spans="1:5" x14ac:dyDescent="0.25">
      <c r="A366" t="s">
        <v>15</v>
      </c>
      <c r="B366">
        <v>2022</v>
      </c>
      <c r="C366">
        <v>18.100000000000001</v>
      </c>
      <c r="D366">
        <v>17.600000000000001</v>
      </c>
      <c r="E366">
        <v>17.7</v>
      </c>
    </row>
    <row r="367" spans="1:5" x14ac:dyDescent="0.25">
      <c r="A367" t="s">
        <v>16</v>
      </c>
      <c r="B367">
        <v>2022</v>
      </c>
      <c r="C367">
        <v>18.7</v>
      </c>
      <c r="D367">
        <v>18.2</v>
      </c>
      <c r="E367">
        <v>18.3</v>
      </c>
    </row>
    <row r="368" spans="1:5" x14ac:dyDescent="0.25">
      <c r="A368" t="s">
        <v>17</v>
      </c>
      <c r="B368">
        <v>2022</v>
      </c>
      <c r="C368">
        <v>16.100000000000001</v>
      </c>
      <c r="D368">
        <v>15.6</v>
      </c>
      <c r="E368">
        <v>15.8</v>
      </c>
    </row>
    <row r="369" spans="1:5" x14ac:dyDescent="0.25">
      <c r="A369" t="s">
        <v>18</v>
      </c>
      <c r="B369">
        <v>2022</v>
      </c>
      <c r="C369">
        <v>18</v>
      </c>
      <c r="D369">
        <v>17.5</v>
      </c>
      <c r="E369">
        <v>17.600000000000001</v>
      </c>
    </row>
    <row r="370" spans="1:5" x14ac:dyDescent="0.25">
      <c r="A370" t="s">
        <v>19</v>
      </c>
      <c r="B370">
        <v>2022</v>
      </c>
      <c r="C370">
        <v>20.7</v>
      </c>
      <c r="D370">
        <v>20.2</v>
      </c>
      <c r="E370">
        <v>20.3</v>
      </c>
    </row>
    <row r="371" spans="1:5" x14ac:dyDescent="0.25">
      <c r="A371" t="s">
        <v>20</v>
      </c>
      <c r="B371">
        <v>2022</v>
      </c>
      <c r="C371">
        <v>15.9</v>
      </c>
      <c r="D371">
        <v>15.3</v>
      </c>
      <c r="E371">
        <v>15.4</v>
      </c>
    </row>
    <row r="372" spans="1:5" x14ac:dyDescent="0.25">
      <c r="A372" t="s">
        <v>21</v>
      </c>
      <c r="B372">
        <v>2022</v>
      </c>
      <c r="C372">
        <v>20.5</v>
      </c>
      <c r="D372">
        <v>20</v>
      </c>
      <c r="E372">
        <v>20.100000000000001</v>
      </c>
    </row>
    <row r="373" spans="1:5" x14ac:dyDescent="0.25">
      <c r="A373" t="s">
        <v>22</v>
      </c>
      <c r="B373">
        <v>2022</v>
      </c>
      <c r="C373">
        <v>15.6</v>
      </c>
      <c r="D373">
        <v>15</v>
      </c>
      <c r="E373">
        <v>15.1</v>
      </c>
    </row>
    <row r="374" spans="1:5" x14ac:dyDescent="0.25">
      <c r="A374" t="s">
        <v>23</v>
      </c>
      <c r="B374">
        <v>2022</v>
      </c>
      <c r="C374">
        <v>18</v>
      </c>
      <c r="D374">
        <v>17.399999999999999</v>
      </c>
      <c r="E374">
        <v>17.5</v>
      </c>
    </row>
    <row r="375" spans="1:5" x14ac:dyDescent="0.25">
      <c r="A375" t="s">
        <v>24</v>
      </c>
      <c r="B375">
        <v>2022</v>
      </c>
      <c r="C375">
        <v>15.2</v>
      </c>
      <c r="D375">
        <v>14.6</v>
      </c>
      <c r="E375">
        <v>14.7</v>
      </c>
    </row>
    <row r="376" spans="1:5" x14ac:dyDescent="0.25">
      <c r="A376" t="s">
        <v>25</v>
      </c>
      <c r="B376">
        <v>2022</v>
      </c>
      <c r="C376">
        <v>19.899999999999999</v>
      </c>
      <c r="D376">
        <v>19.3</v>
      </c>
      <c r="E376">
        <v>19.5</v>
      </c>
    </row>
    <row r="377" spans="1:5" x14ac:dyDescent="0.25">
      <c r="A377" t="s">
        <v>26</v>
      </c>
      <c r="B377">
        <v>2022</v>
      </c>
      <c r="C377">
        <v>19.7</v>
      </c>
      <c r="D377">
        <v>19.100000000000001</v>
      </c>
      <c r="E377">
        <v>19.2</v>
      </c>
    </row>
    <row r="378" spans="1:5" x14ac:dyDescent="0.25">
      <c r="A378" t="s">
        <v>27</v>
      </c>
      <c r="B378">
        <v>2022</v>
      </c>
      <c r="C378">
        <v>16.600000000000001</v>
      </c>
      <c r="D378">
        <v>16</v>
      </c>
      <c r="E378">
        <v>16.2</v>
      </c>
    </row>
    <row r="379" spans="1:5" x14ac:dyDescent="0.25">
      <c r="A379" t="s">
        <v>28</v>
      </c>
      <c r="B379">
        <v>2022</v>
      </c>
      <c r="C379">
        <v>15</v>
      </c>
      <c r="D379">
        <v>14.5</v>
      </c>
      <c r="E379">
        <v>14.7</v>
      </c>
    </row>
    <row r="380" spans="1:5" x14ac:dyDescent="0.25">
      <c r="A380" t="s">
        <v>29</v>
      </c>
      <c r="B380">
        <v>2022</v>
      </c>
      <c r="C380">
        <v>18.399999999999999</v>
      </c>
      <c r="D380">
        <v>17.899999999999999</v>
      </c>
      <c r="E380">
        <v>18</v>
      </c>
    </row>
    <row r="381" spans="1:5" x14ac:dyDescent="0.25">
      <c r="A381" t="s">
        <v>30</v>
      </c>
      <c r="B381">
        <v>2022</v>
      </c>
      <c r="C381">
        <v>18.8</v>
      </c>
      <c r="D381">
        <v>18.3</v>
      </c>
      <c r="E381">
        <v>18.399999999999999</v>
      </c>
    </row>
    <row r="382" spans="1:5" x14ac:dyDescent="0.25">
      <c r="A382" t="s">
        <v>31</v>
      </c>
      <c r="B382">
        <v>2022</v>
      </c>
      <c r="C382">
        <v>18.399999999999999</v>
      </c>
      <c r="D382">
        <v>17.899999999999999</v>
      </c>
      <c r="E382">
        <v>18.100000000000001</v>
      </c>
    </row>
    <row r="383" spans="1:5" x14ac:dyDescent="0.25">
      <c r="A383" t="s">
        <v>32</v>
      </c>
      <c r="B383">
        <v>2022</v>
      </c>
      <c r="C383">
        <v>20.3</v>
      </c>
      <c r="D383">
        <v>19.8</v>
      </c>
      <c r="E383">
        <v>19.899999999999999</v>
      </c>
    </row>
    <row r="384" spans="1:5" x14ac:dyDescent="0.25">
      <c r="A384" t="s">
        <v>33</v>
      </c>
      <c r="B384">
        <v>2022</v>
      </c>
      <c r="C384">
        <v>16</v>
      </c>
      <c r="D384">
        <v>15.5</v>
      </c>
      <c r="E384">
        <v>15.7</v>
      </c>
    </row>
    <row r="385" spans="1:5" x14ac:dyDescent="0.25">
      <c r="A385" t="s">
        <v>34</v>
      </c>
      <c r="B385">
        <v>2022</v>
      </c>
      <c r="C385">
        <v>17.100000000000001</v>
      </c>
      <c r="D385">
        <v>16.5</v>
      </c>
      <c r="E385">
        <v>16.600000000000001</v>
      </c>
    </row>
    <row r="386" spans="1:5" x14ac:dyDescent="0.25">
      <c r="A386" t="s">
        <v>35</v>
      </c>
      <c r="B386">
        <v>2022</v>
      </c>
      <c r="C386">
        <v>18.2</v>
      </c>
      <c r="D386">
        <v>17.7</v>
      </c>
      <c r="E386">
        <v>17.899999999999999</v>
      </c>
    </row>
    <row r="387" spans="1:5" x14ac:dyDescent="0.25">
      <c r="A387" t="s">
        <v>36</v>
      </c>
      <c r="B387">
        <v>2022</v>
      </c>
      <c r="C387">
        <v>16.2</v>
      </c>
      <c r="D387">
        <v>15.6</v>
      </c>
      <c r="E387">
        <v>15.7</v>
      </c>
    </row>
    <row r="388" spans="1:5" x14ac:dyDescent="0.25">
      <c r="A388" t="s">
        <v>37</v>
      </c>
      <c r="B388">
        <v>2022</v>
      </c>
      <c r="C388">
        <v>18.7</v>
      </c>
      <c r="D388">
        <v>18.2</v>
      </c>
      <c r="E388">
        <v>18.3</v>
      </c>
    </row>
    <row r="389" spans="1:5" x14ac:dyDescent="0.25">
      <c r="A389" t="s">
        <v>38</v>
      </c>
      <c r="B389">
        <v>2022</v>
      </c>
      <c r="C389">
        <v>16.3</v>
      </c>
      <c r="D389">
        <v>15.7</v>
      </c>
      <c r="E389">
        <v>15.9</v>
      </c>
    </row>
    <row r="390" spans="1:5" x14ac:dyDescent="0.25">
      <c r="A390" t="s">
        <v>39</v>
      </c>
      <c r="B390">
        <v>2022</v>
      </c>
      <c r="C390">
        <v>19.5</v>
      </c>
      <c r="D390">
        <v>19</v>
      </c>
      <c r="E390">
        <v>19.2</v>
      </c>
    </row>
    <row r="391" spans="1:5" x14ac:dyDescent="0.25">
      <c r="A391" t="s">
        <v>40</v>
      </c>
      <c r="B391">
        <v>2022</v>
      </c>
      <c r="C391">
        <v>18.5</v>
      </c>
      <c r="D391">
        <v>18</v>
      </c>
      <c r="E391">
        <v>18.100000000000001</v>
      </c>
    </row>
    <row r="392" spans="1:5" x14ac:dyDescent="0.25">
      <c r="A392" t="s">
        <v>41</v>
      </c>
      <c r="B392">
        <v>2022</v>
      </c>
      <c r="C392">
        <v>15</v>
      </c>
      <c r="D392">
        <v>14.5</v>
      </c>
      <c r="E392">
        <v>14.6</v>
      </c>
    </row>
    <row r="393" spans="1:5" x14ac:dyDescent="0.25">
      <c r="A393" t="s">
        <v>42</v>
      </c>
      <c r="B393">
        <v>2022</v>
      </c>
      <c r="C393">
        <v>15.4</v>
      </c>
      <c r="D393">
        <v>14.8</v>
      </c>
      <c r="E393">
        <v>14.9</v>
      </c>
    </row>
    <row r="394" spans="1:5" x14ac:dyDescent="0.25">
      <c r="A394" t="s">
        <v>43</v>
      </c>
      <c r="B394">
        <v>2022</v>
      </c>
      <c r="C394">
        <v>16.100000000000001</v>
      </c>
      <c r="D394">
        <v>15.5</v>
      </c>
      <c r="E394">
        <v>15.7</v>
      </c>
    </row>
    <row r="395" spans="1:5" x14ac:dyDescent="0.25">
      <c r="A395" t="s">
        <v>44</v>
      </c>
      <c r="B395">
        <v>2022</v>
      </c>
      <c r="C395">
        <v>20.100000000000001</v>
      </c>
      <c r="D395">
        <v>19.600000000000001</v>
      </c>
      <c r="E395">
        <v>19.8</v>
      </c>
    </row>
    <row r="396" spans="1:5" x14ac:dyDescent="0.25">
      <c r="A396" t="s">
        <v>45</v>
      </c>
      <c r="B396">
        <v>2022</v>
      </c>
      <c r="C396">
        <v>16.2</v>
      </c>
      <c r="D396">
        <v>15.7</v>
      </c>
      <c r="E396">
        <v>15.9</v>
      </c>
    </row>
    <row r="397" spans="1:5" x14ac:dyDescent="0.25">
      <c r="A397" t="s">
        <v>46</v>
      </c>
      <c r="B397">
        <v>2022</v>
      </c>
      <c r="C397">
        <v>18.3</v>
      </c>
      <c r="D397">
        <v>17.8</v>
      </c>
      <c r="E397">
        <v>17.899999999999999</v>
      </c>
    </row>
    <row r="398" spans="1:5" x14ac:dyDescent="0.25">
      <c r="A398" t="s">
        <v>47</v>
      </c>
      <c r="B398">
        <v>2022</v>
      </c>
      <c r="C398">
        <v>18.399999999999999</v>
      </c>
      <c r="D398">
        <v>17.899999999999999</v>
      </c>
      <c r="E398">
        <v>18.100000000000001</v>
      </c>
    </row>
    <row r="399" spans="1:5" x14ac:dyDescent="0.25">
      <c r="A399" t="s">
        <v>48</v>
      </c>
      <c r="B399">
        <v>2022</v>
      </c>
      <c r="C399">
        <v>15.8</v>
      </c>
      <c r="D399">
        <v>15.2</v>
      </c>
      <c r="E399">
        <v>15.4</v>
      </c>
    </row>
    <row r="400" spans="1:5" x14ac:dyDescent="0.25">
      <c r="A400" t="s">
        <v>49</v>
      </c>
      <c r="B400">
        <v>2022</v>
      </c>
      <c r="C400">
        <v>18</v>
      </c>
      <c r="D400">
        <v>17.5</v>
      </c>
      <c r="E400">
        <v>17.7</v>
      </c>
    </row>
    <row r="401" spans="1:5" x14ac:dyDescent="0.25">
      <c r="A401" t="s">
        <v>50</v>
      </c>
      <c r="B401">
        <v>2022</v>
      </c>
      <c r="C401">
        <v>18.399999999999999</v>
      </c>
      <c r="D401">
        <v>17.899999999999999</v>
      </c>
      <c r="E401">
        <v>18.100000000000001</v>
      </c>
    </row>
    <row r="402" spans="1:5" x14ac:dyDescent="0.25">
      <c r="A402" t="s">
        <v>51</v>
      </c>
      <c r="B402">
        <v>2022</v>
      </c>
      <c r="C402">
        <v>18.600000000000001</v>
      </c>
      <c r="D402">
        <v>18.100000000000001</v>
      </c>
      <c r="E402">
        <v>18.2</v>
      </c>
    </row>
    <row r="403" spans="1:5" x14ac:dyDescent="0.25">
      <c r="A403" t="s">
        <v>52</v>
      </c>
      <c r="B403">
        <v>2022</v>
      </c>
      <c r="C403">
        <v>17.899999999999999</v>
      </c>
      <c r="D403">
        <v>17.399999999999999</v>
      </c>
      <c r="E403">
        <v>17.600000000000001</v>
      </c>
    </row>
    <row r="404" spans="1:5" x14ac:dyDescent="0.25">
      <c r="A404" t="s">
        <v>53</v>
      </c>
      <c r="B404">
        <v>2022</v>
      </c>
      <c r="C404">
        <v>17.600000000000001</v>
      </c>
      <c r="D404">
        <v>17.100000000000001</v>
      </c>
      <c r="E404">
        <v>17.2</v>
      </c>
    </row>
    <row r="405" spans="1:5" x14ac:dyDescent="0.25">
      <c r="A405" t="s">
        <v>54</v>
      </c>
      <c r="B405">
        <v>2022</v>
      </c>
      <c r="C405">
        <v>15.3</v>
      </c>
      <c r="D405">
        <v>14.8</v>
      </c>
      <c r="E405">
        <v>15</v>
      </c>
    </row>
    <row r="406" spans="1:5" x14ac:dyDescent="0.25">
      <c r="A406" t="s">
        <v>55</v>
      </c>
      <c r="B406">
        <v>2022</v>
      </c>
      <c r="C406">
        <v>17.399999999999999</v>
      </c>
      <c r="D406">
        <v>16.899999999999999</v>
      </c>
      <c r="E406">
        <v>17</v>
      </c>
    </row>
    <row r="407" spans="1:5" x14ac:dyDescent="0.25">
      <c r="A407" t="s">
        <v>56</v>
      </c>
      <c r="B407">
        <v>2022</v>
      </c>
      <c r="C407">
        <v>19.600000000000001</v>
      </c>
      <c r="D407">
        <v>19.100000000000001</v>
      </c>
      <c r="E407">
        <v>19.3</v>
      </c>
    </row>
    <row r="408" spans="1:5" x14ac:dyDescent="0.25">
      <c r="A408" t="s">
        <v>57</v>
      </c>
      <c r="B408">
        <v>2022</v>
      </c>
      <c r="C408">
        <v>19.899999999999999</v>
      </c>
      <c r="D408">
        <v>19.399999999999999</v>
      </c>
      <c r="E408">
        <v>19.600000000000001</v>
      </c>
    </row>
    <row r="409" spans="1:5" x14ac:dyDescent="0.25">
      <c r="A409" t="s">
        <v>8</v>
      </c>
      <c r="B409">
        <v>2023</v>
      </c>
      <c r="C409">
        <v>3.5</v>
      </c>
      <c r="D409">
        <v>3.5</v>
      </c>
      <c r="E409">
        <v>3.5</v>
      </c>
    </row>
    <row r="410" spans="1:5" x14ac:dyDescent="0.25">
      <c r="A410" t="s">
        <v>9</v>
      </c>
      <c r="B410">
        <v>2023</v>
      </c>
      <c r="C410">
        <v>4</v>
      </c>
      <c r="D410">
        <v>3.9</v>
      </c>
      <c r="E410">
        <v>3.9</v>
      </c>
    </row>
    <row r="411" spans="1:5" x14ac:dyDescent="0.25">
      <c r="A411" t="s">
        <v>10</v>
      </c>
      <c r="B411">
        <v>2023</v>
      </c>
      <c r="C411">
        <v>4.4000000000000004</v>
      </c>
      <c r="D411">
        <v>4.3</v>
      </c>
      <c r="E411">
        <v>4.3</v>
      </c>
    </row>
    <row r="412" spans="1:5" x14ac:dyDescent="0.25">
      <c r="A412" t="s">
        <v>11</v>
      </c>
      <c r="B412">
        <v>2023</v>
      </c>
      <c r="C412">
        <v>5</v>
      </c>
      <c r="D412">
        <v>4.9000000000000004</v>
      </c>
      <c r="E412">
        <v>4.9000000000000004</v>
      </c>
    </row>
    <row r="413" spans="1:5" x14ac:dyDescent="0.25">
      <c r="A413" t="s">
        <v>12</v>
      </c>
      <c r="B413">
        <v>2023</v>
      </c>
      <c r="C413">
        <v>1.7</v>
      </c>
      <c r="D413">
        <v>1.6</v>
      </c>
      <c r="E413">
        <v>1.6</v>
      </c>
    </row>
    <row r="414" spans="1:5" x14ac:dyDescent="0.25">
      <c r="A414" t="s">
        <v>13</v>
      </c>
      <c r="B414">
        <v>2023</v>
      </c>
      <c r="C414">
        <v>4.2</v>
      </c>
      <c r="D414">
        <v>4.0999999999999996</v>
      </c>
      <c r="E414">
        <v>4.0999999999999996</v>
      </c>
    </row>
    <row r="415" spans="1:5" x14ac:dyDescent="0.25">
      <c r="A415" t="s">
        <v>14</v>
      </c>
      <c r="B415">
        <v>2023</v>
      </c>
      <c r="C415">
        <v>3.4</v>
      </c>
      <c r="D415">
        <v>3.3</v>
      </c>
      <c r="E415">
        <v>3.3</v>
      </c>
    </row>
    <row r="416" spans="1:5" x14ac:dyDescent="0.25">
      <c r="A416" t="s">
        <v>15</v>
      </c>
      <c r="B416">
        <v>2023</v>
      </c>
      <c r="C416">
        <v>-0.7</v>
      </c>
      <c r="D416">
        <v>-0.7</v>
      </c>
      <c r="E416">
        <v>-0.7</v>
      </c>
    </row>
    <row r="417" spans="1:5" x14ac:dyDescent="0.25">
      <c r="A417" t="s">
        <v>16</v>
      </c>
      <c r="B417">
        <v>2023</v>
      </c>
      <c r="C417">
        <v>4.4000000000000004</v>
      </c>
      <c r="D417">
        <v>4.4000000000000004</v>
      </c>
      <c r="E417">
        <v>4.4000000000000004</v>
      </c>
    </row>
    <row r="418" spans="1:5" x14ac:dyDescent="0.25">
      <c r="A418" t="s">
        <v>17</v>
      </c>
      <c r="B418">
        <v>2023</v>
      </c>
      <c r="C418">
        <v>2.2000000000000002</v>
      </c>
      <c r="D418">
        <v>2.1</v>
      </c>
      <c r="E418">
        <v>2.1</v>
      </c>
    </row>
    <row r="419" spans="1:5" x14ac:dyDescent="0.25">
      <c r="A419" t="s">
        <v>18</v>
      </c>
      <c r="B419">
        <v>2023</v>
      </c>
      <c r="C419">
        <v>4.0999999999999996</v>
      </c>
      <c r="D419">
        <v>4.0999999999999996</v>
      </c>
      <c r="E419">
        <v>4.0999999999999996</v>
      </c>
    </row>
    <row r="420" spans="1:5" x14ac:dyDescent="0.25">
      <c r="A420" t="s">
        <v>19</v>
      </c>
      <c r="B420">
        <v>2023</v>
      </c>
      <c r="C420">
        <v>4</v>
      </c>
      <c r="D420">
        <v>3.9</v>
      </c>
      <c r="E420">
        <v>3.9</v>
      </c>
    </row>
    <row r="421" spans="1:5" x14ac:dyDescent="0.25">
      <c r="A421" t="s">
        <v>20</v>
      </c>
      <c r="B421">
        <v>2023</v>
      </c>
      <c r="C421">
        <v>-0.2</v>
      </c>
      <c r="D421">
        <v>-0.2</v>
      </c>
      <c r="E421">
        <v>-0.2</v>
      </c>
    </row>
    <row r="422" spans="1:5" x14ac:dyDescent="0.25">
      <c r="A422" t="s">
        <v>21</v>
      </c>
      <c r="B422">
        <v>2023</v>
      </c>
      <c r="C422">
        <v>2.6</v>
      </c>
      <c r="D422">
        <v>2.5</v>
      </c>
      <c r="E422">
        <v>2.5</v>
      </c>
    </row>
    <row r="423" spans="1:5" x14ac:dyDescent="0.25">
      <c r="A423" t="s">
        <v>22</v>
      </c>
      <c r="B423">
        <v>2023</v>
      </c>
      <c r="C423">
        <v>3.4</v>
      </c>
      <c r="D423">
        <v>3.4</v>
      </c>
      <c r="E423">
        <v>3.4</v>
      </c>
    </row>
    <row r="424" spans="1:5" x14ac:dyDescent="0.25">
      <c r="A424" t="s">
        <v>23</v>
      </c>
      <c r="B424">
        <v>2023</v>
      </c>
      <c r="C424">
        <v>2.7</v>
      </c>
      <c r="D424">
        <v>2.6</v>
      </c>
      <c r="E424">
        <v>2.6</v>
      </c>
    </row>
    <row r="425" spans="1:5" x14ac:dyDescent="0.25">
      <c r="A425" t="s">
        <v>24</v>
      </c>
      <c r="B425">
        <v>2023</v>
      </c>
      <c r="C425">
        <v>0.7</v>
      </c>
      <c r="D425">
        <v>0.7</v>
      </c>
      <c r="E425">
        <v>0.7</v>
      </c>
    </row>
    <row r="426" spans="1:5" x14ac:dyDescent="0.25">
      <c r="A426" t="s">
        <v>25</v>
      </c>
      <c r="B426">
        <v>2023</v>
      </c>
      <c r="C426">
        <v>2.2000000000000002</v>
      </c>
      <c r="D426">
        <v>2.2000000000000002</v>
      </c>
      <c r="E426">
        <v>2.2000000000000002</v>
      </c>
    </row>
    <row r="427" spans="1:5" x14ac:dyDescent="0.25">
      <c r="A427" t="s">
        <v>26</v>
      </c>
      <c r="B427">
        <v>2023</v>
      </c>
      <c r="C427">
        <v>4.8</v>
      </c>
      <c r="D427">
        <v>4.8</v>
      </c>
      <c r="E427">
        <v>4.8</v>
      </c>
    </row>
    <row r="428" spans="1:5" x14ac:dyDescent="0.25">
      <c r="A428" t="s">
        <v>27</v>
      </c>
      <c r="B428">
        <v>2023</v>
      </c>
      <c r="C428">
        <v>2.9</v>
      </c>
      <c r="D428">
        <v>2.8</v>
      </c>
      <c r="E428">
        <v>2.8</v>
      </c>
    </row>
    <row r="429" spans="1:5" x14ac:dyDescent="0.25">
      <c r="A429" t="s">
        <v>28</v>
      </c>
      <c r="B429">
        <v>2023</v>
      </c>
      <c r="C429">
        <v>1.2</v>
      </c>
      <c r="D429">
        <v>1.2</v>
      </c>
      <c r="E429">
        <v>1.2</v>
      </c>
    </row>
    <row r="430" spans="1:5" x14ac:dyDescent="0.25">
      <c r="A430" t="s">
        <v>29</v>
      </c>
      <c r="B430">
        <v>2023</v>
      </c>
      <c r="C430">
        <v>0.6</v>
      </c>
      <c r="D430">
        <v>0.5</v>
      </c>
      <c r="E430">
        <v>0.5</v>
      </c>
    </row>
    <row r="431" spans="1:5" x14ac:dyDescent="0.25">
      <c r="A431" t="s">
        <v>30</v>
      </c>
      <c r="B431">
        <v>2023</v>
      </c>
      <c r="C431">
        <v>-0.6</v>
      </c>
      <c r="D431">
        <v>-0.6</v>
      </c>
      <c r="E431">
        <v>-0.6</v>
      </c>
    </row>
    <row r="432" spans="1:5" x14ac:dyDescent="0.25">
      <c r="A432" t="s">
        <v>31</v>
      </c>
      <c r="B432">
        <v>2023</v>
      </c>
      <c r="C432">
        <v>0.7</v>
      </c>
      <c r="D432">
        <v>0.6</v>
      </c>
      <c r="E432">
        <v>0.6</v>
      </c>
    </row>
    <row r="433" spans="1:5" x14ac:dyDescent="0.25">
      <c r="A433" t="s">
        <v>32</v>
      </c>
      <c r="B433">
        <v>2023</v>
      </c>
      <c r="C433">
        <v>2.6</v>
      </c>
      <c r="D433">
        <v>2.5</v>
      </c>
      <c r="E433">
        <v>2.5</v>
      </c>
    </row>
    <row r="434" spans="1:5" x14ac:dyDescent="0.25">
      <c r="A434" t="s">
        <v>33</v>
      </c>
      <c r="B434">
        <v>2023</v>
      </c>
      <c r="C434">
        <v>0.2</v>
      </c>
      <c r="D434">
        <v>0.2</v>
      </c>
      <c r="E434">
        <v>0.2</v>
      </c>
    </row>
    <row r="435" spans="1:5" x14ac:dyDescent="0.25">
      <c r="A435" t="s">
        <v>34</v>
      </c>
      <c r="B435">
        <v>2023</v>
      </c>
      <c r="C435">
        <v>3.6</v>
      </c>
      <c r="D435">
        <v>3.5</v>
      </c>
      <c r="E435">
        <v>3.5</v>
      </c>
    </row>
    <row r="436" spans="1:5" x14ac:dyDescent="0.25">
      <c r="A436" t="s">
        <v>35</v>
      </c>
      <c r="B436">
        <v>2023</v>
      </c>
      <c r="C436">
        <v>1.5</v>
      </c>
      <c r="D436">
        <v>1.5</v>
      </c>
      <c r="E436">
        <v>1.5</v>
      </c>
    </row>
    <row r="437" spans="1:5" x14ac:dyDescent="0.25">
      <c r="A437" t="s">
        <v>36</v>
      </c>
      <c r="B437">
        <v>2023</v>
      </c>
      <c r="C437">
        <v>3.3</v>
      </c>
      <c r="D437">
        <v>3.3</v>
      </c>
      <c r="E437">
        <v>3.3</v>
      </c>
    </row>
    <row r="438" spans="1:5" x14ac:dyDescent="0.25">
      <c r="A438" t="s">
        <v>37</v>
      </c>
      <c r="B438">
        <v>2023</v>
      </c>
      <c r="C438">
        <v>3.8</v>
      </c>
      <c r="D438">
        <v>3.8</v>
      </c>
      <c r="E438">
        <v>3.8</v>
      </c>
    </row>
    <row r="439" spans="1:5" x14ac:dyDescent="0.25">
      <c r="A439" t="s">
        <v>38</v>
      </c>
      <c r="B439">
        <v>2023</v>
      </c>
      <c r="C439">
        <v>4.2</v>
      </c>
      <c r="D439">
        <v>4.0999999999999996</v>
      </c>
      <c r="E439">
        <v>4.0999999999999996</v>
      </c>
    </row>
    <row r="440" spans="1:5" x14ac:dyDescent="0.25">
      <c r="A440" t="s">
        <v>39</v>
      </c>
      <c r="B440">
        <v>2023</v>
      </c>
      <c r="C440">
        <v>3.7</v>
      </c>
      <c r="D440">
        <v>3.7</v>
      </c>
      <c r="E440">
        <v>3.7</v>
      </c>
    </row>
    <row r="441" spans="1:5" x14ac:dyDescent="0.25">
      <c r="A441" t="s">
        <v>40</v>
      </c>
      <c r="B441">
        <v>2023</v>
      </c>
      <c r="C441">
        <v>2.9</v>
      </c>
      <c r="D441">
        <v>2.9</v>
      </c>
      <c r="E441">
        <v>2.9</v>
      </c>
    </row>
    <row r="442" spans="1:5" x14ac:dyDescent="0.25">
      <c r="A442" t="s">
        <v>41</v>
      </c>
      <c r="B442">
        <v>2023</v>
      </c>
      <c r="C442">
        <v>-0.6</v>
      </c>
      <c r="D442">
        <v>-0.6</v>
      </c>
      <c r="E442">
        <v>-0.6</v>
      </c>
    </row>
    <row r="443" spans="1:5" x14ac:dyDescent="0.25">
      <c r="A443" t="s">
        <v>42</v>
      </c>
      <c r="B443">
        <v>2023</v>
      </c>
      <c r="C443">
        <v>-0.8</v>
      </c>
      <c r="D443">
        <v>-0.9</v>
      </c>
      <c r="E443">
        <v>-0.9</v>
      </c>
    </row>
    <row r="444" spans="1:5" x14ac:dyDescent="0.25">
      <c r="A444" t="s">
        <v>43</v>
      </c>
      <c r="B444">
        <v>2023</v>
      </c>
      <c r="C444">
        <v>0.3</v>
      </c>
      <c r="D444">
        <v>0.2</v>
      </c>
      <c r="E444">
        <v>0.2</v>
      </c>
    </row>
    <row r="445" spans="1:5" x14ac:dyDescent="0.25">
      <c r="A445" t="s">
        <v>44</v>
      </c>
      <c r="B445">
        <v>2023</v>
      </c>
      <c r="C445">
        <v>1.8</v>
      </c>
      <c r="D445">
        <v>1.8</v>
      </c>
      <c r="E445">
        <v>1.8</v>
      </c>
    </row>
    <row r="446" spans="1:5" x14ac:dyDescent="0.25">
      <c r="A446" t="s">
        <v>45</v>
      </c>
      <c r="B446">
        <v>2023</v>
      </c>
      <c r="C446">
        <v>2.8</v>
      </c>
      <c r="D446">
        <v>2.7</v>
      </c>
      <c r="E446">
        <v>2.7</v>
      </c>
    </row>
    <row r="447" spans="1:5" x14ac:dyDescent="0.25">
      <c r="A447" t="s">
        <v>46</v>
      </c>
      <c r="B447">
        <v>2023</v>
      </c>
      <c r="C447">
        <v>2</v>
      </c>
      <c r="D447">
        <v>1.9</v>
      </c>
      <c r="E447">
        <v>1.9</v>
      </c>
    </row>
    <row r="448" spans="1:5" x14ac:dyDescent="0.25">
      <c r="A448" t="s">
        <v>47</v>
      </c>
      <c r="B448">
        <v>2023</v>
      </c>
      <c r="C448">
        <v>3.5</v>
      </c>
      <c r="D448">
        <v>3.4</v>
      </c>
      <c r="E448">
        <v>3.4</v>
      </c>
    </row>
    <row r="449" spans="1:5" x14ac:dyDescent="0.25">
      <c r="A449" t="s">
        <v>48</v>
      </c>
      <c r="B449">
        <v>2023</v>
      </c>
      <c r="C449">
        <v>4.5999999999999996</v>
      </c>
      <c r="D449">
        <v>4.5999999999999996</v>
      </c>
      <c r="E449">
        <v>4.5999999999999996</v>
      </c>
    </row>
    <row r="450" spans="1:5" x14ac:dyDescent="0.25">
      <c r="A450" t="s">
        <v>49</v>
      </c>
      <c r="B450">
        <v>2023</v>
      </c>
      <c r="C450">
        <v>-0.4</v>
      </c>
      <c r="D450">
        <v>-0.5</v>
      </c>
      <c r="E450">
        <v>-0.5</v>
      </c>
    </row>
    <row r="451" spans="1:5" x14ac:dyDescent="0.25">
      <c r="A451" t="s">
        <v>50</v>
      </c>
      <c r="B451">
        <v>2023</v>
      </c>
      <c r="C451">
        <v>-0.9</v>
      </c>
      <c r="D451">
        <v>-0.9</v>
      </c>
      <c r="E451">
        <v>-0.9</v>
      </c>
    </row>
    <row r="452" spans="1:5" x14ac:dyDescent="0.25">
      <c r="A452" t="s">
        <v>51</v>
      </c>
      <c r="B452">
        <v>2023</v>
      </c>
      <c r="C452">
        <v>0.5</v>
      </c>
      <c r="D452">
        <v>0.4</v>
      </c>
      <c r="E452">
        <v>0.4</v>
      </c>
    </row>
    <row r="453" spans="1:5" x14ac:dyDescent="0.25">
      <c r="A453" t="s">
        <v>52</v>
      </c>
      <c r="B453">
        <v>2023</v>
      </c>
      <c r="C453">
        <v>3.7</v>
      </c>
      <c r="D453">
        <v>3.6</v>
      </c>
      <c r="E453">
        <v>3.6</v>
      </c>
    </row>
    <row r="454" spans="1:5" x14ac:dyDescent="0.25">
      <c r="A454" t="s">
        <v>53</v>
      </c>
      <c r="B454">
        <v>2023</v>
      </c>
      <c r="C454">
        <v>3.8</v>
      </c>
      <c r="D454">
        <v>3.7</v>
      </c>
      <c r="E454">
        <v>3.7</v>
      </c>
    </row>
    <row r="455" spans="1:5" x14ac:dyDescent="0.25">
      <c r="A455" t="s">
        <v>54</v>
      </c>
      <c r="B455">
        <v>2023</v>
      </c>
      <c r="C455">
        <v>4.8</v>
      </c>
      <c r="D455">
        <v>4.7</v>
      </c>
      <c r="E455">
        <v>4.7</v>
      </c>
    </row>
    <row r="456" spans="1:5" x14ac:dyDescent="0.25">
      <c r="A456" t="s">
        <v>55</v>
      </c>
      <c r="B456">
        <v>2023</v>
      </c>
      <c r="C456">
        <v>1.8</v>
      </c>
      <c r="D456">
        <v>1.8</v>
      </c>
      <c r="E456">
        <v>1.8</v>
      </c>
    </row>
    <row r="457" spans="1:5" x14ac:dyDescent="0.25">
      <c r="A457" t="s">
        <v>56</v>
      </c>
      <c r="B457">
        <v>2023</v>
      </c>
      <c r="C457">
        <v>0.2</v>
      </c>
      <c r="D457">
        <v>0.1</v>
      </c>
      <c r="E457">
        <v>0.1</v>
      </c>
    </row>
    <row r="458" spans="1:5" x14ac:dyDescent="0.25">
      <c r="A458" t="s">
        <v>57</v>
      </c>
      <c r="B458">
        <v>2023</v>
      </c>
      <c r="C458">
        <v>3.8</v>
      </c>
      <c r="D458">
        <v>3.7</v>
      </c>
      <c r="E458">
        <v>3.7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182C-1B73-458C-A5CA-CD7C78BBF06A}">
  <dimension ref="A1:E458"/>
  <sheetViews>
    <sheetView workbookViewId="0">
      <selection activeCell="A9" sqref="A9:E458"/>
    </sheetView>
  </sheetViews>
  <sheetFormatPr defaultRowHeight="15" x14ac:dyDescent="0.25"/>
  <cols>
    <col min="3" max="3" width="14.140625" customWidth="1"/>
    <col min="4" max="4" width="17.28515625" customWidth="1"/>
    <col min="5" max="5" width="13.42578125" customWidth="1"/>
  </cols>
  <sheetData>
    <row r="1" spans="1:5" x14ac:dyDescent="0.25">
      <c r="A1" t="str">
        <f>'WP by State &amp; Segment'!A1</f>
        <v>Insurer NJ Umbrella</v>
      </c>
    </row>
    <row r="2" spans="1:5" x14ac:dyDescent="0.25">
      <c r="A2" t="str">
        <f>'WP by State &amp; Segment'!A2</f>
        <v>Umbrella Excess of Loss reinsurance program</v>
      </c>
    </row>
    <row r="3" spans="1:5" x14ac:dyDescent="0.25">
      <c r="A3" t="str">
        <f>'WP by State &amp; Segment'!A3</f>
        <v>Effective: 04/01/2024</v>
      </c>
    </row>
    <row r="4" spans="1:5" x14ac:dyDescent="0.25">
      <c r="A4" t="str">
        <f>'WP by State &amp; Segment'!A4</f>
        <v>Data as of: 11/30/2023</v>
      </c>
    </row>
    <row r="6" spans="1:5" x14ac:dyDescent="0.25">
      <c r="A6" t="s">
        <v>99</v>
      </c>
    </row>
    <row r="7" spans="1:5" x14ac:dyDescent="0.25">
      <c r="C7" t="s">
        <v>97</v>
      </c>
    </row>
    <row r="8" spans="1:5" x14ac:dyDescent="0.25">
      <c r="A8" t="s">
        <v>7</v>
      </c>
      <c r="B8" t="s">
        <v>95</v>
      </c>
      <c r="C8" t="s">
        <v>78</v>
      </c>
      <c r="D8" t="s">
        <v>79</v>
      </c>
      <c r="E8" t="s">
        <v>96</v>
      </c>
    </row>
    <row r="9" spans="1:5" x14ac:dyDescent="0.25">
      <c r="A9" t="s">
        <v>8</v>
      </c>
      <c r="B9">
        <v>2015</v>
      </c>
      <c r="C9">
        <v>9.3000000000000007</v>
      </c>
      <c r="D9">
        <v>5.9</v>
      </c>
      <c r="E9">
        <v>6.8</v>
      </c>
    </row>
    <row r="10" spans="1:5" x14ac:dyDescent="0.25">
      <c r="A10" t="s">
        <v>9</v>
      </c>
      <c r="B10">
        <v>2015</v>
      </c>
      <c r="C10">
        <v>11</v>
      </c>
      <c r="D10">
        <v>7.7</v>
      </c>
      <c r="E10">
        <v>8.5</v>
      </c>
    </row>
    <row r="11" spans="1:5" x14ac:dyDescent="0.25">
      <c r="A11" t="s">
        <v>10</v>
      </c>
      <c r="B11">
        <v>2015</v>
      </c>
      <c r="C11">
        <v>7.9</v>
      </c>
      <c r="D11">
        <v>4.5</v>
      </c>
      <c r="E11">
        <v>5.6</v>
      </c>
    </row>
    <row r="12" spans="1:5" x14ac:dyDescent="0.25">
      <c r="A12" t="s">
        <v>11</v>
      </c>
      <c r="B12">
        <v>2015</v>
      </c>
      <c r="C12">
        <v>7.1</v>
      </c>
      <c r="D12">
        <v>3.8</v>
      </c>
      <c r="E12">
        <v>5</v>
      </c>
    </row>
    <row r="13" spans="1:5" x14ac:dyDescent="0.25">
      <c r="A13" t="s">
        <v>12</v>
      </c>
      <c r="B13">
        <v>2015</v>
      </c>
      <c r="C13">
        <v>9.9</v>
      </c>
      <c r="D13">
        <v>6.6</v>
      </c>
      <c r="E13">
        <v>7.4</v>
      </c>
    </row>
    <row r="14" spans="1:5" x14ac:dyDescent="0.25">
      <c r="A14" t="s">
        <v>13</v>
      </c>
      <c r="B14">
        <v>2015</v>
      </c>
      <c r="C14">
        <v>10.5</v>
      </c>
      <c r="D14">
        <v>7.1</v>
      </c>
      <c r="E14">
        <v>8.1</v>
      </c>
    </row>
    <row r="15" spans="1:5" x14ac:dyDescent="0.25">
      <c r="A15" t="s">
        <v>14</v>
      </c>
      <c r="B15">
        <v>2015</v>
      </c>
      <c r="C15">
        <v>10.9</v>
      </c>
      <c r="D15">
        <v>7.5</v>
      </c>
      <c r="E15">
        <v>8.6</v>
      </c>
    </row>
    <row r="16" spans="1:5" x14ac:dyDescent="0.25">
      <c r="A16" t="s">
        <v>15</v>
      </c>
      <c r="B16">
        <v>2015</v>
      </c>
      <c r="C16">
        <v>11</v>
      </c>
      <c r="D16">
        <v>7.6</v>
      </c>
      <c r="E16">
        <v>8.3000000000000007</v>
      </c>
    </row>
    <row r="17" spans="1:5" x14ac:dyDescent="0.25">
      <c r="A17" t="s">
        <v>16</v>
      </c>
      <c r="B17">
        <v>2015</v>
      </c>
      <c r="C17">
        <v>8.9</v>
      </c>
      <c r="D17">
        <v>5.5</v>
      </c>
      <c r="E17">
        <v>6.7</v>
      </c>
    </row>
    <row r="18" spans="1:5" x14ac:dyDescent="0.25">
      <c r="A18" t="s">
        <v>17</v>
      </c>
      <c r="B18">
        <v>2015</v>
      </c>
      <c r="C18">
        <v>9.1</v>
      </c>
      <c r="D18">
        <v>5.7</v>
      </c>
      <c r="E18">
        <v>6.8</v>
      </c>
    </row>
    <row r="19" spans="1:5" x14ac:dyDescent="0.25">
      <c r="A19" t="s">
        <v>18</v>
      </c>
      <c r="B19">
        <v>2015</v>
      </c>
      <c r="C19">
        <v>9.8000000000000007</v>
      </c>
      <c r="D19">
        <v>6.4</v>
      </c>
      <c r="E19">
        <v>7.7</v>
      </c>
    </row>
    <row r="20" spans="1:5" x14ac:dyDescent="0.25">
      <c r="A20" t="s">
        <v>19</v>
      </c>
      <c r="B20">
        <v>2015</v>
      </c>
      <c r="C20">
        <v>7.6</v>
      </c>
      <c r="D20">
        <v>4.2</v>
      </c>
      <c r="E20">
        <v>5</v>
      </c>
    </row>
    <row r="21" spans="1:5" x14ac:dyDescent="0.25">
      <c r="A21" t="s">
        <v>20</v>
      </c>
      <c r="B21">
        <v>2015</v>
      </c>
      <c r="C21">
        <v>10.8</v>
      </c>
      <c r="D21">
        <v>7.4</v>
      </c>
      <c r="E21">
        <v>8.8000000000000007</v>
      </c>
    </row>
    <row r="22" spans="1:5" x14ac:dyDescent="0.25">
      <c r="A22" t="s">
        <v>21</v>
      </c>
      <c r="B22">
        <v>2015</v>
      </c>
      <c r="C22">
        <v>9</v>
      </c>
      <c r="D22">
        <v>5.6</v>
      </c>
      <c r="E22">
        <v>6.4</v>
      </c>
    </row>
    <row r="23" spans="1:5" x14ac:dyDescent="0.25">
      <c r="A23" t="s">
        <v>22</v>
      </c>
      <c r="B23">
        <v>2015</v>
      </c>
      <c r="C23">
        <v>7.3</v>
      </c>
      <c r="D23">
        <v>3.9</v>
      </c>
      <c r="E23">
        <v>4.5999999999999996</v>
      </c>
    </row>
    <row r="24" spans="1:5" x14ac:dyDescent="0.25">
      <c r="A24" t="s">
        <v>23</v>
      </c>
      <c r="B24">
        <v>2015</v>
      </c>
      <c r="C24">
        <v>9.9</v>
      </c>
      <c r="D24">
        <v>6.5</v>
      </c>
      <c r="E24">
        <v>7.3</v>
      </c>
    </row>
    <row r="25" spans="1:5" x14ac:dyDescent="0.25">
      <c r="A25" t="s">
        <v>24</v>
      </c>
      <c r="B25">
        <v>2015</v>
      </c>
      <c r="C25">
        <v>9.8000000000000007</v>
      </c>
      <c r="D25">
        <v>6.4</v>
      </c>
      <c r="E25">
        <v>7.1</v>
      </c>
    </row>
    <row r="26" spans="1:5" x14ac:dyDescent="0.25">
      <c r="A26" t="s">
        <v>25</v>
      </c>
      <c r="B26">
        <v>2015</v>
      </c>
      <c r="C26">
        <v>10.9</v>
      </c>
      <c r="D26">
        <v>7.5</v>
      </c>
      <c r="E26">
        <v>8.1999999999999993</v>
      </c>
    </row>
    <row r="27" spans="1:5" x14ac:dyDescent="0.25">
      <c r="A27" t="s">
        <v>26</v>
      </c>
      <c r="B27">
        <v>2015</v>
      </c>
      <c r="C27">
        <v>10.9</v>
      </c>
      <c r="D27">
        <v>7.6</v>
      </c>
      <c r="E27">
        <v>8.9</v>
      </c>
    </row>
    <row r="28" spans="1:5" x14ac:dyDescent="0.25">
      <c r="A28" t="s">
        <v>27</v>
      </c>
      <c r="B28">
        <v>2015</v>
      </c>
      <c r="C28">
        <v>9</v>
      </c>
      <c r="D28">
        <v>5.6</v>
      </c>
      <c r="E28">
        <v>6.9</v>
      </c>
    </row>
    <row r="29" spans="1:5" x14ac:dyDescent="0.25">
      <c r="A29" t="s">
        <v>28</v>
      </c>
      <c r="B29">
        <v>2015</v>
      </c>
      <c r="C29">
        <v>7.8</v>
      </c>
      <c r="D29">
        <v>4.5</v>
      </c>
      <c r="E29">
        <v>5.4</v>
      </c>
    </row>
    <row r="30" spans="1:5" x14ac:dyDescent="0.25">
      <c r="A30" t="s">
        <v>29</v>
      </c>
      <c r="B30">
        <v>2015</v>
      </c>
      <c r="C30">
        <v>7.7</v>
      </c>
      <c r="D30">
        <v>4.4000000000000004</v>
      </c>
      <c r="E30">
        <v>5.3</v>
      </c>
    </row>
    <row r="31" spans="1:5" x14ac:dyDescent="0.25">
      <c r="A31" t="s">
        <v>30</v>
      </c>
      <c r="B31">
        <v>2015</v>
      </c>
      <c r="C31">
        <v>10.9</v>
      </c>
      <c r="D31">
        <v>7.6</v>
      </c>
      <c r="E31">
        <v>8.8000000000000007</v>
      </c>
    </row>
    <row r="32" spans="1:5" x14ac:dyDescent="0.25">
      <c r="A32" t="s">
        <v>31</v>
      </c>
      <c r="B32">
        <v>2015</v>
      </c>
      <c r="C32">
        <v>9</v>
      </c>
      <c r="D32">
        <v>5.6</v>
      </c>
      <c r="E32">
        <v>6.3</v>
      </c>
    </row>
    <row r="33" spans="1:5" x14ac:dyDescent="0.25">
      <c r="A33" t="s">
        <v>32</v>
      </c>
      <c r="B33">
        <v>2015</v>
      </c>
      <c r="C33">
        <v>7.3</v>
      </c>
      <c r="D33">
        <v>3.9</v>
      </c>
      <c r="E33">
        <v>5.2</v>
      </c>
    </row>
    <row r="34" spans="1:5" x14ac:dyDescent="0.25">
      <c r="A34" t="s">
        <v>33</v>
      </c>
      <c r="B34">
        <v>2015</v>
      </c>
      <c r="C34">
        <v>7.8</v>
      </c>
      <c r="D34">
        <v>4.4000000000000004</v>
      </c>
      <c r="E34">
        <v>5.2</v>
      </c>
    </row>
    <row r="35" spans="1:5" x14ac:dyDescent="0.25">
      <c r="A35" t="s">
        <v>34</v>
      </c>
      <c r="B35">
        <v>2015</v>
      </c>
      <c r="C35">
        <v>8</v>
      </c>
      <c r="D35">
        <v>4.5999999999999996</v>
      </c>
      <c r="E35">
        <v>5.7</v>
      </c>
    </row>
    <row r="36" spans="1:5" x14ac:dyDescent="0.25">
      <c r="A36" t="s">
        <v>35</v>
      </c>
      <c r="B36">
        <v>2015</v>
      </c>
      <c r="C36">
        <v>7.2</v>
      </c>
      <c r="D36">
        <v>3.8</v>
      </c>
      <c r="E36">
        <v>5.0999999999999996</v>
      </c>
    </row>
    <row r="37" spans="1:5" x14ac:dyDescent="0.25">
      <c r="A37" t="s">
        <v>36</v>
      </c>
      <c r="B37">
        <v>2015</v>
      </c>
      <c r="C37">
        <v>9</v>
      </c>
      <c r="D37">
        <v>5.6</v>
      </c>
      <c r="E37">
        <v>6.9</v>
      </c>
    </row>
    <row r="38" spans="1:5" x14ac:dyDescent="0.25">
      <c r="A38" t="s">
        <v>37</v>
      </c>
      <c r="B38">
        <v>2015</v>
      </c>
      <c r="C38">
        <v>10.3</v>
      </c>
      <c r="D38">
        <v>6.9</v>
      </c>
      <c r="E38">
        <v>8.1999999999999993</v>
      </c>
    </row>
    <row r="39" spans="1:5" x14ac:dyDescent="0.25">
      <c r="A39" t="s">
        <v>38</v>
      </c>
      <c r="B39">
        <v>2015</v>
      </c>
      <c r="C39">
        <v>9.1</v>
      </c>
      <c r="D39">
        <v>5.8</v>
      </c>
      <c r="E39">
        <v>6.8</v>
      </c>
    </row>
    <row r="40" spans="1:5" x14ac:dyDescent="0.25">
      <c r="A40" t="s">
        <v>39</v>
      </c>
      <c r="B40">
        <v>2015</v>
      </c>
      <c r="C40">
        <v>9</v>
      </c>
      <c r="D40">
        <v>5.6</v>
      </c>
      <c r="E40">
        <v>6.6</v>
      </c>
    </row>
    <row r="41" spans="1:5" x14ac:dyDescent="0.25">
      <c r="A41" t="s">
        <v>40</v>
      </c>
      <c r="B41">
        <v>2015</v>
      </c>
      <c r="C41">
        <v>10.4</v>
      </c>
      <c r="D41">
        <v>7</v>
      </c>
      <c r="E41">
        <v>8.3000000000000007</v>
      </c>
    </row>
    <row r="42" spans="1:5" x14ac:dyDescent="0.25">
      <c r="A42" t="s">
        <v>41</v>
      </c>
      <c r="B42">
        <v>2015</v>
      </c>
      <c r="C42">
        <v>10</v>
      </c>
      <c r="D42">
        <v>6.6</v>
      </c>
      <c r="E42">
        <v>7.7</v>
      </c>
    </row>
    <row r="43" spans="1:5" x14ac:dyDescent="0.25">
      <c r="A43" t="s">
        <v>42</v>
      </c>
      <c r="B43">
        <v>2015</v>
      </c>
      <c r="C43">
        <v>8.4</v>
      </c>
      <c r="D43">
        <v>5</v>
      </c>
      <c r="E43">
        <v>5.7</v>
      </c>
    </row>
    <row r="44" spans="1:5" x14ac:dyDescent="0.25">
      <c r="A44" t="s">
        <v>43</v>
      </c>
      <c r="B44">
        <v>2015</v>
      </c>
      <c r="C44">
        <v>8.4</v>
      </c>
      <c r="D44">
        <v>5</v>
      </c>
      <c r="E44">
        <v>5.8</v>
      </c>
    </row>
    <row r="45" spans="1:5" x14ac:dyDescent="0.25">
      <c r="A45" t="s">
        <v>44</v>
      </c>
      <c r="B45">
        <v>2015</v>
      </c>
      <c r="C45">
        <v>11.1</v>
      </c>
      <c r="D45">
        <v>7.7</v>
      </c>
      <c r="E45">
        <v>9.1</v>
      </c>
    </row>
    <row r="46" spans="1:5" x14ac:dyDescent="0.25">
      <c r="A46" t="s">
        <v>45</v>
      </c>
      <c r="B46">
        <v>2015</v>
      </c>
      <c r="C46">
        <v>7.3</v>
      </c>
      <c r="D46">
        <v>4</v>
      </c>
      <c r="E46">
        <v>5</v>
      </c>
    </row>
    <row r="47" spans="1:5" x14ac:dyDescent="0.25">
      <c r="A47" t="s">
        <v>46</v>
      </c>
      <c r="B47">
        <v>2015</v>
      </c>
      <c r="C47">
        <v>10.3</v>
      </c>
      <c r="D47">
        <v>6.9</v>
      </c>
      <c r="E47">
        <v>8</v>
      </c>
    </row>
    <row r="48" spans="1:5" x14ac:dyDescent="0.25">
      <c r="A48" t="s">
        <v>47</v>
      </c>
      <c r="B48">
        <v>2015</v>
      </c>
      <c r="C48">
        <v>8.8000000000000007</v>
      </c>
      <c r="D48">
        <v>5.5</v>
      </c>
      <c r="E48">
        <v>6.4</v>
      </c>
    </row>
    <row r="49" spans="1:5" x14ac:dyDescent="0.25">
      <c r="A49" t="s">
        <v>48</v>
      </c>
      <c r="B49">
        <v>2015</v>
      </c>
      <c r="C49">
        <v>7.4</v>
      </c>
      <c r="D49">
        <v>4</v>
      </c>
      <c r="E49">
        <v>5.3</v>
      </c>
    </row>
    <row r="50" spans="1:5" x14ac:dyDescent="0.25">
      <c r="A50" t="s">
        <v>49</v>
      </c>
      <c r="B50">
        <v>2015</v>
      </c>
      <c r="C50">
        <v>10.9</v>
      </c>
      <c r="D50">
        <v>7.5</v>
      </c>
      <c r="E50">
        <v>8.4</v>
      </c>
    </row>
    <row r="51" spans="1:5" x14ac:dyDescent="0.25">
      <c r="A51" t="s">
        <v>50</v>
      </c>
      <c r="B51">
        <v>2015</v>
      </c>
      <c r="C51">
        <v>7.6</v>
      </c>
      <c r="D51">
        <v>4.2</v>
      </c>
      <c r="E51">
        <v>4.9000000000000004</v>
      </c>
    </row>
    <row r="52" spans="1:5" x14ac:dyDescent="0.25">
      <c r="A52" t="s">
        <v>51</v>
      </c>
      <c r="B52">
        <v>2015</v>
      </c>
      <c r="C52">
        <v>10.1</v>
      </c>
      <c r="D52">
        <v>6.7</v>
      </c>
      <c r="E52">
        <v>8</v>
      </c>
    </row>
    <row r="53" spans="1:5" x14ac:dyDescent="0.25">
      <c r="A53" t="s">
        <v>52</v>
      </c>
      <c r="B53">
        <v>2015</v>
      </c>
      <c r="C53">
        <v>10.4</v>
      </c>
      <c r="D53">
        <v>7</v>
      </c>
      <c r="E53">
        <v>7.9</v>
      </c>
    </row>
    <row r="54" spans="1:5" x14ac:dyDescent="0.25">
      <c r="A54" t="s">
        <v>53</v>
      </c>
      <c r="B54">
        <v>2015</v>
      </c>
      <c r="C54">
        <v>8.3000000000000007</v>
      </c>
      <c r="D54">
        <v>5</v>
      </c>
      <c r="E54">
        <v>6.1</v>
      </c>
    </row>
    <row r="55" spans="1:5" x14ac:dyDescent="0.25">
      <c r="A55" t="s">
        <v>54</v>
      </c>
      <c r="B55">
        <v>2015</v>
      </c>
      <c r="C55">
        <v>9.3000000000000007</v>
      </c>
      <c r="D55">
        <v>5.9</v>
      </c>
      <c r="E55">
        <v>6.7</v>
      </c>
    </row>
    <row r="56" spans="1:5" x14ac:dyDescent="0.25">
      <c r="A56" t="s">
        <v>55</v>
      </c>
      <c r="B56">
        <v>2015</v>
      </c>
      <c r="C56">
        <v>10.7</v>
      </c>
      <c r="D56">
        <v>7.4</v>
      </c>
      <c r="E56">
        <v>8.6999999999999993</v>
      </c>
    </row>
    <row r="57" spans="1:5" x14ac:dyDescent="0.25">
      <c r="A57" t="s">
        <v>56</v>
      </c>
      <c r="B57">
        <v>2015</v>
      </c>
      <c r="C57">
        <v>10.6</v>
      </c>
      <c r="D57">
        <v>7.2</v>
      </c>
      <c r="E57">
        <v>8.3000000000000007</v>
      </c>
    </row>
    <row r="58" spans="1:5" x14ac:dyDescent="0.25">
      <c r="A58" t="s">
        <v>57</v>
      </c>
      <c r="B58">
        <v>2015</v>
      </c>
      <c r="C58">
        <v>10.1</v>
      </c>
      <c r="D58">
        <v>6.7</v>
      </c>
      <c r="E58">
        <v>8</v>
      </c>
    </row>
    <row r="59" spans="1:5" x14ac:dyDescent="0.25">
      <c r="A59" t="s">
        <v>8</v>
      </c>
      <c r="B59">
        <v>2016</v>
      </c>
      <c r="C59">
        <v>5.8</v>
      </c>
      <c r="D59">
        <v>4.7</v>
      </c>
      <c r="E59">
        <v>5</v>
      </c>
    </row>
    <row r="60" spans="1:5" x14ac:dyDescent="0.25">
      <c r="A60" t="s">
        <v>9</v>
      </c>
      <c r="B60">
        <v>2016</v>
      </c>
      <c r="C60">
        <v>4.5999999999999996</v>
      </c>
      <c r="D60">
        <v>3.6</v>
      </c>
      <c r="E60">
        <v>3.9</v>
      </c>
    </row>
    <row r="61" spans="1:5" x14ac:dyDescent="0.25">
      <c r="A61" t="s">
        <v>10</v>
      </c>
      <c r="B61">
        <v>2016</v>
      </c>
      <c r="C61">
        <v>4.9000000000000004</v>
      </c>
      <c r="D61">
        <v>3.9</v>
      </c>
      <c r="E61">
        <v>4.2</v>
      </c>
    </row>
    <row r="62" spans="1:5" x14ac:dyDescent="0.25">
      <c r="A62" t="s">
        <v>11</v>
      </c>
      <c r="B62">
        <v>2016</v>
      </c>
      <c r="C62">
        <v>4.5</v>
      </c>
      <c r="D62">
        <v>3.4</v>
      </c>
      <c r="E62">
        <v>3.7</v>
      </c>
    </row>
    <row r="63" spans="1:5" x14ac:dyDescent="0.25">
      <c r="A63" t="s">
        <v>12</v>
      </c>
      <c r="B63">
        <v>2016</v>
      </c>
      <c r="C63">
        <v>4.5</v>
      </c>
      <c r="D63">
        <v>3.5</v>
      </c>
      <c r="E63">
        <v>3.8</v>
      </c>
    </row>
    <row r="64" spans="1:5" x14ac:dyDescent="0.25">
      <c r="A64" t="s">
        <v>13</v>
      </c>
      <c r="B64">
        <v>2016</v>
      </c>
      <c r="C64">
        <v>3.1</v>
      </c>
      <c r="D64">
        <v>2.1</v>
      </c>
      <c r="E64">
        <v>2.5</v>
      </c>
    </row>
    <row r="65" spans="1:5" x14ac:dyDescent="0.25">
      <c r="A65" t="s">
        <v>14</v>
      </c>
      <c r="B65">
        <v>2016</v>
      </c>
      <c r="C65">
        <v>5.6</v>
      </c>
      <c r="D65">
        <v>4.5</v>
      </c>
      <c r="E65">
        <v>4.9000000000000004</v>
      </c>
    </row>
    <row r="66" spans="1:5" x14ac:dyDescent="0.25">
      <c r="A66" t="s">
        <v>15</v>
      </c>
      <c r="B66">
        <v>2016</v>
      </c>
      <c r="C66">
        <v>2.6</v>
      </c>
      <c r="D66">
        <v>1.6</v>
      </c>
      <c r="E66">
        <v>2</v>
      </c>
    </row>
    <row r="67" spans="1:5" x14ac:dyDescent="0.25">
      <c r="A67" t="s">
        <v>16</v>
      </c>
      <c r="B67">
        <v>2016</v>
      </c>
      <c r="C67">
        <v>6.2</v>
      </c>
      <c r="D67">
        <v>5.2</v>
      </c>
      <c r="E67">
        <v>5.6</v>
      </c>
    </row>
    <row r="68" spans="1:5" x14ac:dyDescent="0.25">
      <c r="A68" t="s">
        <v>17</v>
      </c>
      <c r="B68">
        <v>2016</v>
      </c>
      <c r="C68">
        <v>3.8</v>
      </c>
      <c r="D68">
        <v>2.8</v>
      </c>
      <c r="E68">
        <v>3.2</v>
      </c>
    </row>
    <row r="69" spans="1:5" x14ac:dyDescent="0.25">
      <c r="A69" t="s">
        <v>18</v>
      </c>
      <c r="B69">
        <v>2016</v>
      </c>
      <c r="C69">
        <v>3.2</v>
      </c>
      <c r="D69">
        <v>2.2000000000000002</v>
      </c>
      <c r="E69">
        <v>2.6</v>
      </c>
    </row>
    <row r="70" spans="1:5" x14ac:dyDescent="0.25">
      <c r="A70" t="s">
        <v>19</v>
      </c>
      <c r="B70">
        <v>2016</v>
      </c>
      <c r="C70">
        <v>4.7</v>
      </c>
      <c r="D70">
        <v>3.7</v>
      </c>
      <c r="E70">
        <v>4</v>
      </c>
    </row>
    <row r="71" spans="1:5" x14ac:dyDescent="0.25">
      <c r="A71" t="s">
        <v>20</v>
      </c>
      <c r="B71">
        <v>2016</v>
      </c>
      <c r="C71">
        <v>5.5</v>
      </c>
      <c r="D71">
        <v>4.5</v>
      </c>
      <c r="E71">
        <v>4.8</v>
      </c>
    </row>
    <row r="72" spans="1:5" x14ac:dyDescent="0.25">
      <c r="A72" t="s">
        <v>21</v>
      </c>
      <c r="B72">
        <v>2016</v>
      </c>
      <c r="C72">
        <v>2.5</v>
      </c>
      <c r="D72">
        <v>1.5</v>
      </c>
      <c r="E72">
        <v>1.9</v>
      </c>
    </row>
    <row r="73" spans="1:5" x14ac:dyDescent="0.25">
      <c r="A73" t="s">
        <v>22</v>
      </c>
      <c r="B73">
        <v>2016</v>
      </c>
      <c r="C73">
        <v>2.7</v>
      </c>
      <c r="D73">
        <v>1.7</v>
      </c>
      <c r="E73">
        <v>2</v>
      </c>
    </row>
    <row r="74" spans="1:5" x14ac:dyDescent="0.25">
      <c r="A74" t="s">
        <v>23</v>
      </c>
      <c r="B74">
        <v>2016</v>
      </c>
      <c r="C74">
        <v>4.4000000000000004</v>
      </c>
      <c r="D74">
        <v>3.4</v>
      </c>
      <c r="E74">
        <v>3.6</v>
      </c>
    </row>
    <row r="75" spans="1:5" x14ac:dyDescent="0.25">
      <c r="A75" t="s">
        <v>24</v>
      </c>
      <c r="B75">
        <v>2016</v>
      </c>
      <c r="C75">
        <v>3.9</v>
      </c>
      <c r="D75">
        <v>2.9</v>
      </c>
      <c r="E75">
        <v>3.2</v>
      </c>
    </row>
    <row r="76" spans="1:5" x14ac:dyDescent="0.25">
      <c r="A76" t="s">
        <v>25</v>
      </c>
      <c r="B76">
        <v>2016</v>
      </c>
      <c r="C76">
        <v>5.0999999999999996</v>
      </c>
      <c r="D76">
        <v>4</v>
      </c>
      <c r="E76">
        <v>4.3</v>
      </c>
    </row>
    <row r="77" spans="1:5" x14ac:dyDescent="0.25">
      <c r="A77" t="s">
        <v>26</v>
      </c>
      <c r="B77">
        <v>2016</v>
      </c>
      <c r="C77">
        <v>6.5</v>
      </c>
      <c r="D77">
        <v>5.4</v>
      </c>
      <c r="E77">
        <v>5.8</v>
      </c>
    </row>
    <row r="78" spans="1:5" x14ac:dyDescent="0.25">
      <c r="A78" t="s">
        <v>27</v>
      </c>
      <c r="B78">
        <v>2016</v>
      </c>
      <c r="C78">
        <v>2.6</v>
      </c>
      <c r="D78">
        <v>1.6</v>
      </c>
      <c r="E78">
        <v>1.8</v>
      </c>
    </row>
    <row r="79" spans="1:5" x14ac:dyDescent="0.25">
      <c r="A79" t="s">
        <v>28</v>
      </c>
      <c r="B79">
        <v>2016</v>
      </c>
      <c r="C79">
        <v>3.9</v>
      </c>
      <c r="D79">
        <v>2.9</v>
      </c>
      <c r="E79">
        <v>3.3</v>
      </c>
    </row>
    <row r="80" spans="1:5" x14ac:dyDescent="0.25">
      <c r="A80" t="s">
        <v>29</v>
      </c>
      <c r="B80">
        <v>2016</v>
      </c>
      <c r="C80">
        <v>4.9000000000000004</v>
      </c>
      <c r="D80">
        <v>3.8</v>
      </c>
      <c r="E80">
        <v>4.0999999999999996</v>
      </c>
    </row>
    <row r="81" spans="1:5" x14ac:dyDescent="0.25">
      <c r="A81" t="s">
        <v>30</v>
      </c>
      <c r="B81">
        <v>2016</v>
      </c>
      <c r="C81">
        <v>5.8</v>
      </c>
      <c r="D81">
        <v>4.7</v>
      </c>
      <c r="E81">
        <v>4.9000000000000004</v>
      </c>
    </row>
    <row r="82" spans="1:5" x14ac:dyDescent="0.25">
      <c r="A82" t="s">
        <v>31</v>
      </c>
      <c r="B82">
        <v>2016</v>
      </c>
      <c r="C82">
        <v>3.7</v>
      </c>
      <c r="D82">
        <v>2.6</v>
      </c>
      <c r="E82">
        <v>2.9</v>
      </c>
    </row>
    <row r="83" spans="1:5" x14ac:dyDescent="0.25">
      <c r="A83" t="s">
        <v>32</v>
      </c>
      <c r="B83">
        <v>2016</v>
      </c>
      <c r="C83">
        <v>5.0999999999999996</v>
      </c>
      <c r="D83">
        <v>4</v>
      </c>
      <c r="E83">
        <v>4.3</v>
      </c>
    </row>
    <row r="84" spans="1:5" x14ac:dyDescent="0.25">
      <c r="A84" t="s">
        <v>33</v>
      </c>
      <c r="B84">
        <v>2016</v>
      </c>
      <c r="C84">
        <v>4.5999999999999996</v>
      </c>
      <c r="D84">
        <v>3.6</v>
      </c>
      <c r="E84">
        <v>3.8</v>
      </c>
    </row>
    <row r="85" spans="1:5" x14ac:dyDescent="0.25">
      <c r="A85" t="s">
        <v>34</v>
      </c>
      <c r="B85">
        <v>2016</v>
      </c>
      <c r="C85">
        <v>5.5</v>
      </c>
      <c r="D85">
        <v>4.4000000000000004</v>
      </c>
      <c r="E85">
        <v>4.7</v>
      </c>
    </row>
    <row r="86" spans="1:5" x14ac:dyDescent="0.25">
      <c r="A86" t="s">
        <v>35</v>
      </c>
      <c r="B86">
        <v>2016</v>
      </c>
      <c r="C86">
        <v>2.9</v>
      </c>
      <c r="D86">
        <v>1.9</v>
      </c>
      <c r="E86">
        <v>2.2000000000000002</v>
      </c>
    </row>
    <row r="87" spans="1:5" x14ac:dyDescent="0.25">
      <c r="A87" t="s">
        <v>36</v>
      </c>
      <c r="B87">
        <v>2016</v>
      </c>
      <c r="C87">
        <v>3.6</v>
      </c>
      <c r="D87">
        <v>2.6</v>
      </c>
      <c r="E87">
        <v>2.9</v>
      </c>
    </row>
    <row r="88" spans="1:5" x14ac:dyDescent="0.25">
      <c r="A88" t="s">
        <v>37</v>
      </c>
      <c r="B88">
        <v>2016</v>
      </c>
      <c r="C88">
        <v>6.3</v>
      </c>
      <c r="D88">
        <v>5.2</v>
      </c>
      <c r="E88">
        <v>5.6</v>
      </c>
    </row>
    <row r="89" spans="1:5" x14ac:dyDescent="0.25">
      <c r="A89" t="s">
        <v>38</v>
      </c>
      <c r="B89">
        <v>2016</v>
      </c>
      <c r="C89">
        <v>5.5</v>
      </c>
      <c r="D89">
        <v>4.4000000000000004</v>
      </c>
      <c r="E89">
        <v>4.8</v>
      </c>
    </row>
    <row r="90" spans="1:5" x14ac:dyDescent="0.25">
      <c r="A90" t="s">
        <v>39</v>
      </c>
      <c r="B90">
        <v>2016</v>
      </c>
      <c r="C90">
        <v>2.5</v>
      </c>
      <c r="D90">
        <v>1.5</v>
      </c>
      <c r="E90">
        <v>1.7</v>
      </c>
    </row>
    <row r="91" spans="1:5" x14ac:dyDescent="0.25">
      <c r="A91" t="s">
        <v>40</v>
      </c>
      <c r="B91">
        <v>2016</v>
      </c>
      <c r="C91">
        <v>5.2</v>
      </c>
      <c r="D91">
        <v>4.2</v>
      </c>
      <c r="E91">
        <v>4.4000000000000004</v>
      </c>
    </row>
    <row r="92" spans="1:5" x14ac:dyDescent="0.25">
      <c r="A92" t="s">
        <v>41</v>
      </c>
      <c r="B92">
        <v>2016</v>
      </c>
      <c r="C92">
        <v>4.4000000000000004</v>
      </c>
      <c r="D92">
        <v>3.4</v>
      </c>
      <c r="E92">
        <v>3.7</v>
      </c>
    </row>
    <row r="93" spans="1:5" x14ac:dyDescent="0.25">
      <c r="A93" t="s">
        <v>42</v>
      </c>
      <c r="B93">
        <v>2016</v>
      </c>
      <c r="C93">
        <v>5.6</v>
      </c>
      <c r="D93">
        <v>4.5999999999999996</v>
      </c>
      <c r="E93">
        <v>5</v>
      </c>
    </row>
    <row r="94" spans="1:5" x14ac:dyDescent="0.25">
      <c r="A94" t="s">
        <v>43</v>
      </c>
      <c r="B94">
        <v>2016</v>
      </c>
      <c r="C94">
        <v>5.2</v>
      </c>
      <c r="D94">
        <v>4.2</v>
      </c>
      <c r="E94">
        <v>4.4000000000000004</v>
      </c>
    </row>
    <row r="95" spans="1:5" x14ac:dyDescent="0.25">
      <c r="A95" t="s">
        <v>44</v>
      </c>
      <c r="B95">
        <v>2016</v>
      </c>
      <c r="C95">
        <v>5.6</v>
      </c>
      <c r="D95">
        <v>4.5999999999999996</v>
      </c>
      <c r="E95">
        <v>5</v>
      </c>
    </row>
    <row r="96" spans="1:5" x14ac:dyDescent="0.25">
      <c r="A96" t="s">
        <v>45</v>
      </c>
      <c r="B96">
        <v>2016</v>
      </c>
      <c r="C96">
        <v>4.3</v>
      </c>
      <c r="D96">
        <v>3.2</v>
      </c>
      <c r="E96">
        <v>3.6</v>
      </c>
    </row>
    <row r="97" spans="1:5" x14ac:dyDescent="0.25">
      <c r="A97" t="s">
        <v>46</v>
      </c>
      <c r="B97">
        <v>2016</v>
      </c>
      <c r="C97">
        <v>4.5</v>
      </c>
      <c r="D97">
        <v>3.5</v>
      </c>
      <c r="E97">
        <v>3.9</v>
      </c>
    </row>
    <row r="98" spans="1:5" x14ac:dyDescent="0.25">
      <c r="A98" t="s">
        <v>47</v>
      </c>
      <c r="B98">
        <v>2016</v>
      </c>
      <c r="C98">
        <v>3.1</v>
      </c>
      <c r="D98">
        <v>2.1</v>
      </c>
      <c r="E98">
        <v>2.2999999999999998</v>
      </c>
    </row>
    <row r="99" spans="1:5" x14ac:dyDescent="0.25">
      <c r="A99" t="s">
        <v>48</v>
      </c>
      <c r="B99">
        <v>2016</v>
      </c>
      <c r="C99">
        <v>2.7</v>
      </c>
      <c r="D99">
        <v>1.7</v>
      </c>
      <c r="E99">
        <v>2</v>
      </c>
    </row>
    <row r="100" spans="1:5" x14ac:dyDescent="0.25">
      <c r="A100" t="s">
        <v>49</v>
      </c>
      <c r="B100">
        <v>2016</v>
      </c>
      <c r="C100">
        <v>6.4</v>
      </c>
      <c r="D100">
        <v>5.3</v>
      </c>
      <c r="E100">
        <v>5.7</v>
      </c>
    </row>
    <row r="101" spans="1:5" x14ac:dyDescent="0.25">
      <c r="A101" t="s">
        <v>50</v>
      </c>
      <c r="B101">
        <v>2016</v>
      </c>
      <c r="C101">
        <v>3.9</v>
      </c>
      <c r="D101">
        <v>2.9</v>
      </c>
      <c r="E101">
        <v>3.2</v>
      </c>
    </row>
    <row r="102" spans="1:5" x14ac:dyDescent="0.25">
      <c r="A102" t="s">
        <v>51</v>
      </c>
      <c r="B102">
        <v>2016</v>
      </c>
      <c r="C102">
        <v>4</v>
      </c>
      <c r="D102">
        <v>3</v>
      </c>
      <c r="E102">
        <v>3.4</v>
      </c>
    </row>
    <row r="103" spans="1:5" x14ac:dyDescent="0.25">
      <c r="A103" t="s">
        <v>52</v>
      </c>
      <c r="B103">
        <v>2016</v>
      </c>
      <c r="C103">
        <v>4.2</v>
      </c>
      <c r="D103">
        <v>3.2</v>
      </c>
      <c r="E103">
        <v>3.4</v>
      </c>
    </row>
    <row r="104" spans="1:5" x14ac:dyDescent="0.25">
      <c r="A104" t="s">
        <v>53</v>
      </c>
      <c r="B104">
        <v>2016</v>
      </c>
      <c r="C104">
        <v>4.2</v>
      </c>
      <c r="D104">
        <v>3.2</v>
      </c>
      <c r="E104">
        <v>3.6</v>
      </c>
    </row>
    <row r="105" spans="1:5" x14ac:dyDescent="0.25">
      <c r="A105" t="s">
        <v>54</v>
      </c>
      <c r="B105">
        <v>2016</v>
      </c>
      <c r="C105">
        <v>5.5</v>
      </c>
      <c r="D105">
        <v>4.5</v>
      </c>
      <c r="E105">
        <v>4.8</v>
      </c>
    </row>
    <row r="106" spans="1:5" x14ac:dyDescent="0.25">
      <c r="A106" t="s">
        <v>55</v>
      </c>
      <c r="B106">
        <v>2016</v>
      </c>
      <c r="C106">
        <v>3.2</v>
      </c>
      <c r="D106">
        <v>2.2000000000000002</v>
      </c>
      <c r="E106">
        <v>2.5</v>
      </c>
    </row>
    <row r="107" spans="1:5" x14ac:dyDescent="0.25">
      <c r="A107" t="s">
        <v>56</v>
      </c>
      <c r="B107">
        <v>2016</v>
      </c>
      <c r="C107">
        <v>3.9</v>
      </c>
      <c r="D107">
        <v>2.8</v>
      </c>
      <c r="E107">
        <v>3.2</v>
      </c>
    </row>
    <row r="108" spans="1:5" x14ac:dyDescent="0.25">
      <c r="A108" t="s">
        <v>57</v>
      </c>
      <c r="B108">
        <v>2016</v>
      </c>
      <c r="C108">
        <v>3.1</v>
      </c>
      <c r="D108">
        <v>2.1</v>
      </c>
      <c r="E108">
        <v>2.4</v>
      </c>
    </row>
    <row r="109" spans="1:5" x14ac:dyDescent="0.25">
      <c r="A109" t="s">
        <v>8</v>
      </c>
      <c r="B109">
        <v>2017</v>
      </c>
      <c r="C109">
        <v>2.6</v>
      </c>
      <c r="D109">
        <v>2.4</v>
      </c>
      <c r="E109">
        <v>2.5</v>
      </c>
    </row>
    <row r="110" spans="1:5" x14ac:dyDescent="0.25">
      <c r="A110" t="s">
        <v>9</v>
      </c>
      <c r="B110">
        <v>2017</v>
      </c>
      <c r="C110">
        <v>0.6</v>
      </c>
      <c r="D110">
        <v>0.4</v>
      </c>
      <c r="E110">
        <v>0.4</v>
      </c>
    </row>
    <row r="111" spans="1:5" x14ac:dyDescent="0.25">
      <c r="A111" t="s">
        <v>10</v>
      </c>
      <c r="B111">
        <v>2017</v>
      </c>
      <c r="C111">
        <v>2.8</v>
      </c>
      <c r="D111">
        <v>2.6</v>
      </c>
      <c r="E111">
        <v>2.7</v>
      </c>
    </row>
    <row r="112" spans="1:5" x14ac:dyDescent="0.25">
      <c r="A112" t="s">
        <v>11</v>
      </c>
      <c r="B112">
        <v>2017</v>
      </c>
      <c r="C112">
        <v>0.3</v>
      </c>
      <c r="D112">
        <v>0.1</v>
      </c>
      <c r="E112">
        <v>0.1</v>
      </c>
    </row>
    <row r="113" spans="1:5" x14ac:dyDescent="0.25">
      <c r="A113" t="s">
        <v>12</v>
      </c>
      <c r="B113">
        <v>2017</v>
      </c>
      <c r="C113">
        <v>1.4</v>
      </c>
      <c r="D113">
        <v>1.2</v>
      </c>
      <c r="E113">
        <v>1.3</v>
      </c>
    </row>
    <row r="114" spans="1:5" x14ac:dyDescent="0.25">
      <c r="A114" t="s">
        <v>13</v>
      </c>
      <c r="B114">
        <v>2017</v>
      </c>
      <c r="C114">
        <v>-0.3</v>
      </c>
      <c r="D114">
        <v>-0.5</v>
      </c>
      <c r="E114">
        <v>-0.4</v>
      </c>
    </row>
    <row r="115" spans="1:5" x14ac:dyDescent="0.25">
      <c r="A115" t="s">
        <v>14</v>
      </c>
      <c r="B115">
        <v>2017</v>
      </c>
      <c r="C115">
        <v>2.4</v>
      </c>
      <c r="D115">
        <v>2.2999999999999998</v>
      </c>
      <c r="E115">
        <v>2.2999999999999998</v>
      </c>
    </row>
    <row r="116" spans="1:5" x14ac:dyDescent="0.25">
      <c r="A116" t="s">
        <v>15</v>
      </c>
      <c r="B116">
        <v>2017</v>
      </c>
      <c r="C116">
        <v>0.4</v>
      </c>
      <c r="D116">
        <v>0.2</v>
      </c>
      <c r="E116">
        <v>0.3</v>
      </c>
    </row>
    <row r="117" spans="1:5" x14ac:dyDescent="0.25">
      <c r="A117" t="s">
        <v>16</v>
      </c>
      <c r="B117">
        <v>2017</v>
      </c>
      <c r="C117">
        <v>1.5</v>
      </c>
      <c r="D117">
        <v>1.3</v>
      </c>
      <c r="E117">
        <v>1.4</v>
      </c>
    </row>
    <row r="118" spans="1:5" x14ac:dyDescent="0.25">
      <c r="A118" t="s">
        <v>17</v>
      </c>
      <c r="B118">
        <v>2017</v>
      </c>
      <c r="C118">
        <v>0.2</v>
      </c>
      <c r="D118">
        <v>0</v>
      </c>
      <c r="E118">
        <v>0.1</v>
      </c>
    </row>
    <row r="119" spans="1:5" x14ac:dyDescent="0.25">
      <c r="A119" t="s">
        <v>18</v>
      </c>
      <c r="B119">
        <v>2017</v>
      </c>
      <c r="C119">
        <v>1.2</v>
      </c>
      <c r="D119">
        <v>1</v>
      </c>
      <c r="E119">
        <v>1.1000000000000001</v>
      </c>
    </row>
    <row r="120" spans="1:5" x14ac:dyDescent="0.25">
      <c r="A120" t="s">
        <v>19</v>
      </c>
      <c r="B120">
        <v>2017</v>
      </c>
      <c r="C120">
        <v>0.6</v>
      </c>
      <c r="D120">
        <v>0.5</v>
      </c>
      <c r="E120">
        <v>0.5</v>
      </c>
    </row>
    <row r="121" spans="1:5" x14ac:dyDescent="0.25">
      <c r="A121" t="s">
        <v>20</v>
      </c>
      <c r="B121">
        <v>2017</v>
      </c>
      <c r="C121">
        <v>1.9</v>
      </c>
      <c r="D121">
        <v>1.7</v>
      </c>
      <c r="E121">
        <v>1.8</v>
      </c>
    </row>
    <row r="122" spans="1:5" x14ac:dyDescent="0.25">
      <c r="A122" t="s">
        <v>21</v>
      </c>
      <c r="B122">
        <v>2017</v>
      </c>
      <c r="C122">
        <v>0.7</v>
      </c>
      <c r="D122">
        <v>0.5</v>
      </c>
      <c r="E122">
        <v>0.6</v>
      </c>
    </row>
    <row r="123" spans="1:5" x14ac:dyDescent="0.25">
      <c r="A123" t="s">
        <v>22</v>
      </c>
      <c r="B123">
        <v>2017</v>
      </c>
      <c r="C123">
        <v>1.8</v>
      </c>
      <c r="D123">
        <v>1.7</v>
      </c>
      <c r="E123">
        <v>1.7</v>
      </c>
    </row>
    <row r="124" spans="1:5" x14ac:dyDescent="0.25">
      <c r="A124" t="s">
        <v>23</v>
      </c>
      <c r="B124">
        <v>2017</v>
      </c>
      <c r="C124">
        <v>0.9</v>
      </c>
      <c r="D124">
        <v>0.8</v>
      </c>
      <c r="E124">
        <v>0.8</v>
      </c>
    </row>
    <row r="125" spans="1:5" x14ac:dyDescent="0.25">
      <c r="A125" t="s">
        <v>24</v>
      </c>
      <c r="B125">
        <v>2017</v>
      </c>
      <c r="C125">
        <v>0</v>
      </c>
      <c r="D125">
        <v>-0.2</v>
      </c>
      <c r="E125">
        <v>-0.1</v>
      </c>
    </row>
    <row r="126" spans="1:5" x14ac:dyDescent="0.25">
      <c r="A126" t="s">
        <v>25</v>
      </c>
      <c r="B126">
        <v>2017</v>
      </c>
      <c r="C126">
        <v>1.4</v>
      </c>
      <c r="D126">
        <v>1.2</v>
      </c>
      <c r="E126">
        <v>1.3</v>
      </c>
    </row>
    <row r="127" spans="1:5" x14ac:dyDescent="0.25">
      <c r="A127" t="s">
        <v>26</v>
      </c>
      <c r="B127">
        <v>2017</v>
      </c>
      <c r="C127">
        <v>-0.8</v>
      </c>
      <c r="D127">
        <v>-0.9</v>
      </c>
      <c r="E127">
        <v>-0.9</v>
      </c>
    </row>
    <row r="128" spans="1:5" x14ac:dyDescent="0.25">
      <c r="A128" t="s">
        <v>27</v>
      </c>
      <c r="B128">
        <v>2017</v>
      </c>
      <c r="C128">
        <v>2.5</v>
      </c>
      <c r="D128">
        <v>2.2999999999999998</v>
      </c>
      <c r="E128">
        <v>2.2999999999999998</v>
      </c>
    </row>
    <row r="129" spans="1:5" x14ac:dyDescent="0.25">
      <c r="A129" t="s">
        <v>28</v>
      </c>
      <c r="B129">
        <v>2017</v>
      </c>
      <c r="C129">
        <v>0.8</v>
      </c>
      <c r="D129">
        <v>0.6</v>
      </c>
      <c r="E129">
        <v>0.7</v>
      </c>
    </row>
    <row r="130" spans="1:5" x14ac:dyDescent="0.25">
      <c r="A130" t="s">
        <v>29</v>
      </c>
      <c r="B130">
        <v>2017</v>
      </c>
      <c r="C130">
        <v>2.1</v>
      </c>
      <c r="D130">
        <v>1.9</v>
      </c>
      <c r="E130">
        <v>2</v>
      </c>
    </row>
    <row r="131" spans="1:5" x14ac:dyDescent="0.25">
      <c r="A131" t="s">
        <v>30</v>
      </c>
      <c r="B131">
        <v>2017</v>
      </c>
      <c r="C131">
        <v>2.7</v>
      </c>
      <c r="D131">
        <v>2.6</v>
      </c>
      <c r="E131">
        <v>2.6</v>
      </c>
    </row>
    <row r="132" spans="1:5" x14ac:dyDescent="0.25">
      <c r="A132" t="s">
        <v>31</v>
      </c>
      <c r="B132">
        <v>2017</v>
      </c>
      <c r="C132">
        <v>1.8</v>
      </c>
      <c r="D132">
        <v>1.6</v>
      </c>
      <c r="E132">
        <v>1.7</v>
      </c>
    </row>
    <row r="133" spans="1:5" x14ac:dyDescent="0.25">
      <c r="A133" t="s">
        <v>32</v>
      </c>
      <c r="B133">
        <v>2017</v>
      </c>
      <c r="C133">
        <v>0.7</v>
      </c>
      <c r="D133">
        <v>0.6</v>
      </c>
      <c r="E133">
        <v>0.6</v>
      </c>
    </row>
    <row r="134" spans="1:5" x14ac:dyDescent="0.25">
      <c r="A134" t="s">
        <v>33</v>
      </c>
      <c r="B134">
        <v>2017</v>
      </c>
      <c r="C134">
        <v>-0.7</v>
      </c>
      <c r="D134">
        <v>-0.9</v>
      </c>
      <c r="E134">
        <v>-0.8</v>
      </c>
    </row>
    <row r="135" spans="1:5" x14ac:dyDescent="0.25">
      <c r="A135" t="s">
        <v>34</v>
      </c>
      <c r="B135">
        <v>2017</v>
      </c>
      <c r="C135">
        <v>-0.7</v>
      </c>
      <c r="D135">
        <v>-0.9</v>
      </c>
      <c r="E135">
        <v>-0.8</v>
      </c>
    </row>
    <row r="136" spans="1:5" x14ac:dyDescent="0.25">
      <c r="A136" t="s">
        <v>35</v>
      </c>
      <c r="B136">
        <v>2017</v>
      </c>
      <c r="C136">
        <v>2.5</v>
      </c>
      <c r="D136">
        <v>2.4</v>
      </c>
      <c r="E136">
        <v>2.4</v>
      </c>
    </row>
    <row r="137" spans="1:5" x14ac:dyDescent="0.25">
      <c r="A137" t="s">
        <v>36</v>
      </c>
      <c r="B137">
        <v>2017</v>
      </c>
      <c r="C137">
        <v>2.4</v>
      </c>
      <c r="D137">
        <v>2.2000000000000002</v>
      </c>
      <c r="E137">
        <v>2.2999999999999998</v>
      </c>
    </row>
    <row r="138" spans="1:5" x14ac:dyDescent="0.25">
      <c r="A138" t="s">
        <v>37</v>
      </c>
      <c r="B138">
        <v>2017</v>
      </c>
      <c r="C138">
        <v>1.3</v>
      </c>
      <c r="D138">
        <v>1.1000000000000001</v>
      </c>
      <c r="E138">
        <v>1.2</v>
      </c>
    </row>
    <row r="139" spans="1:5" x14ac:dyDescent="0.25">
      <c r="A139" t="s">
        <v>38</v>
      </c>
      <c r="B139">
        <v>2017</v>
      </c>
      <c r="C139">
        <v>2.2999999999999998</v>
      </c>
      <c r="D139">
        <v>2.1</v>
      </c>
      <c r="E139">
        <v>2.1</v>
      </c>
    </row>
    <row r="140" spans="1:5" x14ac:dyDescent="0.25">
      <c r="A140" t="s">
        <v>39</v>
      </c>
      <c r="B140">
        <v>2017</v>
      </c>
      <c r="C140">
        <v>1.5</v>
      </c>
      <c r="D140">
        <v>1.3</v>
      </c>
      <c r="E140">
        <v>1.4</v>
      </c>
    </row>
    <row r="141" spans="1:5" x14ac:dyDescent="0.25">
      <c r="A141" t="s">
        <v>40</v>
      </c>
      <c r="B141">
        <v>2017</v>
      </c>
      <c r="C141">
        <v>0.7</v>
      </c>
      <c r="D141">
        <v>0.5</v>
      </c>
      <c r="E141">
        <v>0.6</v>
      </c>
    </row>
    <row r="142" spans="1:5" x14ac:dyDescent="0.25">
      <c r="A142" t="s">
        <v>41</v>
      </c>
      <c r="B142">
        <v>2017</v>
      </c>
      <c r="C142">
        <v>0.9</v>
      </c>
      <c r="D142">
        <v>0.8</v>
      </c>
      <c r="E142">
        <v>0.8</v>
      </c>
    </row>
    <row r="143" spans="1:5" x14ac:dyDescent="0.25">
      <c r="A143" t="s">
        <v>42</v>
      </c>
      <c r="B143">
        <v>2017</v>
      </c>
      <c r="C143">
        <v>-0.2</v>
      </c>
      <c r="D143">
        <v>-0.4</v>
      </c>
      <c r="E143">
        <v>-0.3</v>
      </c>
    </row>
    <row r="144" spans="1:5" x14ac:dyDescent="0.25">
      <c r="A144" t="s">
        <v>43</v>
      </c>
      <c r="B144">
        <v>2017</v>
      </c>
      <c r="C144">
        <v>-0.2</v>
      </c>
      <c r="D144">
        <v>-0.3</v>
      </c>
      <c r="E144">
        <v>-0.3</v>
      </c>
    </row>
    <row r="145" spans="1:5" x14ac:dyDescent="0.25">
      <c r="A145" t="s">
        <v>44</v>
      </c>
      <c r="B145">
        <v>2017</v>
      </c>
      <c r="C145">
        <v>-0.1</v>
      </c>
      <c r="D145">
        <v>-0.3</v>
      </c>
      <c r="E145">
        <v>-0.3</v>
      </c>
    </row>
    <row r="146" spans="1:5" x14ac:dyDescent="0.25">
      <c r="A146" t="s">
        <v>45</v>
      </c>
      <c r="B146">
        <v>2017</v>
      </c>
      <c r="C146">
        <v>-0.2</v>
      </c>
      <c r="D146">
        <v>-0.4</v>
      </c>
      <c r="E146">
        <v>-0.4</v>
      </c>
    </row>
    <row r="147" spans="1:5" x14ac:dyDescent="0.25">
      <c r="A147" t="s">
        <v>46</v>
      </c>
      <c r="B147">
        <v>2017</v>
      </c>
      <c r="C147">
        <v>-0.9</v>
      </c>
      <c r="D147">
        <v>-1.1000000000000001</v>
      </c>
      <c r="E147">
        <v>-1</v>
      </c>
    </row>
    <row r="148" spans="1:5" x14ac:dyDescent="0.25">
      <c r="A148" t="s">
        <v>47</v>
      </c>
      <c r="B148">
        <v>2017</v>
      </c>
      <c r="C148">
        <v>1.3</v>
      </c>
      <c r="D148">
        <v>1.2</v>
      </c>
      <c r="E148">
        <v>1.2</v>
      </c>
    </row>
    <row r="149" spans="1:5" x14ac:dyDescent="0.25">
      <c r="A149" t="s">
        <v>48</v>
      </c>
      <c r="B149">
        <v>2017</v>
      </c>
      <c r="C149">
        <v>1.3</v>
      </c>
      <c r="D149">
        <v>1.1000000000000001</v>
      </c>
      <c r="E149">
        <v>1.1000000000000001</v>
      </c>
    </row>
    <row r="150" spans="1:5" x14ac:dyDescent="0.25">
      <c r="A150" t="s">
        <v>49</v>
      </c>
      <c r="B150">
        <v>2017</v>
      </c>
      <c r="C150">
        <v>-0.6</v>
      </c>
      <c r="D150">
        <v>-0.8</v>
      </c>
      <c r="E150">
        <v>-0.7</v>
      </c>
    </row>
    <row r="151" spans="1:5" x14ac:dyDescent="0.25">
      <c r="A151" t="s">
        <v>50</v>
      </c>
      <c r="B151">
        <v>2017</v>
      </c>
      <c r="C151">
        <v>-0.5</v>
      </c>
      <c r="D151">
        <v>-0.7</v>
      </c>
      <c r="E151">
        <v>-0.6</v>
      </c>
    </row>
    <row r="152" spans="1:5" x14ac:dyDescent="0.25">
      <c r="A152" t="s">
        <v>51</v>
      </c>
      <c r="B152">
        <v>2017</v>
      </c>
      <c r="C152">
        <v>0.8</v>
      </c>
      <c r="D152">
        <v>0.6</v>
      </c>
      <c r="E152">
        <v>0.6</v>
      </c>
    </row>
    <row r="153" spans="1:5" x14ac:dyDescent="0.25">
      <c r="A153" t="s">
        <v>52</v>
      </c>
      <c r="B153">
        <v>2017</v>
      </c>
      <c r="C153">
        <v>0</v>
      </c>
      <c r="D153">
        <v>-0.2</v>
      </c>
      <c r="E153">
        <v>-0.1</v>
      </c>
    </row>
    <row r="154" spans="1:5" x14ac:dyDescent="0.25">
      <c r="A154" t="s">
        <v>53</v>
      </c>
      <c r="B154">
        <v>2017</v>
      </c>
      <c r="C154">
        <v>2</v>
      </c>
      <c r="D154">
        <v>1.8</v>
      </c>
      <c r="E154">
        <v>1.8</v>
      </c>
    </row>
    <row r="155" spans="1:5" x14ac:dyDescent="0.25">
      <c r="A155" t="s">
        <v>54</v>
      </c>
      <c r="B155">
        <v>2017</v>
      </c>
      <c r="C155">
        <v>0.4</v>
      </c>
      <c r="D155">
        <v>0.3</v>
      </c>
      <c r="E155">
        <v>0.3</v>
      </c>
    </row>
    <row r="156" spans="1:5" x14ac:dyDescent="0.25">
      <c r="A156" t="s">
        <v>55</v>
      </c>
      <c r="B156">
        <v>2017</v>
      </c>
      <c r="C156">
        <v>0.1</v>
      </c>
      <c r="D156">
        <v>-0.1</v>
      </c>
      <c r="E156">
        <v>-0.1</v>
      </c>
    </row>
    <row r="157" spans="1:5" x14ac:dyDescent="0.25">
      <c r="A157" t="s">
        <v>56</v>
      </c>
      <c r="B157">
        <v>2017</v>
      </c>
      <c r="C157">
        <v>0.2</v>
      </c>
      <c r="D157">
        <v>0</v>
      </c>
      <c r="E157">
        <v>0</v>
      </c>
    </row>
    <row r="158" spans="1:5" x14ac:dyDescent="0.25">
      <c r="A158" t="s">
        <v>57</v>
      </c>
      <c r="B158">
        <v>2017</v>
      </c>
      <c r="C158">
        <v>-0.5</v>
      </c>
      <c r="D158">
        <v>-0.7</v>
      </c>
      <c r="E158">
        <v>-0.6</v>
      </c>
    </row>
    <row r="159" spans="1:5" x14ac:dyDescent="0.25">
      <c r="A159" t="s">
        <v>8</v>
      </c>
      <c r="B159">
        <v>2018</v>
      </c>
      <c r="C159">
        <v>4.0999999999999996</v>
      </c>
      <c r="D159">
        <v>2.2999999999999998</v>
      </c>
      <c r="E159">
        <v>2.9</v>
      </c>
    </row>
    <row r="160" spans="1:5" x14ac:dyDescent="0.25">
      <c r="A160" t="s">
        <v>9</v>
      </c>
      <c r="B160">
        <v>2018</v>
      </c>
      <c r="C160">
        <v>5.4</v>
      </c>
      <c r="D160">
        <v>3.7</v>
      </c>
      <c r="E160">
        <v>4.3</v>
      </c>
    </row>
    <row r="161" spans="1:5" x14ac:dyDescent="0.25">
      <c r="A161" t="s">
        <v>10</v>
      </c>
      <c r="B161">
        <v>2018</v>
      </c>
      <c r="C161">
        <v>5.3</v>
      </c>
      <c r="D161">
        <v>3.5</v>
      </c>
      <c r="E161">
        <v>4.2</v>
      </c>
    </row>
    <row r="162" spans="1:5" x14ac:dyDescent="0.25">
      <c r="A162" t="s">
        <v>11</v>
      </c>
      <c r="B162">
        <v>2018</v>
      </c>
      <c r="C162">
        <v>3.1</v>
      </c>
      <c r="D162">
        <v>1.3</v>
      </c>
      <c r="E162">
        <v>1.8</v>
      </c>
    </row>
    <row r="163" spans="1:5" x14ac:dyDescent="0.25">
      <c r="A163" t="s">
        <v>12</v>
      </c>
      <c r="B163">
        <v>2018</v>
      </c>
      <c r="C163">
        <v>2.6</v>
      </c>
      <c r="D163">
        <v>0.8</v>
      </c>
      <c r="E163">
        <v>1.2</v>
      </c>
    </row>
    <row r="164" spans="1:5" x14ac:dyDescent="0.25">
      <c r="A164" t="s">
        <v>13</v>
      </c>
      <c r="B164">
        <v>2018</v>
      </c>
      <c r="C164">
        <v>4.8</v>
      </c>
      <c r="D164">
        <v>3</v>
      </c>
      <c r="E164">
        <v>3.6</v>
      </c>
    </row>
    <row r="165" spans="1:5" x14ac:dyDescent="0.25">
      <c r="A165" t="s">
        <v>14</v>
      </c>
      <c r="B165">
        <v>2018</v>
      </c>
      <c r="C165">
        <v>6.3</v>
      </c>
      <c r="D165">
        <v>4.5999999999999996</v>
      </c>
      <c r="E165">
        <v>5</v>
      </c>
    </row>
    <row r="166" spans="1:5" x14ac:dyDescent="0.25">
      <c r="A166" t="s">
        <v>15</v>
      </c>
      <c r="B166">
        <v>2018</v>
      </c>
      <c r="C166">
        <v>5.8</v>
      </c>
      <c r="D166">
        <v>4</v>
      </c>
      <c r="E166">
        <v>4.4000000000000004</v>
      </c>
    </row>
    <row r="167" spans="1:5" x14ac:dyDescent="0.25">
      <c r="A167" t="s">
        <v>16</v>
      </c>
      <c r="B167">
        <v>2018</v>
      </c>
      <c r="C167">
        <v>4.2</v>
      </c>
      <c r="D167">
        <v>2.5</v>
      </c>
      <c r="E167">
        <v>3</v>
      </c>
    </row>
    <row r="168" spans="1:5" x14ac:dyDescent="0.25">
      <c r="A168" t="s">
        <v>17</v>
      </c>
      <c r="B168">
        <v>2018</v>
      </c>
      <c r="C168">
        <v>4.0999999999999996</v>
      </c>
      <c r="D168">
        <v>2.4</v>
      </c>
      <c r="E168">
        <v>2.8</v>
      </c>
    </row>
    <row r="169" spans="1:5" x14ac:dyDescent="0.25">
      <c r="A169" t="s">
        <v>18</v>
      </c>
      <c r="B169">
        <v>2018</v>
      </c>
      <c r="C169">
        <v>4.5</v>
      </c>
      <c r="D169">
        <v>2.8</v>
      </c>
      <c r="E169">
        <v>3.2</v>
      </c>
    </row>
    <row r="170" spans="1:5" x14ac:dyDescent="0.25">
      <c r="A170" t="s">
        <v>19</v>
      </c>
      <c r="B170">
        <v>2018</v>
      </c>
      <c r="C170">
        <v>2.4</v>
      </c>
      <c r="D170">
        <v>0.7</v>
      </c>
      <c r="E170">
        <v>1.3</v>
      </c>
    </row>
    <row r="171" spans="1:5" x14ac:dyDescent="0.25">
      <c r="A171" t="s">
        <v>20</v>
      </c>
      <c r="B171">
        <v>2018</v>
      </c>
      <c r="C171">
        <v>4.5999999999999996</v>
      </c>
      <c r="D171">
        <v>2.8</v>
      </c>
      <c r="E171">
        <v>3.5</v>
      </c>
    </row>
    <row r="172" spans="1:5" x14ac:dyDescent="0.25">
      <c r="A172" t="s">
        <v>21</v>
      </c>
      <c r="B172">
        <v>2018</v>
      </c>
      <c r="C172">
        <v>6</v>
      </c>
      <c r="D172">
        <v>4.3</v>
      </c>
      <c r="E172">
        <v>4.8</v>
      </c>
    </row>
    <row r="173" spans="1:5" x14ac:dyDescent="0.25">
      <c r="A173" t="s">
        <v>22</v>
      </c>
      <c r="B173">
        <v>2018</v>
      </c>
      <c r="C173">
        <v>6.2</v>
      </c>
      <c r="D173">
        <v>4.5</v>
      </c>
      <c r="E173">
        <v>5.2</v>
      </c>
    </row>
    <row r="174" spans="1:5" x14ac:dyDescent="0.25">
      <c r="A174" t="s">
        <v>23</v>
      </c>
      <c r="B174">
        <v>2018</v>
      </c>
      <c r="C174">
        <v>5.7</v>
      </c>
      <c r="D174">
        <v>4</v>
      </c>
      <c r="E174">
        <v>4.5</v>
      </c>
    </row>
    <row r="175" spans="1:5" x14ac:dyDescent="0.25">
      <c r="A175" t="s">
        <v>24</v>
      </c>
      <c r="B175">
        <v>2018</v>
      </c>
      <c r="C175">
        <v>4.4000000000000004</v>
      </c>
      <c r="D175">
        <v>2.6</v>
      </c>
      <c r="E175">
        <v>3.2</v>
      </c>
    </row>
    <row r="176" spans="1:5" x14ac:dyDescent="0.25">
      <c r="A176" t="s">
        <v>25</v>
      </c>
      <c r="B176">
        <v>2018</v>
      </c>
      <c r="C176">
        <v>5.3</v>
      </c>
      <c r="D176">
        <v>3.6</v>
      </c>
      <c r="E176">
        <v>4</v>
      </c>
    </row>
    <row r="177" spans="1:5" x14ac:dyDescent="0.25">
      <c r="A177" t="s">
        <v>26</v>
      </c>
      <c r="B177">
        <v>2018</v>
      </c>
      <c r="C177">
        <v>3.7</v>
      </c>
      <c r="D177">
        <v>1.9</v>
      </c>
      <c r="E177">
        <v>2.5</v>
      </c>
    </row>
    <row r="178" spans="1:5" x14ac:dyDescent="0.25">
      <c r="A178" t="s">
        <v>27</v>
      </c>
      <c r="B178">
        <v>2018</v>
      </c>
      <c r="C178">
        <v>6.1</v>
      </c>
      <c r="D178">
        <v>4.3</v>
      </c>
      <c r="E178">
        <v>4.7</v>
      </c>
    </row>
    <row r="179" spans="1:5" x14ac:dyDescent="0.25">
      <c r="A179" t="s">
        <v>28</v>
      </c>
      <c r="B179">
        <v>2018</v>
      </c>
      <c r="C179">
        <v>3.5</v>
      </c>
      <c r="D179">
        <v>1.7</v>
      </c>
      <c r="E179">
        <v>2.2000000000000002</v>
      </c>
    </row>
    <row r="180" spans="1:5" x14ac:dyDescent="0.25">
      <c r="A180" t="s">
        <v>29</v>
      </c>
      <c r="B180">
        <v>2018</v>
      </c>
      <c r="C180">
        <v>4.0999999999999996</v>
      </c>
      <c r="D180">
        <v>2.4</v>
      </c>
      <c r="E180">
        <v>2.9</v>
      </c>
    </row>
    <row r="181" spans="1:5" x14ac:dyDescent="0.25">
      <c r="A181" t="s">
        <v>30</v>
      </c>
      <c r="B181">
        <v>2018</v>
      </c>
      <c r="C181">
        <v>3.3</v>
      </c>
      <c r="D181">
        <v>1.6</v>
      </c>
      <c r="E181">
        <v>2.1</v>
      </c>
    </row>
    <row r="182" spans="1:5" x14ac:dyDescent="0.25">
      <c r="A182" t="s">
        <v>31</v>
      </c>
      <c r="B182">
        <v>2018</v>
      </c>
      <c r="C182">
        <v>2.9</v>
      </c>
      <c r="D182">
        <v>1.1000000000000001</v>
      </c>
      <c r="E182">
        <v>1.6</v>
      </c>
    </row>
    <row r="183" spans="1:5" x14ac:dyDescent="0.25">
      <c r="A183" t="s">
        <v>32</v>
      </c>
      <c r="B183">
        <v>2018</v>
      </c>
      <c r="C183">
        <v>6.1</v>
      </c>
      <c r="D183">
        <v>4.4000000000000004</v>
      </c>
      <c r="E183">
        <v>4.9000000000000004</v>
      </c>
    </row>
    <row r="184" spans="1:5" x14ac:dyDescent="0.25">
      <c r="A184" t="s">
        <v>33</v>
      </c>
      <c r="B184">
        <v>2018</v>
      </c>
      <c r="C184">
        <v>3.2</v>
      </c>
      <c r="D184">
        <v>1.5</v>
      </c>
      <c r="E184">
        <v>2.1</v>
      </c>
    </row>
    <row r="185" spans="1:5" x14ac:dyDescent="0.25">
      <c r="A185" t="s">
        <v>34</v>
      </c>
      <c r="B185">
        <v>2018</v>
      </c>
      <c r="C185">
        <v>3.9</v>
      </c>
      <c r="D185">
        <v>2.1</v>
      </c>
      <c r="E185">
        <v>2.5</v>
      </c>
    </row>
    <row r="186" spans="1:5" x14ac:dyDescent="0.25">
      <c r="A186" t="s">
        <v>35</v>
      </c>
      <c r="B186">
        <v>2018</v>
      </c>
      <c r="C186">
        <v>5.7</v>
      </c>
      <c r="D186">
        <v>3.9</v>
      </c>
      <c r="E186">
        <v>4.4000000000000004</v>
      </c>
    </row>
    <row r="187" spans="1:5" x14ac:dyDescent="0.25">
      <c r="A187" t="s">
        <v>36</v>
      </c>
      <c r="B187">
        <v>2018</v>
      </c>
      <c r="C187">
        <v>3.2</v>
      </c>
      <c r="D187">
        <v>1.4</v>
      </c>
      <c r="E187">
        <v>2</v>
      </c>
    </row>
    <row r="188" spans="1:5" x14ac:dyDescent="0.25">
      <c r="A188" t="s">
        <v>37</v>
      </c>
      <c r="B188">
        <v>2018</v>
      </c>
      <c r="C188">
        <v>3.4</v>
      </c>
      <c r="D188">
        <v>1.7</v>
      </c>
      <c r="E188">
        <v>2.1</v>
      </c>
    </row>
    <row r="189" spans="1:5" x14ac:dyDescent="0.25">
      <c r="A189" t="s">
        <v>38</v>
      </c>
      <c r="B189">
        <v>2018</v>
      </c>
      <c r="C189">
        <v>2.5</v>
      </c>
      <c r="D189">
        <v>0.7</v>
      </c>
      <c r="E189">
        <v>1.3</v>
      </c>
    </row>
    <row r="190" spans="1:5" x14ac:dyDescent="0.25">
      <c r="A190" t="s">
        <v>39</v>
      </c>
      <c r="B190">
        <v>2018</v>
      </c>
      <c r="C190">
        <v>3.3</v>
      </c>
      <c r="D190">
        <v>1.5</v>
      </c>
      <c r="E190">
        <v>2.2000000000000002</v>
      </c>
    </row>
    <row r="191" spans="1:5" x14ac:dyDescent="0.25">
      <c r="A191" t="s">
        <v>40</v>
      </c>
      <c r="B191">
        <v>2018</v>
      </c>
      <c r="C191">
        <v>6.3</v>
      </c>
      <c r="D191">
        <v>4.5</v>
      </c>
      <c r="E191">
        <v>5.0999999999999996</v>
      </c>
    </row>
    <row r="192" spans="1:5" x14ac:dyDescent="0.25">
      <c r="A192" t="s">
        <v>41</v>
      </c>
      <c r="B192">
        <v>2018</v>
      </c>
      <c r="C192">
        <v>6.3</v>
      </c>
      <c r="D192">
        <v>4.5</v>
      </c>
      <c r="E192">
        <v>5.0999999999999996</v>
      </c>
    </row>
    <row r="193" spans="1:5" x14ac:dyDescent="0.25">
      <c r="A193" t="s">
        <v>42</v>
      </c>
      <c r="B193">
        <v>2018</v>
      </c>
      <c r="C193">
        <v>3.2</v>
      </c>
      <c r="D193">
        <v>1.4</v>
      </c>
      <c r="E193">
        <v>1.8</v>
      </c>
    </row>
    <row r="194" spans="1:5" x14ac:dyDescent="0.25">
      <c r="A194" t="s">
        <v>43</v>
      </c>
      <c r="B194">
        <v>2018</v>
      </c>
      <c r="C194">
        <v>3.4</v>
      </c>
      <c r="D194">
        <v>1.6</v>
      </c>
      <c r="E194">
        <v>2.1</v>
      </c>
    </row>
    <row r="195" spans="1:5" x14ac:dyDescent="0.25">
      <c r="A195" t="s">
        <v>44</v>
      </c>
      <c r="B195">
        <v>2018</v>
      </c>
      <c r="C195">
        <v>3.4</v>
      </c>
      <c r="D195">
        <v>1.6</v>
      </c>
      <c r="E195">
        <v>2.1</v>
      </c>
    </row>
    <row r="196" spans="1:5" x14ac:dyDescent="0.25">
      <c r="A196" t="s">
        <v>45</v>
      </c>
      <c r="B196">
        <v>2018</v>
      </c>
      <c r="C196">
        <v>5.9</v>
      </c>
      <c r="D196">
        <v>4.0999999999999996</v>
      </c>
      <c r="E196">
        <v>4.7</v>
      </c>
    </row>
    <row r="197" spans="1:5" x14ac:dyDescent="0.25">
      <c r="A197" t="s">
        <v>46</v>
      </c>
      <c r="B197">
        <v>2018</v>
      </c>
      <c r="C197">
        <v>4.3</v>
      </c>
      <c r="D197">
        <v>2.5</v>
      </c>
      <c r="E197">
        <v>3</v>
      </c>
    </row>
    <row r="198" spans="1:5" x14ac:dyDescent="0.25">
      <c r="A198" t="s">
        <v>47</v>
      </c>
      <c r="B198">
        <v>2018</v>
      </c>
      <c r="C198">
        <v>2.6</v>
      </c>
      <c r="D198">
        <v>0.9</v>
      </c>
      <c r="E198">
        <v>1.4</v>
      </c>
    </row>
    <row r="199" spans="1:5" x14ac:dyDescent="0.25">
      <c r="A199" t="s">
        <v>48</v>
      </c>
      <c r="B199">
        <v>2018</v>
      </c>
      <c r="C199">
        <v>4</v>
      </c>
      <c r="D199">
        <v>2.2000000000000002</v>
      </c>
      <c r="E199">
        <v>2.8</v>
      </c>
    </row>
    <row r="200" spans="1:5" x14ac:dyDescent="0.25">
      <c r="A200" t="s">
        <v>49</v>
      </c>
      <c r="B200">
        <v>2018</v>
      </c>
      <c r="C200">
        <v>5.0999999999999996</v>
      </c>
      <c r="D200">
        <v>3.4</v>
      </c>
      <c r="E200">
        <v>3.8</v>
      </c>
    </row>
    <row r="201" spans="1:5" x14ac:dyDescent="0.25">
      <c r="A201" t="s">
        <v>50</v>
      </c>
      <c r="B201">
        <v>2018</v>
      </c>
      <c r="C201">
        <v>5</v>
      </c>
      <c r="D201">
        <v>3.3</v>
      </c>
      <c r="E201">
        <v>3.9</v>
      </c>
    </row>
    <row r="202" spans="1:5" x14ac:dyDescent="0.25">
      <c r="A202" t="s">
        <v>51</v>
      </c>
      <c r="B202">
        <v>2018</v>
      </c>
      <c r="C202">
        <v>3.4</v>
      </c>
      <c r="D202">
        <v>1.7</v>
      </c>
      <c r="E202">
        <v>2.2000000000000002</v>
      </c>
    </row>
    <row r="203" spans="1:5" x14ac:dyDescent="0.25">
      <c r="A203" t="s">
        <v>52</v>
      </c>
      <c r="B203">
        <v>2018</v>
      </c>
      <c r="C203">
        <v>4</v>
      </c>
      <c r="D203">
        <v>2.2000000000000002</v>
      </c>
      <c r="E203">
        <v>2.8</v>
      </c>
    </row>
    <row r="204" spans="1:5" x14ac:dyDescent="0.25">
      <c r="A204" t="s">
        <v>53</v>
      </c>
      <c r="B204">
        <v>2018</v>
      </c>
      <c r="C204">
        <v>6.2</v>
      </c>
      <c r="D204">
        <v>4.4000000000000004</v>
      </c>
      <c r="E204">
        <v>4.9000000000000004</v>
      </c>
    </row>
    <row r="205" spans="1:5" x14ac:dyDescent="0.25">
      <c r="A205" t="s">
        <v>54</v>
      </c>
      <c r="B205">
        <v>2018</v>
      </c>
      <c r="C205">
        <v>5.5</v>
      </c>
      <c r="D205">
        <v>3.7</v>
      </c>
      <c r="E205">
        <v>4.2</v>
      </c>
    </row>
    <row r="206" spans="1:5" x14ac:dyDescent="0.25">
      <c r="A206" t="s">
        <v>55</v>
      </c>
      <c r="B206">
        <v>2018</v>
      </c>
      <c r="C206">
        <v>4.9000000000000004</v>
      </c>
      <c r="D206">
        <v>3.1</v>
      </c>
      <c r="E206">
        <v>3.7</v>
      </c>
    </row>
    <row r="207" spans="1:5" x14ac:dyDescent="0.25">
      <c r="A207" t="s">
        <v>56</v>
      </c>
      <c r="B207">
        <v>2018</v>
      </c>
      <c r="C207">
        <v>4.7</v>
      </c>
      <c r="D207">
        <v>2.9</v>
      </c>
      <c r="E207">
        <v>3.4</v>
      </c>
    </row>
    <row r="208" spans="1:5" x14ac:dyDescent="0.25">
      <c r="A208" t="s">
        <v>57</v>
      </c>
      <c r="B208">
        <v>2018</v>
      </c>
      <c r="C208">
        <v>5.7</v>
      </c>
      <c r="D208">
        <v>4</v>
      </c>
      <c r="E208">
        <v>4.4000000000000004</v>
      </c>
    </row>
    <row r="209" spans="1:5" x14ac:dyDescent="0.25">
      <c r="A209" t="s">
        <v>8</v>
      </c>
      <c r="B209">
        <v>2019</v>
      </c>
      <c r="C209">
        <v>1.1000000000000001</v>
      </c>
      <c r="D209">
        <v>1.2</v>
      </c>
      <c r="E209">
        <v>1.2</v>
      </c>
    </row>
    <row r="210" spans="1:5" x14ac:dyDescent="0.25">
      <c r="A210" t="s">
        <v>9</v>
      </c>
      <c r="B210">
        <v>2019</v>
      </c>
      <c r="C210">
        <v>0.6</v>
      </c>
      <c r="D210">
        <v>0.7</v>
      </c>
      <c r="E210">
        <v>0.7</v>
      </c>
    </row>
    <row r="211" spans="1:5" x14ac:dyDescent="0.25">
      <c r="A211" t="s">
        <v>10</v>
      </c>
      <c r="B211">
        <v>2019</v>
      </c>
      <c r="C211">
        <v>-0.2</v>
      </c>
      <c r="D211">
        <v>-0.1</v>
      </c>
      <c r="E211">
        <v>-0.1</v>
      </c>
    </row>
    <row r="212" spans="1:5" x14ac:dyDescent="0.25">
      <c r="A212" t="s">
        <v>11</v>
      </c>
      <c r="B212">
        <v>2019</v>
      </c>
      <c r="C212">
        <v>-2.2999999999999998</v>
      </c>
      <c r="D212">
        <v>-2.1</v>
      </c>
      <c r="E212">
        <v>-2.1</v>
      </c>
    </row>
    <row r="213" spans="1:5" x14ac:dyDescent="0.25">
      <c r="A213" t="s">
        <v>12</v>
      </c>
      <c r="B213">
        <v>2019</v>
      </c>
      <c r="C213">
        <v>-2.1</v>
      </c>
      <c r="D213">
        <v>-2</v>
      </c>
      <c r="E213">
        <v>-2</v>
      </c>
    </row>
    <row r="214" spans="1:5" x14ac:dyDescent="0.25">
      <c r="A214" t="s">
        <v>13</v>
      </c>
      <c r="B214">
        <v>2019</v>
      </c>
      <c r="C214">
        <v>-2.5</v>
      </c>
      <c r="D214">
        <v>-2.4</v>
      </c>
      <c r="E214">
        <v>-2.4</v>
      </c>
    </row>
    <row r="215" spans="1:5" x14ac:dyDescent="0.25">
      <c r="A215" t="s">
        <v>14</v>
      </c>
      <c r="B215">
        <v>2019</v>
      </c>
      <c r="C215">
        <v>-2.5</v>
      </c>
      <c r="D215">
        <v>-2.4</v>
      </c>
      <c r="E215">
        <v>-2.4</v>
      </c>
    </row>
    <row r="216" spans="1:5" x14ac:dyDescent="0.25">
      <c r="A216" t="s">
        <v>15</v>
      </c>
      <c r="B216">
        <v>2019</v>
      </c>
      <c r="C216">
        <v>-0.8</v>
      </c>
      <c r="D216">
        <v>-0.6</v>
      </c>
      <c r="E216">
        <v>-0.7</v>
      </c>
    </row>
    <row r="217" spans="1:5" x14ac:dyDescent="0.25">
      <c r="A217" t="s">
        <v>16</v>
      </c>
      <c r="B217">
        <v>2019</v>
      </c>
      <c r="C217">
        <v>-0.8</v>
      </c>
      <c r="D217">
        <v>-0.7</v>
      </c>
      <c r="E217">
        <v>-0.7</v>
      </c>
    </row>
    <row r="218" spans="1:5" x14ac:dyDescent="0.25">
      <c r="A218" t="s">
        <v>17</v>
      </c>
      <c r="B218">
        <v>2019</v>
      </c>
      <c r="C218">
        <v>-2</v>
      </c>
      <c r="D218">
        <v>-1.9</v>
      </c>
      <c r="E218">
        <v>-1.9</v>
      </c>
    </row>
    <row r="219" spans="1:5" x14ac:dyDescent="0.25">
      <c r="A219" t="s">
        <v>18</v>
      </c>
      <c r="B219">
        <v>2019</v>
      </c>
      <c r="C219">
        <v>-2.5</v>
      </c>
      <c r="D219">
        <v>-2.2999999999999998</v>
      </c>
      <c r="E219">
        <v>-2.4</v>
      </c>
    </row>
    <row r="220" spans="1:5" x14ac:dyDescent="0.25">
      <c r="A220" t="s">
        <v>19</v>
      </c>
      <c r="B220">
        <v>2019</v>
      </c>
      <c r="C220">
        <v>-0.2</v>
      </c>
      <c r="D220">
        <v>-0.1</v>
      </c>
      <c r="E220">
        <v>-0.1</v>
      </c>
    </row>
    <row r="221" spans="1:5" x14ac:dyDescent="0.25">
      <c r="A221" t="s">
        <v>20</v>
      </c>
      <c r="B221">
        <v>2019</v>
      </c>
      <c r="C221">
        <v>-0.2</v>
      </c>
      <c r="D221">
        <v>0</v>
      </c>
      <c r="E221">
        <v>0</v>
      </c>
    </row>
    <row r="222" spans="1:5" x14ac:dyDescent="0.25">
      <c r="A222" t="s">
        <v>21</v>
      </c>
      <c r="B222">
        <v>2019</v>
      </c>
      <c r="C222">
        <v>0.8</v>
      </c>
      <c r="D222">
        <v>0.9</v>
      </c>
      <c r="E222">
        <v>0.9</v>
      </c>
    </row>
    <row r="223" spans="1:5" x14ac:dyDescent="0.25">
      <c r="A223" t="s">
        <v>22</v>
      </c>
      <c r="B223">
        <v>2019</v>
      </c>
      <c r="C223">
        <v>0.7</v>
      </c>
      <c r="D223">
        <v>0.8</v>
      </c>
      <c r="E223">
        <v>0.8</v>
      </c>
    </row>
    <row r="224" spans="1:5" x14ac:dyDescent="0.25">
      <c r="A224" t="s">
        <v>23</v>
      </c>
      <c r="B224">
        <v>2019</v>
      </c>
      <c r="C224">
        <v>-0.8</v>
      </c>
      <c r="D224">
        <v>-0.7</v>
      </c>
      <c r="E224">
        <v>-0.7</v>
      </c>
    </row>
    <row r="225" spans="1:5" x14ac:dyDescent="0.25">
      <c r="A225" t="s">
        <v>24</v>
      </c>
      <c r="B225">
        <v>2019</v>
      </c>
      <c r="C225">
        <v>-2.6</v>
      </c>
      <c r="D225">
        <v>-2.5</v>
      </c>
      <c r="E225">
        <v>-2.5</v>
      </c>
    </row>
    <row r="226" spans="1:5" x14ac:dyDescent="0.25">
      <c r="A226" t="s">
        <v>25</v>
      </c>
      <c r="B226">
        <v>2019</v>
      </c>
      <c r="C226">
        <v>0.2</v>
      </c>
      <c r="D226">
        <v>0.3</v>
      </c>
      <c r="E226">
        <v>0.3</v>
      </c>
    </row>
    <row r="227" spans="1:5" x14ac:dyDescent="0.25">
      <c r="A227" t="s">
        <v>26</v>
      </c>
      <c r="B227">
        <v>2019</v>
      </c>
      <c r="C227">
        <v>0.8</v>
      </c>
      <c r="D227">
        <v>1</v>
      </c>
      <c r="E227">
        <v>1</v>
      </c>
    </row>
    <row r="228" spans="1:5" x14ac:dyDescent="0.25">
      <c r="A228" t="s">
        <v>27</v>
      </c>
      <c r="B228">
        <v>2019</v>
      </c>
      <c r="C228">
        <v>-0.3</v>
      </c>
      <c r="D228">
        <v>-0.2</v>
      </c>
      <c r="E228">
        <v>-0.2</v>
      </c>
    </row>
    <row r="229" spans="1:5" x14ac:dyDescent="0.25">
      <c r="A229" t="s">
        <v>28</v>
      </c>
      <c r="B229">
        <v>2019</v>
      </c>
      <c r="C229">
        <v>-0.1</v>
      </c>
      <c r="D229">
        <v>0</v>
      </c>
      <c r="E229">
        <v>0</v>
      </c>
    </row>
    <row r="230" spans="1:5" x14ac:dyDescent="0.25">
      <c r="A230" t="s">
        <v>29</v>
      </c>
      <c r="B230">
        <v>2019</v>
      </c>
      <c r="C230">
        <v>-0.1</v>
      </c>
      <c r="D230">
        <v>0</v>
      </c>
      <c r="E230">
        <v>0</v>
      </c>
    </row>
    <row r="231" spans="1:5" x14ac:dyDescent="0.25">
      <c r="A231" t="s">
        <v>30</v>
      </c>
      <c r="B231">
        <v>2019</v>
      </c>
      <c r="C231">
        <v>-2.6</v>
      </c>
      <c r="D231">
        <v>-2.5</v>
      </c>
      <c r="E231">
        <v>-2.5</v>
      </c>
    </row>
    <row r="232" spans="1:5" x14ac:dyDescent="0.25">
      <c r="A232" t="s">
        <v>31</v>
      </c>
      <c r="B232">
        <v>2019</v>
      </c>
      <c r="C232">
        <v>-0.8</v>
      </c>
      <c r="D232">
        <v>-0.7</v>
      </c>
      <c r="E232">
        <v>-0.7</v>
      </c>
    </row>
    <row r="233" spans="1:5" x14ac:dyDescent="0.25">
      <c r="A233" t="s">
        <v>32</v>
      </c>
      <c r="B233">
        <v>2019</v>
      </c>
      <c r="C233">
        <v>-1.4</v>
      </c>
      <c r="D233">
        <v>-1.3</v>
      </c>
      <c r="E233">
        <v>-1.3</v>
      </c>
    </row>
    <row r="234" spans="1:5" x14ac:dyDescent="0.25">
      <c r="A234" t="s">
        <v>33</v>
      </c>
      <c r="B234">
        <v>2019</v>
      </c>
      <c r="C234">
        <v>-2.2999999999999998</v>
      </c>
      <c r="D234">
        <v>-2.1</v>
      </c>
      <c r="E234">
        <v>-2.1</v>
      </c>
    </row>
    <row r="235" spans="1:5" x14ac:dyDescent="0.25">
      <c r="A235" t="s">
        <v>34</v>
      </c>
      <c r="B235">
        <v>2019</v>
      </c>
      <c r="C235">
        <v>-0.2</v>
      </c>
      <c r="D235">
        <v>-0.1</v>
      </c>
      <c r="E235">
        <v>-0.1</v>
      </c>
    </row>
    <row r="236" spans="1:5" x14ac:dyDescent="0.25">
      <c r="A236" t="s">
        <v>35</v>
      </c>
      <c r="B236">
        <v>2019</v>
      </c>
      <c r="C236">
        <v>-0.3</v>
      </c>
      <c r="D236">
        <v>-0.2</v>
      </c>
      <c r="E236">
        <v>-0.2</v>
      </c>
    </row>
    <row r="237" spans="1:5" x14ac:dyDescent="0.25">
      <c r="A237" t="s">
        <v>36</v>
      </c>
      <c r="B237">
        <v>2019</v>
      </c>
      <c r="C237">
        <v>-0.7</v>
      </c>
      <c r="D237">
        <v>-0.6</v>
      </c>
      <c r="E237">
        <v>-0.6</v>
      </c>
    </row>
    <row r="238" spans="1:5" x14ac:dyDescent="0.25">
      <c r="A238" t="s">
        <v>37</v>
      </c>
      <c r="B238">
        <v>2019</v>
      </c>
      <c r="C238">
        <v>0.6</v>
      </c>
      <c r="D238">
        <v>0.7</v>
      </c>
      <c r="E238">
        <v>0.7</v>
      </c>
    </row>
    <row r="239" spans="1:5" x14ac:dyDescent="0.25">
      <c r="A239" t="s">
        <v>38</v>
      </c>
      <c r="B239">
        <v>2019</v>
      </c>
      <c r="C239">
        <v>0.2</v>
      </c>
      <c r="D239">
        <v>0.4</v>
      </c>
      <c r="E239">
        <v>0.4</v>
      </c>
    </row>
    <row r="240" spans="1:5" x14ac:dyDescent="0.25">
      <c r="A240" t="s">
        <v>39</v>
      </c>
      <c r="B240">
        <v>2019</v>
      </c>
      <c r="C240">
        <v>-1</v>
      </c>
      <c r="D240">
        <v>-0.9</v>
      </c>
      <c r="E240">
        <v>-0.9</v>
      </c>
    </row>
    <row r="241" spans="1:5" x14ac:dyDescent="0.25">
      <c r="A241" t="s">
        <v>40</v>
      </c>
      <c r="B241">
        <v>2019</v>
      </c>
      <c r="C241">
        <v>0.1</v>
      </c>
      <c r="D241">
        <v>0.3</v>
      </c>
      <c r="E241">
        <v>0.2</v>
      </c>
    </row>
    <row r="242" spans="1:5" x14ac:dyDescent="0.25">
      <c r="A242" t="s">
        <v>41</v>
      </c>
      <c r="B242">
        <v>2019</v>
      </c>
      <c r="C242">
        <v>0.3</v>
      </c>
      <c r="D242">
        <v>0.5</v>
      </c>
      <c r="E242">
        <v>0.4</v>
      </c>
    </row>
    <row r="243" spans="1:5" x14ac:dyDescent="0.25">
      <c r="A243" t="s">
        <v>42</v>
      </c>
      <c r="B243">
        <v>2019</v>
      </c>
      <c r="C243">
        <v>0.5</v>
      </c>
      <c r="D243">
        <v>0.6</v>
      </c>
      <c r="E243">
        <v>0.6</v>
      </c>
    </row>
    <row r="244" spans="1:5" x14ac:dyDescent="0.25">
      <c r="A244" t="s">
        <v>43</v>
      </c>
      <c r="B244">
        <v>2019</v>
      </c>
      <c r="C244">
        <v>-0.2</v>
      </c>
      <c r="D244">
        <v>0</v>
      </c>
      <c r="E244">
        <v>-0.1</v>
      </c>
    </row>
    <row r="245" spans="1:5" x14ac:dyDescent="0.25">
      <c r="A245" t="s">
        <v>44</v>
      </c>
      <c r="B245">
        <v>2019</v>
      </c>
      <c r="C245">
        <v>-1.6</v>
      </c>
      <c r="D245">
        <v>-1.5</v>
      </c>
      <c r="E245">
        <v>-1.5</v>
      </c>
    </row>
    <row r="246" spans="1:5" x14ac:dyDescent="0.25">
      <c r="A246" t="s">
        <v>45</v>
      </c>
      <c r="B246">
        <v>2019</v>
      </c>
      <c r="C246">
        <v>-1.5</v>
      </c>
      <c r="D246">
        <v>-1.3</v>
      </c>
      <c r="E246">
        <v>-1.4</v>
      </c>
    </row>
    <row r="247" spans="1:5" x14ac:dyDescent="0.25">
      <c r="A247" t="s">
        <v>46</v>
      </c>
      <c r="B247">
        <v>2019</v>
      </c>
      <c r="C247">
        <v>-2.8</v>
      </c>
      <c r="D247">
        <v>-2.6</v>
      </c>
      <c r="E247">
        <v>-2.7</v>
      </c>
    </row>
    <row r="248" spans="1:5" x14ac:dyDescent="0.25">
      <c r="A248" t="s">
        <v>47</v>
      </c>
      <c r="B248">
        <v>2019</v>
      </c>
      <c r="C248">
        <v>-0.4</v>
      </c>
      <c r="D248">
        <v>-0.3</v>
      </c>
      <c r="E248">
        <v>-0.3</v>
      </c>
    </row>
    <row r="249" spans="1:5" x14ac:dyDescent="0.25">
      <c r="A249" t="s">
        <v>48</v>
      </c>
      <c r="B249">
        <v>2019</v>
      </c>
      <c r="C249">
        <v>-2.1</v>
      </c>
      <c r="D249">
        <v>-2</v>
      </c>
      <c r="E249">
        <v>-2</v>
      </c>
    </row>
    <row r="250" spans="1:5" x14ac:dyDescent="0.25">
      <c r="A250" t="s">
        <v>49</v>
      </c>
      <c r="B250">
        <v>2019</v>
      </c>
      <c r="C250">
        <v>-0.5</v>
      </c>
      <c r="D250">
        <v>-0.4</v>
      </c>
      <c r="E250">
        <v>-0.4</v>
      </c>
    </row>
    <row r="251" spans="1:5" x14ac:dyDescent="0.25">
      <c r="A251" t="s">
        <v>50</v>
      </c>
      <c r="B251">
        <v>2019</v>
      </c>
      <c r="C251">
        <v>-1.4</v>
      </c>
      <c r="D251">
        <v>-1.3</v>
      </c>
      <c r="E251">
        <v>-1.3</v>
      </c>
    </row>
    <row r="252" spans="1:5" x14ac:dyDescent="0.25">
      <c r="A252" t="s">
        <v>51</v>
      </c>
      <c r="B252">
        <v>2019</v>
      </c>
      <c r="C252">
        <v>1.1000000000000001</v>
      </c>
      <c r="D252">
        <v>1.2</v>
      </c>
      <c r="E252">
        <v>1.2</v>
      </c>
    </row>
    <row r="253" spans="1:5" x14ac:dyDescent="0.25">
      <c r="A253" t="s">
        <v>52</v>
      </c>
      <c r="B253">
        <v>2019</v>
      </c>
      <c r="C253">
        <v>-1.1000000000000001</v>
      </c>
      <c r="D253">
        <v>-1</v>
      </c>
      <c r="E253">
        <v>-1</v>
      </c>
    </row>
    <row r="254" spans="1:5" x14ac:dyDescent="0.25">
      <c r="A254" t="s">
        <v>53</v>
      </c>
      <c r="B254">
        <v>2019</v>
      </c>
      <c r="C254">
        <v>1.1000000000000001</v>
      </c>
      <c r="D254">
        <v>1.2</v>
      </c>
      <c r="E254">
        <v>1.2</v>
      </c>
    </row>
    <row r="255" spans="1:5" x14ac:dyDescent="0.25">
      <c r="A255" t="s">
        <v>54</v>
      </c>
      <c r="B255">
        <v>2019</v>
      </c>
      <c r="C255">
        <v>-0.4</v>
      </c>
      <c r="D255">
        <v>-0.2</v>
      </c>
      <c r="E255">
        <v>-0.3</v>
      </c>
    </row>
    <row r="256" spans="1:5" x14ac:dyDescent="0.25">
      <c r="A256" t="s">
        <v>55</v>
      </c>
      <c r="B256">
        <v>2019</v>
      </c>
      <c r="C256">
        <v>-1.7</v>
      </c>
      <c r="D256">
        <v>-1.6</v>
      </c>
      <c r="E256">
        <v>-1.6</v>
      </c>
    </row>
    <row r="257" spans="1:5" x14ac:dyDescent="0.25">
      <c r="A257" t="s">
        <v>56</v>
      </c>
      <c r="B257">
        <v>2019</v>
      </c>
      <c r="C257">
        <v>-0.4</v>
      </c>
      <c r="D257">
        <v>-0.3</v>
      </c>
      <c r="E257">
        <v>-0.3</v>
      </c>
    </row>
    <row r="258" spans="1:5" x14ac:dyDescent="0.25">
      <c r="A258" t="s">
        <v>57</v>
      </c>
      <c r="B258">
        <v>2019</v>
      </c>
      <c r="C258">
        <v>0.9</v>
      </c>
      <c r="D258">
        <v>1</v>
      </c>
      <c r="E258">
        <v>1</v>
      </c>
    </row>
    <row r="259" spans="1:5" x14ac:dyDescent="0.25">
      <c r="A259" t="s">
        <v>8</v>
      </c>
      <c r="B259">
        <v>2020</v>
      </c>
      <c r="C259">
        <v>1.2</v>
      </c>
      <c r="D259">
        <v>1</v>
      </c>
      <c r="E259">
        <v>1.1000000000000001</v>
      </c>
    </row>
    <row r="260" spans="1:5" x14ac:dyDescent="0.25">
      <c r="A260" t="s">
        <v>9</v>
      </c>
      <c r="B260">
        <v>2020</v>
      </c>
      <c r="C260">
        <v>1</v>
      </c>
      <c r="D260">
        <v>0.8</v>
      </c>
      <c r="E260">
        <v>0.9</v>
      </c>
    </row>
    <row r="261" spans="1:5" x14ac:dyDescent="0.25">
      <c r="A261" t="s">
        <v>10</v>
      </c>
      <c r="B261">
        <v>2020</v>
      </c>
      <c r="C261">
        <v>1.1000000000000001</v>
      </c>
      <c r="D261">
        <v>0.9</v>
      </c>
      <c r="E261">
        <v>1</v>
      </c>
    </row>
    <row r="262" spans="1:5" x14ac:dyDescent="0.25">
      <c r="A262" t="s">
        <v>11</v>
      </c>
      <c r="B262">
        <v>2020</v>
      </c>
      <c r="C262">
        <v>-1.2</v>
      </c>
      <c r="D262">
        <v>-1.3</v>
      </c>
      <c r="E262">
        <v>-1.3</v>
      </c>
    </row>
    <row r="263" spans="1:5" x14ac:dyDescent="0.25">
      <c r="A263" t="s">
        <v>12</v>
      </c>
      <c r="B263">
        <v>2020</v>
      </c>
      <c r="C263">
        <v>-0.3</v>
      </c>
      <c r="D263">
        <v>-0.5</v>
      </c>
      <c r="E263">
        <v>-0.5</v>
      </c>
    </row>
    <row r="264" spans="1:5" x14ac:dyDescent="0.25">
      <c r="A264" t="s">
        <v>13</v>
      </c>
      <c r="B264">
        <v>2020</v>
      </c>
      <c r="C264">
        <v>-1.1000000000000001</v>
      </c>
      <c r="D264">
        <v>-1.3</v>
      </c>
      <c r="E264">
        <v>-1.2</v>
      </c>
    </row>
    <row r="265" spans="1:5" x14ac:dyDescent="0.25">
      <c r="A265" t="s">
        <v>14</v>
      </c>
      <c r="B265">
        <v>2020</v>
      </c>
      <c r="C265">
        <v>1.4</v>
      </c>
      <c r="D265">
        <v>1.3</v>
      </c>
      <c r="E265">
        <v>1.3</v>
      </c>
    </row>
    <row r="266" spans="1:5" x14ac:dyDescent="0.25">
      <c r="A266" t="s">
        <v>15</v>
      </c>
      <c r="B266">
        <v>2020</v>
      </c>
      <c r="C266">
        <v>0.9</v>
      </c>
      <c r="D266">
        <v>0.7</v>
      </c>
      <c r="E266">
        <v>0.8</v>
      </c>
    </row>
    <row r="267" spans="1:5" x14ac:dyDescent="0.25">
      <c r="A267" t="s">
        <v>16</v>
      </c>
      <c r="B267">
        <v>2020</v>
      </c>
      <c r="C267">
        <v>1</v>
      </c>
      <c r="D267">
        <v>0.8</v>
      </c>
      <c r="E267">
        <v>0.9</v>
      </c>
    </row>
    <row r="268" spans="1:5" x14ac:dyDescent="0.25">
      <c r="A268" t="s">
        <v>17</v>
      </c>
      <c r="B268">
        <v>2020</v>
      </c>
      <c r="C268">
        <v>-0.4</v>
      </c>
      <c r="D268">
        <v>-0.5</v>
      </c>
      <c r="E268">
        <v>-0.5</v>
      </c>
    </row>
    <row r="269" spans="1:5" x14ac:dyDescent="0.25">
      <c r="A269" t="s">
        <v>18</v>
      </c>
      <c r="B269">
        <v>2020</v>
      </c>
      <c r="C269">
        <v>1.3</v>
      </c>
      <c r="D269">
        <v>1.1000000000000001</v>
      </c>
      <c r="E269">
        <v>1.2</v>
      </c>
    </row>
    <row r="270" spans="1:5" x14ac:dyDescent="0.25">
      <c r="A270" t="s">
        <v>19</v>
      </c>
      <c r="B270">
        <v>2020</v>
      </c>
      <c r="C270">
        <v>1.5</v>
      </c>
      <c r="D270">
        <v>1.3</v>
      </c>
      <c r="E270">
        <v>1.3</v>
      </c>
    </row>
    <row r="271" spans="1:5" x14ac:dyDescent="0.25">
      <c r="A271" t="s">
        <v>20</v>
      </c>
      <c r="B271">
        <v>2020</v>
      </c>
      <c r="C271">
        <v>0.1</v>
      </c>
      <c r="D271">
        <v>-0.1</v>
      </c>
      <c r="E271">
        <v>-0.1</v>
      </c>
    </row>
    <row r="272" spans="1:5" x14ac:dyDescent="0.25">
      <c r="A272" t="s">
        <v>21</v>
      </c>
      <c r="B272">
        <v>2020</v>
      </c>
      <c r="C272">
        <v>0</v>
      </c>
      <c r="D272">
        <v>-0.2</v>
      </c>
      <c r="E272">
        <v>-0.1</v>
      </c>
    </row>
    <row r="273" spans="1:5" x14ac:dyDescent="0.25">
      <c r="A273" t="s">
        <v>22</v>
      </c>
      <c r="B273">
        <v>2020</v>
      </c>
      <c r="C273">
        <v>-0.3</v>
      </c>
      <c r="D273">
        <v>-0.5</v>
      </c>
      <c r="E273">
        <v>-0.4</v>
      </c>
    </row>
    <row r="274" spans="1:5" x14ac:dyDescent="0.25">
      <c r="A274" t="s">
        <v>23</v>
      </c>
      <c r="B274">
        <v>2020</v>
      </c>
      <c r="C274">
        <v>2.1</v>
      </c>
      <c r="D274">
        <v>1.9</v>
      </c>
      <c r="E274">
        <v>2</v>
      </c>
    </row>
    <row r="275" spans="1:5" x14ac:dyDescent="0.25">
      <c r="A275" t="s">
        <v>24</v>
      </c>
      <c r="B275">
        <v>2020</v>
      </c>
      <c r="C275">
        <v>0</v>
      </c>
      <c r="D275">
        <v>-0.2</v>
      </c>
      <c r="E275">
        <v>-0.1</v>
      </c>
    </row>
    <row r="276" spans="1:5" x14ac:dyDescent="0.25">
      <c r="A276" t="s">
        <v>25</v>
      </c>
      <c r="B276">
        <v>2020</v>
      </c>
      <c r="C276">
        <v>0</v>
      </c>
      <c r="D276">
        <v>-0.2</v>
      </c>
      <c r="E276">
        <v>-0.1</v>
      </c>
    </row>
    <row r="277" spans="1:5" x14ac:dyDescent="0.25">
      <c r="A277" t="s">
        <v>26</v>
      </c>
      <c r="B277">
        <v>2020</v>
      </c>
      <c r="C277">
        <v>-0.1</v>
      </c>
      <c r="D277">
        <v>-0.2</v>
      </c>
      <c r="E277">
        <v>-0.2</v>
      </c>
    </row>
    <row r="278" spans="1:5" x14ac:dyDescent="0.25">
      <c r="A278" t="s">
        <v>27</v>
      </c>
      <c r="B278">
        <v>2020</v>
      </c>
      <c r="C278">
        <v>1.5</v>
      </c>
      <c r="D278">
        <v>1.3</v>
      </c>
      <c r="E278">
        <v>1.3</v>
      </c>
    </row>
    <row r="279" spans="1:5" x14ac:dyDescent="0.25">
      <c r="A279" t="s">
        <v>28</v>
      </c>
      <c r="B279">
        <v>2020</v>
      </c>
      <c r="C279">
        <v>0.7</v>
      </c>
      <c r="D279">
        <v>0.5</v>
      </c>
      <c r="E279">
        <v>0.5</v>
      </c>
    </row>
    <row r="280" spans="1:5" x14ac:dyDescent="0.25">
      <c r="A280" t="s">
        <v>29</v>
      </c>
      <c r="B280">
        <v>2020</v>
      </c>
      <c r="C280">
        <v>0.4</v>
      </c>
      <c r="D280">
        <v>0.3</v>
      </c>
      <c r="E280">
        <v>0.3</v>
      </c>
    </row>
    <row r="281" spans="1:5" x14ac:dyDescent="0.25">
      <c r="A281" t="s">
        <v>30</v>
      </c>
      <c r="B281">
        <v>2020</v>
      </c>
      <c r="C281">
        <v>-0.1</v>
      </c>
      <c r="D281">
        <v>-0.3</v>
      </c>
      <c r="E281">
        <v>-0.3</v>
      </c>
    </row>
    <row r="282" spans="1:5" x14ac:dyDescent="0.25">
      <c r="A282" t="s">
        <v>31</v>
      </c>
      <c r="B282">
        <v>2020</v>
      </c>
      <c r="C282">
        <v>0.4</v>
      </c>
      <c r="D282">
        <v>0.2</v>
      </c>
      <c r="E282">
        <v>0.3</v>
      </c>
    </row>
    <row r="283" spans="1:5" x14ac:dyDescent="0.25">
      <c r="A283" t="s">
        <v>32</v>
      </c>
      <c r="B283">
        <v>2020</v>
      </c>
      <c r="C283">
        <v>0.6</v>
      </c>
      <c r="D283">
        <v>0.4</v>
      </c>
      <c r="E283">
        <v>0.5</v>
      </c>
    </row>
    <row r="284" spans="1:5" x14ac:dyDescent="0.25">
      <c r="A284" t="s">
        <v>33</v>
      </c>
      <c r="B284">
        <v>2020</v>
      </c>
      <c r="C284">
        <v>-0.3</v>
      </c>
      <c r="D284">
        <v>-0.5</v>
      </c>
      <c r="E284">
        <v>-0.4</v>
      </c>
    </row>
    <row r="285" spans="1:5" x14ac:dyDescent="0.25">
      <c r="A285" t="s">
        <v>34</v>
      </c>
      <c r="B285">
        <v>2020</v>
      </c>
      <c r="C285">
        <v>1.6</v>
      </c>
      <c r="D285">
        <v>1.5</v>
      </c>
      <c r="E285">
        <v>1.5</v>
      </c>
    </row>
    <row r="286" spans="1:5" x14ac:dyDescent="0.25">
      <c r="A286" t="s">
        <v>35</v>
      </c>
      <c r="B286">
        <v>2020</v>
      </c>
      <c r="C286">
        <v>1.7</v>
      </c>
      <c r="D286">
        <v>1.5</v>
      </c>
      <c r="E286">
        <v>1.6</v>
      </c>
    </row>
    <row r="287" spans="1:5" x14ac:dyDescent="0.25">
      <c r="A287" t="s">
        <v>36</v>
      </c>
      <c r="B287">
        <v>2020</v>
      </c>
      <c r="C287">
        <v>-1.1000000000000001</v>
      </c>
      <c r="D287">
        <v>-1.3</v>
      </c>
      <c r="E287">
        <v>-1.2</v>
      </c>
    </row>
    <row r="288" spans="1:5" x14ac:dyDescent="0.25">
      <c r="A288" t="s">
        <v>37</v>
      </c>
      <c r="B288">
        <v>2020</v>
      </c>
      <c r="C288">
        <v>-0.9</v>
      </c>
      <c r="D288">
        <v>-1.1000000000000001</v>
      </c>
      <c r="E288">
        <v>-1</v>
      </c>
    </row>
    <row r="289" spans="1:5" x14ac:dyDescent="0.25">
      <c r="A289" t="s">
        <v>38</v>
      </c>
      <c r="B289">
        <v>2020</v>
      </c>
      <c r="C289">
        <v>2.6</v>
      </c>
      <c r="D289">
        <v>2.4</v>
      </c>
      <c r="E289">
        <v>2.5</v>
      </c>
    </row>
    <row r="290" spans="1:5" x14ac:dyDescent="0.25">
      <c r="A290" t="s">
        <v>39</v>
      </c>
      <c r="B290">
        <v>2020</v>
      </c>
      <c r="C290">
        <v>-0.4</v>
      </c>
      <c r="D290">
        <v>-0.5</v>
      </c>
      <c r="E290">
        <v>-0.5</v>
      </c>
    </row>
    <row r="291" spans="1:5" x14ac:dyDescent="0.25">
      <c r="A291" t="s">
        <v>40</v>
      </c>
      <c r="B291">
        <v>2020</v>
      </c>
      <c r="C291">
        <v>-0.9</v>
      </c>
      <c r="D291">
        <v>-1</v>
      </c>
      <c r="E291">
        <v>-1</v>
      </c>
    </row>
    <row r="292" spans="1:5" x14ac:dyDescent="0.25">
      <c r="A292" t="s">
        <v>41</v>
      </c>
      <c r="B292">
        <v>2020</v>
      </c>
      <c r="C292">
        <v>-0.6</v>
      </c>
      <c r="D292">
        <v>-0.8</v>
      </c>
      <c r="E292">
        <v>-0.7</v>
      </c>
    </row>
    <row r="293" spans="1:5" x14ac:dyDescent="0.25">
      <c r="A293" t="s">
        <v>42</v>
      </c>
      <c r="B293">
        <v>2020</v>
      </c>
      <c r="C293">
        <v>-0.6</v>
      </c>
      <c r="D293">
        <v>-0.8</v>
      </c>
      <c r="E293">
        <v>-0.7</v>
      </c>
    </row>
    <row r="294" spans="1:5" x14ac:dyDescent="0.25">
      <c r="A294" t="s">
        <v>43</v>
      </c>
      <c r="B294">
        <v>2020</v>
      </c>
      <c r="C294">
        <v>-0.8</v>
      </c>
      <c r="D294">
        <v>-1</v>
      </c>
      <c r="E294">
        <v>-0.9</v>
      </c>
    </row>
    <row r="295" spans="1:5" x14ac:dyDescent="0.25">
      <c r="A295" t="s">
        <v>44</v>
      </c>
      <c r="B295">
        <v>2020</v>
      </c>
      <c r="C295">
        <v>1.8</v>
      </c>
      <c r="D295">
        <v>1.7</v>
      </c>
      <c r="E295">
        <v>1.7</v>
      </c>
    </row>
    <row r="296" spans="1:5" x14ac:dyDescent="0.25">
      <c r="A296" t="s">
        <v>45</v>
      </c>
      <c r="B296">
        <v>2020</v>
      </c>
      <c r="C296">
        <v>2.6</v>
      </c>
      <c r="D296">
        <v>2.4</v>
      </c>
      <c r="E296">
        <v>2.5</v>
      </c>
    </row>
    <row r="297" spans="1:5" x14ac:dyDescent="0.25">
      <c r="A297" t="s">
        <v>46</v>
      </c>
      <c r="B297">
        <v>2020</v>
      </c>
      <c r="C297">
        <v>1.4</v>
      </c>
      <c r="D297">
        <v>1.2</v>
      </c>
      <c r="E297">
        <v>1.3</v>
      </c>
    </row>
    <row r="298" spans="1:5" x14ac:dyDescent="0.25">
      <c r="A298" t="s">
        <v>47</v>
      </c>
      <c r="B298">
        <v>2020</v>
      </c>
      <c r="C298">
        <v>1.1000000000000001</v>
      </c>
      <c r="D298">
        <v>0.9</v>
      </c>
      <c r="E298">
        <v>1</v>
      </c>
    </row>
    <row r="299" spans="1:5" x14ac:dyDescent="0.25">
      <c r="A299" t="s">
        <v>48</v>
      </c>
      <c r="B299">
        <v>2020</v>
      </c>
      <c r="C299">
        <v>-0.2</v>
      </c>
      <c r="D299">
        <v>-0.4</v>
      </c>
      <c r="E299">
        <v>-0.4</v>
      </c>
    </row>
    <row r="300" spans="1:5" x14ac:dyDescent="0.25">
      <c r="A300" t="s">
        <v>49</v>
      </c>
      <c r="B300">
        <v>2020</v>
      </c>
      <c r="C300">
        <v>-0.1</v>
      </c>
      <c r="D300">
        <v>-0.3</v>
      </c>
      <c r="E300">
        <v>-0.2</v>
      </c>
    </row>
    <row r="301" spans="1:5" x14ac:dyDescent="0.25">
      <c r="A301" t="s">
        <v>50</v>
      </c>
      <c r="B301">
        <v>2020</v>
      </c>
      <c r="C301">
        <v>-0.6</v>
      </c>
      <c r="D301">
        <v>-0.8</v>
      </c>
      <c r="E301">
        <v>-0.7</v>
      </c>
    </row>
    <row r="302" spans="1:5" x14ac:dyDescent="0.25">
      <c r="A302" t="s">
        <v>51</v>
      </c>
      <c r="B302">
        <v>2020</v>
      </c>
      <c r="C302">
        <v>2.8</v>
      </c>
      <c r="D302">
        <v>2.6</v>
      </c>
      <c r="E302">
        <v>2.7</v>
      </c>
    </row>
    <row r="303" spans="1:5" x14ac:dyDescent="0.25">
      <c r="A303" t="s">
        <v>52</v>
      </c>
      <c r="B303">
        <v>2020</v>
      </c>
      <c r="C303">
        <v>2.6</v>
      </c>
      <c r="D303">
        <v>2.4</v>
      </c>
      <c r="E303">
        <v>2.4</v>
      </c>
    </row>
    <row r="304" spans="1:5" x14ac:dyDescent="0.25">
      <c r="A304" t="s">
        <v>53</v>
      </c>
      <c r="B304">
        <v>2020</v>
      </c>
      <c r="C304">
        <v>2.2000000000000002</v>
      </c>
      <c r="D304">
        <v>2</v>
      </c>
      <c r="E304">
        <v>2.1</v>
      </c>
    </row>
    <row r="305" spans="1:5" x14ac:dyDescent="0.25">
      <c r="A305" t="s">
        <v>54</v>
      </c>
      <c r="B305">
        <v>2020</v>
      </c>
      <c r="C305">
        <v>0.4</v>
      </c>
      <c r="D305">
        <v>0.2</v>
      </c>
      <c r="E305">
        <v>0.2</v>
      </c>
    </row>
    <row r="306" spans="1:5" x14ac:dyDescent="0.25">
      <c r="A306" t="s">
        <v>55</v>
      </c>
      <c r="B306">
        <v>2020</v>
      </c>
      <c r="C306">
        <v>-0.5</v>
      </c>
      <c r="D306">
        <v>-0.7</v>
      </c>
      <c r="E306">
        <v>-0.6</v>
      </c>
    </row>
    <row r="307" spans="1:5" x14ac:dyDescent="0.25">
      <c r="A307" t="s">
        <v>56</v>
      </c>
      <c r="B307">
        <v>2020</v>
      </c>
      <c r="C307">
        <v>1.9</v>
      </c>
      <c r="D307">
        <v>1.8</v>
      </c>
      <c r="E307">
        <v>1.8</v>
      </c>
    </row>
    <row r="308" spans="1:5" x14ac:dyDescent="0.25">
      <c r="A308" t="s">
        <v>57</v>
      </c>
      <c r="B308">
        <v>2020</v>
      </c>
      <c r="C308">
        <v>1.6</v>
      </c>
      <c r="D308">
        <v>1.4</v>
      </c>
      <c r="E308">
        <v>1.5</v>
      </c>
    </row>
    <row r="309" spans="1:5" x14ac:dyDescent="0.25">
      <c r="A309" t="s">
        <v>8</v>
      </c>
      <c r="B309">
        <v>2021</v>
      </c>
      <c r="C309">
        <v>5.6</v>
      </c>
      <c r="D309">
        <v>5.2</v>
      </c>
      <c r="E309">
        <v>5.3</v>
      </c>
    </row>
    <row r="310" spans="1:5" x14ac:dyDescent="0.25">
      <c r="A310" t="s">
        <v>9</v>
      </c>
      <c r="B310">
        <v>2021</v>
      </c>
      <c r="C310">
        <v>7.9</v>
      </c>
      <c r="D310">
        <v>7.5</v>
      </c>
      <c r="E310">
        <v>7.6</v>
      </c>
    </row>
    <row r="311" spans="1:5" x14ac:dyDescent="0.25">
      <c r="A311" t="s">
        <v>10</v>
      </c>
      <c r="B311">
        <v>2021</v>
      </c>
      <c r="C311">
        <v>7.7</v>
      </c>
      <c r="D311">
        <v>7.3</v>
      </c>
      <c r="E311">
        <v>7.5</v>
      </c>
    </row>
    <row r="312" spans="1:5" x14ac:dyDescent="0.25">
      <c r="A312" t="s">
        <v>11</v>
      </c>
      <c r="B312">
        <v>2021</v>
      </c>
      <c r="C312">
        <v>9</v>
      </c>
      <c r="D312">
        <v>8.6</v>
      </c>
      <c r="E312">
        <v>8.6999999999999993</v>
      </c>
    </row>
    <row r="313" spans="1:5" x14ac:dyDescent="0.25">
      <c r="A313" t="s">
        <v>12</v>
      </c>
      <c r="B313">
        <v>2021</v>
      </c>
      <c r="C313">
        <v>8.3000000000000007</v>
      </c>
      <c r="D313">
        <v>7.9</v>
      </c>
      <c r="E313">
        <v>8</v>
      </c>
    </row>
    <row r="314" spans="1:5" x14ac:dyDescent="0.25">
      <c r="A314" t="s">
        <v>13</v>
      </c>
      <c r="B314">
        <v>2021</v>
      </c>
      <c r="C314">
        <v>7.7</v>
      </c>
      <c r="D314">
        <v>7.3</v>
      </c>
      <c r="E314">
        <v>7.4</v>
      </c>
    </row>
    <row r="315" spans="1:5" x14ac:dyDescent="0.25">
      <c r="A315" t="s">
        <v>14</v>
      </c>
      <c r="B315">
        <v>2021</v>
      </c>
      <c r="C315">
        <v>6</v>
      </c>
      <c r="D315">
        <v>5.6</v>
      </c>
      <c r="E315">
        <v>5.7</v>
      </c>
    </row>
    <row r="316" spans="1:5" x14ac:dyDescent="0.25">
      <c r="A316" t="s">
        <v>15</v>
      </c>
      <c r="B316">
        <v>2021</v>
      </c>
      <c r="C316">
        <v>7.2</v>
      </c>
      <c r="D316">
        <v>6.8</v>
      </c>
      <c r="E316">
        <v>6.9</v>
      </c>
    </row>
    <row r="317" spans="1:5" x14ac:dyDescent="0.25">
      <c r="A317" t="s">
        <v>16</v>
      </c>
      <c r="B317">
        <v>2021</v>
      </c>
      <c r="C317">
        <v>5.5</v>
      </c>
      <c r="D317">
        <v>5.2</v>
      </c>
      <c r="E317">
        <v>5.3</v>
      </c>
    </row>
    <row r="318" spans="1:5" x14ac:dyDescent="0.25">
      <c r="A318" t="s">
        <v>17</v>
      </c>
      <c r="B318">
        <v>2021</v>
      </c>
      <c r="C318">
        <v>7.6</v>
      </c>
      <c r="D318">
        <v>7.2</v>
      </c>
      <c r="E318">
        <v>7.3</v>
      </c>
    </row>
    <row r="319" spans="1:5" x14ac:dyDescent="0.25">
      <c r="A319" t="s">
        <v>18</v>
      </c>
      <c r="B319">
        <v>2021</v>
      </c>
      <c r="C319">
        <v>7.6</v>
      </c>
      <c r="D319">
        <v>7.2</v>
      </c>
      <c r="E319">
        <v>7.3</v>
      </c>
    </row>
    <row r="320" spans="1:5" x14ac:dyDescent="0.25">
      <c r="A320" t="s">
        <v>19</v>
      </c>
      <c r="B320">
        <v>2021</v>
      </c>
      <c r="C320">
        <v>6.3</v>
      </c>
      <c r="D320">
        <v>5.9</v>
      </c>
      <c r="E320">
        <v>6</v>
      </c>
    </row>
    <row r="321" spans="1:5" x14ac:dyDescent="0.25">
      <c r="A321" t="s">
        <v>20</v>
      </c>
      <c r="B321">
        <v>2021</v>
      </c>
      <c r="C321">
        <v>6.1</v>
      </c>
      <c r="D321">
        <v>5.7</v>
      </c>
      <c r="E321">
        <v>5.9</v>
      </c>
    </row>
    <row r="322" spans="1:5" x14ac:dyDescent="0.25">
      <c r="A322" t="s">
        <v>21</v>
      </c>
      <c r="B322">
        <v>2021</v>
      </c>
      <c r="C322">
        <v>6.8</v>
      </c>
      <c r="D322">
        <v>6.4</v>
      </c>
      <c r="E322">
        <v>6.5</v>
      </c>
    </row>
    <row r="323" spans="1:5" x14ac:dyDescent="0.25">
      <c r="A323" t="s">
        <v>22</v>
      </c>
      <c r="B323">
        <v>2021</v>
      </c>
      <c r="C323">
        <v>6.3</v>
      </c>
      <c r="D323">
        <v>5.9</v>
      </c>
      <c r="E323">
        <v>6</v>
      </c>
    </row>
    <row r="324" spans="1:5" x14ac:dyDescent="0.25">
      <c r="A324" t="s">
        <v>23</v>
      </c>
      <c r="B324">
        <v>2021</v>
      </c>
      <c r="C324">
        <v>7.4</v>
      </c>
      <c r="D324">
        <v>7.1</v>
      </c>
      <c r="E324">
        <v>7.2</v>
      </c>
    </row>
    <row r="325" spans="1:5" x14ac:dyDescent="0.25">
      <c r="A325" t="s">
        <v>24</v>
      </c>
      <c r="B325">
        <v>2021</v>
      </c>
      <c r="C325">
        <v>9.1999999999999993</v>
      </c>
      <c r="D325">
        <v>8.9</v>
      </c>
      <c r="E325">
        <v>9</v>
      </c>
    </row>
    <row r="326" spans="1:5" x14ac:dyDescent="0.25">
      <c r="A326" t="s">
        <v>25</v>
      </c>
      <c r="B326">
        <v>2021</v>
      </c>
      <c r="C326">
        <v>7</v>
      </c>
      <c r="D326">
        <v>6.6</v>
      </c>
      <c r="E326">
        <v>6.7</v>
      </c>
    </row>
    <row r="327" spans="1:5" x14ac:dyDescent="0.25">
      <c r="A327" t="s">
        <v>26</v>
      </c>
      <c r="B327">
        <v>2021</v>
      </c>
      <c r="C327">
        <v>7.9</v>
      </c>
      <c r="D327">
        <v>7.5</v>
      </c>
      <c r="E327">
        <v>7.6</v>
      </c>
    </row>
    <row r="328" spans="1:5" x14ac:dyDescent="0.25">
      <c r="A328" t="s">
        <v>27</v>
      </c>
      <c r="B328">
        <v>2021</v>
      </c>
      <c r="C328">
        <v>7.8</v>
      </c>
      <c r="D328">
        <v>7.4</v>
      </c>
      <c r="E328">
        <v>7.5</v>
      </c>
    </row>
    <row r="329" spans="1:5" x14ac:dyDescent="0.25">
      <c r="A329" t="s">
        <v>28</v>
      </c>
      <c r="B329">
        <v>2021</v>
      </c>
      <c r="C329">
        <v>6</v>
      </c>
      <c r="D329">
        <v>5.6</v>
      </c>
      <c r="E329">
        <v>5.8</v>
      </c>
    </row>
    <row r="330" spans="1:5" x14ac:dyDescent="0.25">
      <c r="A330" t="s">
        <v>29</v>
      </c>
      <c r="B330">
        <v>2021</v>
      </c>
      <c r="C330">
        <v>9.1</v>
      </c>
      <c r="D330">
        <v>8.6999999999999993</v>
      </c>
      <c r="E330">
        <v>8.9</v>
      </c>
    </row>
    <row r="331" spans="1:5" x14ac:dyDescent="0.25">
      <c r="A331" t="s">
        <v>30</v>
      </c>
      <c r="B331">
        <v>2021</v>
      </c>
      <c r="C331">
        <v>9</v>
      </c>
      <c r="D331">
        <v>8.6</v>
      </c>
      <c r="E331">
        <v>8.6999999999999993</v>
      </c>
    </row>
    <row r="332" spans="1:5" x14ac:dyDescent="0.25">
      <c r="A332" t="s">
        <v>31</v>
      </c>
      <c r="B332">
        <v>2021</v>
      </c>
      <c r="C332">
        <v>6.7</v>
      </c>
      <c r="D332">
        <v>6.3</v>
      </c>
      <c r="E332">
        <v>6.4</v>
      </c>
    </row>
    <row r="333" spans="1:5" x14ac:dyDescent="0.25">
      <c r="A333" t="s">
        <v>32</v>
      </c>
      <c r="B333">
        <v>2021</v>
      </c>
      <c r="C333">
        <v>5.7</v>
      </c>
      <c r="D333">
        <v>5.3</v>
      </c>
      <c r="E333">
        <v>5.5</v>
      </c>
    </row>
    <row r="334" spans="1:5" x14ac:dyDescent="0.25">
      <c r="A334" t="s">
        <v>33</v>
      </c>
      <c r="B334">
        <v>2021</v>
      </c>
      <c r="C334">
        <v>6.4</v>
      </c>
      <c r="D334">
        <v>6</v>
      </c>
      <c r="E334">
        <v>6.1</v>
      </c>
    </row>
    <row r="335" spans="1:5" x14ac:dyDescent="0.25">
      <c r="A335" t="s">
        <v>34</v>
      </c>
      <c r="B335">
        <v>2021</v>
      </c>
      <c r="C335">
        <v>8.8000000000000007</v>
      </c>
      <c r="D335">
        <v>8.4</v>
      </c>
      <c r="E335">
        <v>8.5</v>
      </c>
    </row>
    <row r="336" spans="1:5" x14ac:dyDescent="0.25">
      <c r="A336" t="s">
        <v>35</v>
      </c>
      <c r="B336">
        <v>2021</v>
      </c>
      <c r="C336">
        <v>8.4</v>
      </c>
      <c r="D336">
        <v>8.1</v>
      </c>
      <c r="E336">
        <v>8.1999999999999993</v>
      </c>
    </row>
    <row r="337" spans="1:5" x14ac:dyDescent="0.25">
      <c r="A337" t="s">
        <v>36</v>
      </c>
      <c r="B337">
        <v>2021</v>
      </c>
      <c r="C337">
        <v>7.5</v>
      </c>
      <c r="D337">
        <v>7.1</v>
      </c>
      <c r="E337">
        <v>7.3</v>
      </c>
    </row>
    <row r="338" spans="1:5" x14ac:dyDescent="0.25">
      <c r="A338" t="s">
        <v>37</v>
      </c>
      <c r="B338">
        <v>2021</v>
      </c>
      <c r="C338">
        <v>7.3</v>
      </c>
      <c r="D338">
        <v>6.9</v>
      </c>
      <c r="E338">
        <v>7</v>
      </c>
    </row>
    <row r="339" spans="1:5" x14ac:dyDescent="0.25">
      <c r="A339" t="s">
        <v>38</v>
      </c>
      <c r="B339">
        <v>2021</v>
      </c>
      <c r="C339">
        <v>9.5</v>
      </c>
      <c r="D339">
        <v>9.1</v>
      </c>
      <c r="E339">
        <v>9.3000000000000007</v>
      </c>
    </row>
    <row r="340" spans="1:5" x14ac:dyDescent="0.25">
      <c r="A340" t="s">
        <v>39</v>
      </c>
      <c r="B340">
        <v>2021</v>
      </c>
      <c r="C340">
        <v>5.6</v>
      </c>
      <c r="D340">
        <v>5.2</v>
      </c>
      <c r="E340">
        <v>5.3</v>
      </c>
    </row>
    <row r="341" spans="1:5" x14ac:dyDescent="0.25">
      <c r="A341" t="s">
        <v>40</v>
      </c>
      <c r="B341">
        <v>2021</v>
      </c>
      <c r="C341">
        <v>6.5</v>
      </c>
      <c r="D341">
        <v>6.1</v>
      </c>
      <c r="E341">
        <v>6.2</v>
      </c>
    </row>
    <row r="342" spans="1:5" x14ac:dyDescent="0.25">
      <c r="A342" t="s">
        <v>41</v>
      </c>
      <c r="B342">
        <v>2021</v>
      </c>
      <c r="C342">
        <v>6.5</v>
      </c>
      <c r="D342">
        <v>6.1</v>
      </c>
      <c r="E342">
        <v>6.3</v>
      </c>
    </row>
    <row r="343" spans="1:5" x14ac:dyDescent="0.25">
      <c r="A343" t="s">
        <v>42</v>
      </c>
      <c r="B343">
        <v>2021</v>
      </c>
      <c r="C343">
        <v>9.1</v>
      </c>
      <c r="D343">
        <v>8.6999999999999993</v>
      </c>
      <c r="E343">
        <v>8.8000000000000007</v>
      </c>
    </row>
    <row r="344" spans="1:5" x14ac:dyDescent="0.25">
      <c r="A344" t="s">
        <v>43</v>
      </c>
      <c r="B344">
        <v>2021</v>
      </c>
      <c r="C344">
        <v>5.7</v>
      </c>
      <c r="D344">
        <v>5.4</v>
      </c>
      <c r="E344">
        <v>5.5</v>
      </c>
    </row>
    <row r="345" spans="1:5" x14ac:dyDescent="0.25">
      <c r="A345" t="s">
        <v>44</v>
      </c>
      <c r="B345">
        <v>2021</v>
      </c>
      <c r="C345">
        <v>8</v>
      </c>
      <c r="D345">
        <v>7.6</v>
      </c>
      <c r="E345">
        <v>7.7</v>
      </c>
    </row>
    <row r="346" spans="1:5" x14ac:dyDescent="0.25">
      <c r="A346" t="s">
        <v>45</v>
      </c>
      <c r="B346">
        <v>2021</v>
      </c>
      <c r="C346">
        <v>8</v>
      </c>
      <c r="D346">
        <v>7.6</v>
      </c>
      <c r="E346">
        <v>7.7</v>
      </c>
    </row>
    <row r="347" spans="1:5" x14ac:dyDescent="0.25">
      <c r="A347" t="s">
        <v>46</v>
      </c>
      <c r="B347">
        <v>2021</v>
      </c>
      <c r="C347">
        <v>9.3000000000000007</v>
      </c>
      <c r="D347">
        <v>8.9</v>
      </c>
      <c r="E347">
        <v>9</v>
      </c>
    </row>
    <row r="348" spans="1:5" x14ac:dyDescent="0.25">
      <c r="A348" t="s">
        <v>47</v>
      </c>
      <c r="B348">
        <v>2021</v>
      </c>
      <c r="C348">
        <v>5.9</v>
      </c>
      <c r="D348">
        <v>5.6</v>
      </c>
      <c r="E348">
        <v>5.7</v>
      </c>
    </row>
    <row r="349" spans="1:5" x14ac:dyDescent="0.25">
      <c r="A349" t="s">
        <v>48</v>
      </c>
      <c r="B349">
        <v>2021</v>
      </c>
      <c r="C349">
        <v>9.4</v>
      </c>
      <c r="D349">
        <v>9</v>
      </c>
      <c r="E349">
        <v>9.1</v>
      </c>
    </row>
    <row r="350" spans="1:5" x14ac:dyDescent="0.25">
      <c r="A350" t="s">
        <v>49</v>
      </c>
      <c r="B350">
        <v>2021</v>
      </c>
      <c r="C350">
        <v>6.9</v>
      </c>
      <c r="D350">
        <v>6.5</v>
      </c>
      <c r="E350">
        <v>6.6</v>
      </c>
    </row>
    <row r="351" spans="1:5" x14ac:dyDescent="0.25">
      <c r="A351" t="s">
        <v>50</v>
      </c>
      <c r="B351">
        <v>2021</v>
      </c>
      <c r="C351">
        <v>7.6</v>
      </c>
      <c r="D351">
        <v>7.2</v>
      </c>
      <c r="E351">
        <v>7.3</v>
      </c>
    </row>
    <row r="352" spans="1:5" x14ac:dyDescent="0.25">
      <c r="A352" t="s">
        <v>51</v>
      </c>
      <c r="B352">
        <v>2021</v>
      </c>
      <c r="C352">
        <v>8.8000000000000007</v>
      </c>
      <c r="D352">
        <v>8.5</v>
      </c>
      <c r="E352">
        <v>8.6</v>
      </c>
    </row>
    <row r="353" spans="1:5" x14ac:dyDescent="0.25">
      <c r="A353" t="s">
        <v>52</v>
      </c>
      <c r="B353">
        <v>2021</v>
      </c>
      <c r="C353">
        <v>9.1999999999999993</v>
      </c>
      <c r="D353">
        <v>8.9</v>
      </c>
      <c r="E353">
        <v>9</v>
      </c>
    </row>
    <row r="354" spans="1:5" x14ac:dyDescent="0.25">
      <c r="A354" t="s">
        <v>53</v>
      </c>
      <c r="B354">
        <v>2021</v>
      </c>
      <c r="C354">
        <v>6.5</v>
      </c>
      <c r="D354">
        <v>6.1</v>
      </c>
      <c r="E354">
        <v>6.2</v>
      </c>
    </row>
    <row r="355" spans="1:5" x14ac:dyDescent="0.25">
      <c r="A355" t="s">
        <v>54</v>
      </c>
      <c r="B355">
        <v>2021</v>
      </c>
      <c r="C355">
        <v>7.5</v>
      </c>
      <c r="D355">
        <v>7.1</v>
      </c>
      <c r="E355">
        <v>7.2</v>
      </c>
    </row>
    <row r="356" spans="1:5" x14ac:dyDescent="0.25">
      <c r="A356" t="s">
        <v>55</v>
      </c>
      <c r="B356">
        <v>2021</v>
      </c>
      <c r="C356">
        <v>6.6</v>
      </c>
      <c r="D356">
        <v>6.2</v>
      </c>
      <c r="E356">
        <v>6.3</v>
      </c>
    </row>
    <row r="357" spans="1:5" x14ac:dyDescent="0.25">
      <c r="A357" t="s">
        <v>56</v>
      </c>
      <c r="B357">
        <v>2021</v>
      </c>
      <c r="C357">
        <v>6.4</v>
      </c>
      <c r="D357">
        <v>6.1</v>
      </c>
      <c r="E357">
        <v>6.2</v>
      </c>
    </row>
    <row r="358" spans="1:5" x14ac:dyDescent="0.25">
      <c r="A358" t="s">
        <v>57</v>
      </c>
      <c r="B358">
        <v>2021</v>
      </c>
      <c r="C358">
        <v>7.3</v>
      </c>
      <c r="D358">
        <v>6.9</v>
      </c>
      <c r="E358">
        <v>7</v>
      </c>
    </row>
    <row r="359" spans="1:5" x14ac:dyDescent="0.25">
      <c r="A359" t="s">
        <v>8</v>
      </c>
      <c r="B359">
        <v>2022</v>
      </c>
      <c r="C359">
        <v>10.1</v>
      </c>
      <c r="D359">
        <v>10</v>
      </c>
      <c r="E359">
        <v>10</v>
      </c>
    </row>
    <row r="360" spans="1:5" x14ac:dyDescent="0.25">
      <c r="A360" t="s">
        <v>9</v>
      </c>
      <c r="B360">
        <v>2022</v>
      </c>
      <c r="C360">
        <v>7.2</v>
      </c>
      <c r="D360">
        <v>7.1</v>
      </c>
      <c r="E360">
        <v>7.1</v>
      </c>
    </row>
    <row r="361" spans="1:5" x14ac:dyDescent="0.25">
      <c r="A361" t="s">
        <v>10</v>
      </c>
      <c r="B361">
        <v>2022</v>
      </c>
      <c r="C361">
        <v>8.5</v>
      </c>
      <c r="D361">
        <v>8.3000000000000007</v>
      </c>
      <c r="E361">
        <v>8.4</v>
      </c>
    </row>
    <row r="362" spans="1:5" x14ac:dyDescent="0.25">
      <c r="A362" t="s">
        <v>11</v>
      </c>
      <c r="B362">
        <v>2022</v>
      </c>
      <c r="C362">
        <v>6.2</v>
      </c>
      <c r="D362">
        <v>6.1</v>
      </c>
      <c r="E362">
        <v>6.1</v>
      </c>
    </row>
    <row r="363" spans="1:5" x14ac:dyDescent="0.25">
      <c r="A363" t="s">
        <v>12</v>
      </c>
      <c r="B363">
        <v>2022</v>
      </c>
      <c r="C363">
        <v>7.5</v>
      </c>
      <c r="D363">
        <v>7.3</v>
      </c>
      <c r="E363">
        <v>7.4</v>
      </c>
    </row>
    <row r="364" spans="1:5" x14ac:dyDescent="0.25">
      <c r="A364" t="s">
        <v>13</v>
      </c>
      <c r="B364">
        <v>2022</v>
      </c>
      <c r="C364">
        <v>9.5</v>
      </c>
      <c r="D364">
        <v>9.3000000000000007</v>
      </c>
      <c r="E364">
        <v>9.4</v>
      </c>
    </row>
    <row r="365" spans="1:5" x14ac:dyDescent="0.25">
      <c r="A365" t="s">
        <v>14</v>
      </c>
      <c r="B365">
        <v>2022</v>
      </c>
      <c r="C365">
        <v>6.3</v>
      </c>
      <c r="D365">
        <v>6.2</v>
      </c>
      <c r="E365">
        <v>6.2</v>
      </c>
    </row>
    <row r="366" spans="1:5" x14ac:dyDescent="0.25">
      <c r="A366" t="s">
        <v>15</v>
      </c>
      <c r="B366">
        <v>2022</v>
      </c>
      <c r="C366">
        <v>8</v>
      </c>
      <c r="D366">
        <v>7.9</v>
      </c>
      <c r="E366">
        <v>7.9</v>
      </c>
    </row>
    <row r="367" spans="1:5" x14ac:dyDescent="0.25">
      <c r="A367" t="s">
        <v>16</v>
      </c>
      <c r="B367">
        <v>2022</v>
      </c>
      <c r="C367">
        <v>8.3000000000000007</v>
      </c>
      <c r="D367">
        <v>8.1</v>
      </c>
      <c r="E367">
        <v>8.1</v>
      </c>
    </row>
    <row r="368" spans="1:5" x14ac:dyDescent="0.25">
      <c r="A368" t="s">
        <v>17</v>
      </c>
      <c r="B368">
        <v>2022</v>
      </c>
      <c r="C368">
        <v>6.4</v>
      </c>
      <c r="D368">
        <v>6.2</v>
      </c>
      <c r="E368">
        <v>6.3</v>
      </c>
    </row>
    <row r="369" spans="1:5" x14ac:dyDescent="0.25">
      <c r="A369" t="s">
        <v>18</v>
      </c>
      <c r="B369">
        <v>2022</v>
      </c>
      <c r="C369">
        <v>7.5</v>
      </c>
      <c r="D369">
        <v>7.4</v>
      </c>
      <c r="E369">
        <v>7.4</v>
      </c>
    </row>
    <row r="370" spans="1:5" x14ac:dyDescent="0.25">
      <c r="A370" t="s">
        <v>19</v>
      </c>
      <c r="B370">
        <v>2022</v>
      </c>
      <c r="C370">
        <v>6.7</v>
      </c>
      <c r="D370">
        <v>6.5</v>
      </c>
      <c r="E370">
        <v>6.5</v>
      </c>
    </row>
    <row r="371" spans="1:5" x14ac:dyDescent="0.25">
      <c r="A371" t="s">
        <v>20</v>
      </c>
      <c r="B371">
        <v>2022</v>
      </c>
      <c r="C371">
        <v>7.7</v>
      </c>
      <c r="D371">
        <v>7.6</v>
      </c>
      <c r="E371">
        <v>7.6</v>
      </c>
    </row>
    <row r="372" spans="1:5" x14ac:dyDescent="0.25">
      <c r="A372" t="s">
        <v>21</v>
      </c>
      <c r="B372">
        <v>2022</v>
      </c>
      <c r="C372">
        <v>10</v>
      </c>
      <c r="D372">
        <v>9.9</v>
      </c>
      <c r="E372">
        <v>9.9</v>
      </c>
    </row>
    <row r="373" spans="1:5" x14ac:dyDescent="0.25">
      <c r="A373" t="s">
        <v>22</v>
      </c>
      <c r="B373">
        <v>2022</v>
      </c>
      <c r="C373">
        <v>7.7</v>
      </c>
      <c r="D373">
        <v>7.6</v>
      </c>
      <c r="E373">
        <v>7.6</v>
      </c>
    </row>
    <row r="374" spans="1:5" x14ac:dyDescent="0.25">
      <c r="A374" t="s">
        <v>23</v>
      </c>
      <c r="B374">
        <v>2022</v>
      </c>
      <c r="C374">
        <v>6.5</v>
      </c>
      <c r="D374">
        <v>6.4</v>
      </c>
      <c r="E374">
        <v>6.4</v>
      </c>
    </row>
    <row r="375" spans="1:5" x14ac:dyDescent="0.25">
      <c r="A375" t="s">
        <v>24</v>
      </c>
      <c r="B375">
        <v>2022</v>
      </c>
      <c r="C375">
        <v>6.9</v>
      </c>
      <c r="D375">
        <v>6.7</v>
      </c>
      <c r="E375">
        <v>6.8</v>
      </c>
    </row>
    <row r="376" spans="1:5" x14ac:dyDescent="0.25">
      <c r="A376" t="s">
        <v>25</v>
      </c>
      <c r="B376">
        <v>2022</v>
      </c>
      <c r="C376">
        <v>6.5</v>
      </c>
      <c r="D376">
        <v>6.3</v>
      </c>
      <c r="E376">
        <v>6.3</v>
      </c>
    </row>
    <row r="377" spans="1:5" x14ac:dyDescent="0.25">
      <c r="A377" t="s">
        <v>26</v>
      </c>
      <c r="B377">
        <v>2022</v>
      </c>
      <c r="C377">
        <v>10.1</v>
      </c>
      <c r="D377">
        <v>10</v>
      </c>
      <c r="E377">
        <v>10</v>
      </c>
    </row>
    <row r="378" spans="1:5" x14ac:dyDescent="0.25">
      <c r="A378" t="s">
        <v>27</v>
      </c>
      <c r="B378">
        <v>2022</v>
      </c>
      <c r="C378">
        <v>7.2</v>
      </c>
      <c r="D378">
        <v>7.1</v>
      </c>
      <c r="E378">
        <v>7.1</v>
      </c>
    </row>
    <row r="379" spans="1:5" x14ac:dyDescent="0.25">
      <c r="A379" t="s">
        <v>28</v>
      </c>
      <c r="B379">
        <v>2022</v>
      </c>
      <c r="C379">
        <v>6.3</v>
      </c>
      <c r="D379">
        <v>6.2</v>
      </c>
      <c r="E379">
        <v>6.2</v>
      </c>
    </row>
    <row r="380" spans="1:5" x14ac:dyDescent="0.25">
      <c r="A380" t="s">
        <v>29</v>
      </c>
      <c r="B380">
        <v>2022</v>
      </c>
      <c r="C380">
        <v>8.9</v>
      </c>
      <c r="D380">
        <v>8.8000000000000007</v>
      </c>
      <c r="E380">
        <v>8.8000000000000007</v>
      </c>
    </row>
    <row r="381" spans="1:5" x14ac:dyDescent="0.25">
      <c r="A381" t="s">
        <v>30</v>
      </c>
      <c r="B381">
        <v>2022</v>
      </c>
      <c r="C381">
        <v>8.4</v>
      </c>
      <c r="D381">
        <v>8.3000000000000007</v>
      </c>
      <c r="E381">
        <v>8.3000000000000007</v>
      </c>
    </row>
    <row r="382" spans="1:5" x14ac:dyDescent="0.25">
      <c r="A382" t="s">
        <v>31</v>
      </c>
      <c r="B382">
        <v>2022</v>
      </c>
      <c r="C382">
        <v>8.9</v>
      </c>
      <c r="D382">
        <v>8.6999999999999993</v>
      </c>
      <c r="E382">
        <v>8.8000000000000007</v>
      </c>
    </row>
    <row r="383" spans="1:5" x14ac:dyDescent="0.25">
      <c r="A383" t="s">
        <v>32</v>
      </c>
      <c r="B383">
        <v>2022</v>
      </c>
      <c r="C383">
        <v>7.9</v>
      </c>
      <c r="D383">
        <v>7.8</v>
      </c>
      <c r="E383">
        <v>7.8</v>
      </c>
    </row>
    <row r="384" spans="1:5" x14ac:dyDescent="0.25">
      <c r="A384" t="s">
        <v>33</v>
      </c>
      <c r="B384">
        <v>2022</v>
      </c>
      <c r="C384">
        <v>7.6</v>
      </c>
      <c r="D384">
        <v>7.5</v>
      </c>
      <c r="E384">
        <v>7.5</v>
      </c>
    </row>
    <row r="385" spans="1:5" x14ac:dyDescent="0.25">
      <c r="A385" t="s">
        <v>34</v>
      </c>
      <c r="B385">
        <v>2022</v>
      </c>
      <c r="C385">
        <v>8</v>
      </c>
      <c r="D385">
        <v>7.9</v>
      </c>
      <c r="E385">
        <v>7.9</v>
      </c>
    </row>
    <row r="386" spans="1:5" x14ac:dyDescent="0.25">
      <c r="A386" t="s">
        <v>35</v>
      </c>
      <c r="B386">
        <v>2022</v>
      </c>
      <c r="C386">
        <v>8.6999999999999993</v>
      </c>
      <c r="D386">
        <v>8.5</v>
      </c>
      <c r="E386">
        <v>8.5</v>
      </c>
    </row>
    <row r="387" spans="1:5" x14ac:dyDescent="0.25">
      <c r="A387" t="s">
        <v>36</v>
      </c>
      <c r="B387">
        <v>2022</v>
      </c>
      <c r="C387">
        <v>6.7</v>
      </c>
      <c r="D387">
        <v>6.6</v>
      </c>
      <c r="E387">
        <v>6.6</v>
      </c>
    </row>
    <row r="388" spans="1:5" x14ac:dyDescent="0.25">
      <c r="A388" t="s">
        <v>37</v>
      </c>
      <c r="B388">
        <v>2022</v>
      </c>
      <c r="C388">
        <v>6.6</v>
      </c>
      <c r="D388">
        <v>6.5</v>
      </c>
      <c r="E388">
        <v>6.5</v>
      </c>
    </row>
    <row r="389" spans="1:5" x14ac:dyDescent="0.25">
      <c r="A389" t="s">
        <v>38</v>
      </c>
      <c r="B389">
        <v>2022</v>
      </c>
      <c r="C389">
        <v>10.199999999999999</v>
      </c>
      <c r="D389">
        <v>10</v>
      </c>
      <c r="E389">
        <v>10.1</v>
      </c>
    </row>
    <row r="390" spans="1:5" x14ac:dyDescent="0.25">
      <c r="A390" t="s">
        <v>39</v>
      </c>
      <c r="B390">
        <v>2022</v>
      </c>
      <c r="C390">
        <v>6.3</v>
      </c>
      <c r="D390">
        <v>6.2</v>
      </c>
      <c r="E390">
        <v>6.2</v>
      </c>
    </row>
    <row r="391" spans="1:5" x14ac:dyDescent="0.25">
      <c r="A391" t="s">
        <v>40</v>
      </c>
      <c r="B391">
        <v>2022</v>
      </c>
      <c r="C391">
        <v>9.8000000000000007</v>
      </c>
      <c r="D391">
        <v>9.6999999999999993</v>
      </c>
      <c r="E391">
        <v>9.6999999999999993</v>
      </c>
    </row>
    <row r="392" spans="1:5" x14ac:dyDescent="0.25">
      <c r="A392" t="s">
        <v>41</v>
      </c>
      <c r="B392">
        <v>2022</v>
      </c>
      <c r="C392">
        <v>7.6</v>
      </c>
      <c r="D392">
        <v>7.5</v>
      </c>
      <c r="E392">
        <v>7.5</v>
      </c>
    </row>
    <row r="393" spans="1:5" x14ac:dyDescent="0.25">
      <c r="A393" t="s">
        <v>42</v>
      </c>
      <c r="B393">
        <v>2022</v>
      </c>
      <c r="C393">
        <v>7.5</v>
      </c>
      <c r="D393">
        <v>7.3</v>
      </c>
      <c r="E393">
        <v>7.4</v>
      </c>
    </row>
    <row r="394" spans="1:5" x14ac:dyDescent="0.25">
      <c r="A394" t="s">
        <v>43</v>
      </c>
      <c r="B394">
        <v>2022</v>
      </c>
      <c r="C394">
        <v>8</v>
      </c>
      <c r="D394">
        <v>7.8</v>
      </c>
      <c r="E394">
        <v>7.9</v>
      </c>
    </row>
    <row r="395" spans="1:5" x14ac:dyDescent="0.25">
      <c r="A395" t="s">
        <v>44</v>
      </c>
      <c r="B395">
        <v>2022</v>
      </c>
      <c r="C395">
        <v>8.1</v>
      </c>
      <c r="D395">
        <v>7.9</v>
      </c>
      <c r="E395">
        <v>8</v>
      </c>
    </row>
    <row r="396" spans="1:5" x14ac:dyDescent="0.25">
      <c r="A396" t="s">
        <v>45</v>
      </c>
      <c r="B396">
        <v>2022</v>
      </c>
      <c r="C396">
        <v>8.6</v>
      </c>
      <c r="D396">
        <v>8.4</v>
      </c>
      <c r="E396">
        <v>8.5</v>
      </c>
    </row>
    <row r="397" spans="1:5" x14ac:dyDescent="0.25">
      <c r="A397" t="s">
        <v>46</v>
      </c>
      <c r="B397">
        <v>2022</v>
      </c>
      <c r="C397">
        <v>9.6</v>
      </c>
      <c r="D397">
        <v>9.5</v>
      </c>
      <c r="E397">
        <v>9.5</v>
      </c>
    </row>
    <row r="398" spans="1:5" x14ac:dyDescent="0.25">
      <c r="A398" t="s">
        <v>47</v>
      </c>
      <c r="B398">
        <v>2022</v>
      </c>
      <c r="C398">
        <v>9.9</v>
      </c>
      <c r="D398">
        <v>9.8000000000000007</v>
      </c>
      <c r="E398">
        <v>9.8000000000000007</v>
      </c>
    </row>
    <row r="399" spans="1:5" x14ac:dyDescent="0.25">
      <c r="A399" t="s">
        <v>48</v>
      </c>
      <c r="B399">
        <v>2022</v>
      </c>
      <c r="C399">
        <v>8.3000000000000007</v>
      </c>
      <c r="D399">
        <v>8.1</v>
      </c>
      <c r="E399">
        <v>8.1999999999999993</v>
      </c>
    </row>
    <row r="400" spans="1:5" x14ac:dyDescent="0.25">
      <c r="A400" t="s">
        <v>49</v>
      </c>
      <c r="B400">
        <v>2022</v>
      </c>
      <c r="C400">
        <v>9.6999999999999993</v>
      </c>
      <c r="D400">
        <v>9.6</v>
      </c>
      <c r="E400">
        <v>9.6</v>
      </c>
    </row>
    <row r="401" spans="1:5" x14ac:dyDescent="0.25">
      <c r="A401" t="s">
        <v>50</v>
      </c>
      <c r="B401">
        <v>2022</v>
      </c>
      <c r="C401">
        <v>9</v>
      </c>
      <c r="D401">
        <v>8.9</v>
      </c>
      <c r="E401">
        <v>8.9</v>
      </c>
    </row>
    <row r="402" spans="1:5" x14ac:dyDescent="0.25">
      <c r="A402" t="s">
        <v>51</v>
      </c>
      <c r="B402">
        <v>2022</v>
      </c>
      <c r="C402">
        <v>7.2</v>
      </c>
      <c r="D402">
        <v>7.1</v>
      </c>
      <c r="E402">
        <v>7.1</v>
      </c>
    </row>
    <row r="403" spans="1:5" x14ac:dyDescent="0.25">
      <c r="A403" t="s">
        <v>52</v>
      </c>
      <c r="B403">
        <v>2022</v>
      </c>
      <c r="C403">
        <v>7</v>
      </c>
      <c r="D403">
        <v>6.8</v>
      </c>
      <c r="E403">
        <v>6.8</v>
      </c>
    </row>
    <row r="404" spans="1:5" x14ac:dyDescent="0.25">
      <c r="A404" t="s">
        <v>53</v>
      </c>
      <c r="B404">
        <v>2022</v>
      </c>
      <c r="C404">
        <v>9.9</v>
      </c>
      <c r="D404">
        <v>9.6999999999999993</v>
      </c>
      <c r="E404">
        <v>9.6999999999999993</v>
      </c>
    </row>
    <row r="405" spans="1:5" x14ac:dyDescent="0.25">
      <c r="A405" t="s">
        <v>54</v>
      </c>
      <c r="B405">
        <v>2022</v>
      </c>
      <c r="C405">
        <v>9.1</v>
      </c>
      <c r="D405">
        <v>8.9</v>
      </c>
      <c r="E405">
        <v>9</v>
      </c>
    </row>
    <row r="406" spans="1:5" x14ac:dyDescent="0.25">
      <c r="A406" t="s">
        <v>55</v>
      </c>
      <c r="B406">
        <v>2022</v>
      </c>
      <c r="C406">
        <v>6.7</v>
      </c>
      <c r="D406">
        <v>6.6</v>
      </c>
      <c r="E406">
        <v>6.6</v>
      </c>
    </row>
    <row r="407" spans="1:5" x14ac:dyDescent="0.25">
      <c r="A407" t="s">
        <v>56</v>
      </c>
      <c r="B407">
        <v>2022</v>
      </c>
      <c r="C407">
        <v>9.5</v>
      </c>
      <c r="D407">
        <v>9.4</v>
      </c>
      <c r="E407">
        <v>9.4</v>
      </c>
    </row>
    <row r="408" spans="1:5" x14ac:dyDescent="0.25">
      <c r="A408" t="s">
        <v>57</v>
      </c>
      <c r="B408">
        <v>2022</v>
      </c>
      <c r="C408">
        <v>6.4</v>
      </c>
      <c r="D408">
        <v>6.3</v>
      </c>
      <c r="E408">
        <v>6.3</v>
      </c>
    </row>
    <row r="409" spans="1:5" x14ac:dyDescent="0.25">
      <c r="A409" t="s">
        <v>8</v>
      </c>
      <c r="B409">
        <v>2023</v>
      </c>
      <c r="C409">
        <v>-1</v>
      </c>
      <c r="D409">
        <v>-0.6</v>
      </c>
      <c r="E409">
        <v>-0.8</v>
      </c>
    </row>
    <row r="410" spans="1:5" x14ac:dyDescent="0.25">
      <c r="A410" t="s">
        <v>9</v>
      </c>
      <c r="B410">
        <v>2023</v>
      </c>
      <c r="C410">
        <v>-0.3</v>
      </c>
      <c r="D410">
        <v>0.1</v>
      </c>
      <c r="E410">
        <v>0</v>
      </c>
    </row>
    <row r="411" spans="1:5" x14ac:dyDescent="0.25">
      <c r="A411" t="s">
        <v>10</v>
      </c>
      <c r="B411">
        <v>2023</v>
      </c>
      <c r="C411">
        <v>0.6</v>
      </c>
      <c r="D411">
        <v>1</v>
      </c>
      <c r="E411">
        <v>0.8</v>
      </c>
    </row>
    <row r="412" spans="1:5" x14ac:dyDescent="0.25">
      <c r="A412" t="s">
        <v>11</v>
      </c>
      <c r="B412">
        <v>2023</v>
      </c>
      <c r="C412">
        <v>-0.4</v>
      </c>
      <c r="D412">
        <v>-0.1</v>
      </c>
      <c r="E412">
        <v>-0.2</v>
      </c>
    </row>
    <row r="413" spans="1:5" x14ac:dyDescent="0.25">
      <c r="A413" t="s">
        <v>12</v>
      </c>
      <c r="B413">
        <v>2023</v>
      </c>
      <c r="C413">
        <v>-2.2000000000000002</v>
      </c>
      <c r="D413">
        <v>-1.8</v>
      </c>
      <c r="E413">
        <v>-2</v>
      </c>
    </row>
    <row r="414" spans="1:5" x14ac:dyDescent="0.25">
      <c r="A414" t="s">
        <v>13</v>
      </c>
      <c r="B414">
        <v>2023</v>
      </c>
      <c r="C414">
        <v>-0.2</v>
      </c>
      <c r="D414">
        <v>0.2</v>
      </c>
      <c r="E414">
        <v>0.1</v>
      </c>
    </row>
    <row r="415" spans="1:5" x14ac:dyDescent="0.25">
      <c r="A415" t="s">
        <v>14</v>
      </c>
      <c r="B415">
        <v>2023</v>
      </c>
      <c r="C415">
        <v>-1.1000000000000001</v>
      </c>
      <c r="D415">
        <v>-0.8</v>
      </c>
      <c r="E415">
        <v>-0.9</v>
      </c>
    </row>
    <row r="416" spans="1:5" x14ac:dyDescent="0.25">
      <c r="A416" t="s">
        <v>15</v>
      </c>
      <c r="B416">
        <v>2023</v>
      </c>
      <c r="C416">
        <v>-1.9</v>
      </c>
      <c r="D416">
        <v>-1.6</v>
      </c>
      <c r="E416">
        <v>-1.7</v>
      </c>
    </row>
    <row r="417" spans="1:5" x14ac:dyDescent="0.25">
      <c r="A417" t="s">
        <v>16</v>
      </c>
      <c r="B417">
        <v>2023</v>
      </c>
      <c r="C417">
        <v>0.8</v>
      </c>
      <c r="D417">
        <v>1.2</v>
      </c>
      <c r="E417">
        <v>1</v>
      </c>
    </row>
    <row r="418" spans="1:5" x14ac:dyDescent="0.25">
      <c r="A418" t="s">
        <v>17</v>
      </c>
      <c r="B418">
        <v>2023</v>
      </c>
      <c r="C418">
        <v>-0.5</v>
      </c>
      <c r="D418">
        <v>-0.2</v>
      </c>
      <c r="E418">
        <v>-0.3</v>
      </c>
    </row>
    <row r="419" spans="1:5" x14ac:dyDescent="0.25">
      <c r="A419" t="s">
        <v>18</v>
      </c>
      <c r="B419">
        <v>2023</v>
      </c>
      <c r="C419">
        <v>-1.2</v>
      </c>
      <c r="D419">
        <v>-0.8</v>
      </c>
      <c r="E419">
        <v>-0.9</v>
      </c>
    </row>
    <row r="420" spans="1:5" x14ac:dyDescent="0.25">
      <c r="A420" t="s">
        <v>19</v>
      </c>
      <c r="B420">
        <v>2023</v>
      </c>
      <c r="C420">
        <v>-1.9</v>
      </c>
      <c r="D420">
        <v>-1.6</v>
      </c>
      <c r="E420">
        <v>-1.7</v>
      </c>
    </row>
    <row r="421" spans="1:5" x14ac:dyDescent="0.25">
      <c r="A421" t="s">
        <v>20</v>
      </c>
      <c r="B421">
        <v>2023</v>
      </c>
      <c r="C421">
        <v>-1.9</v>
      </c>
      <c r="D421">
        <v>-1.6</v>
      </c>
      <c r="E421">
        <v>-1.7</v>
      </c>
    </row>
    <row r="422" spans="1:5" x14ac:dyDescent="0.25">
      <c r="A422" t="s">
        <v>21</v>
      </c>
      <c r="B422">
        <v>2023</v>
      </c>
      <c r="C422">
        <v>-2.8</v>
      </c>
      <c r="D422">
        <v>-2.4</v>
      </c>
      <c r="E422">
        <v>-2.5</v>
      </c>
    </row>
    <row r="423" spans="1:5" x14ac:dyDescent="0.25">
      <c r="A423" t="s">
        <v>22</v>
      </c>
      <c r="B423">
        <v>2023</v>
      </c>
      <c r="C423">
        <v>0.6</v>
      </c>
      <c r="D423">
        <v>1</v>
      </c>
      <c r="E423">
        <v>0.9</v>
      </c>
    </row>
    <row r="424" spans="1:5" x14ac:dyDescent="0.25">
      <c r="A424" t="s">
        <v>23</v>
      </c>
      <c r="B424">
        <v>2023</v>
      </c>
      <c r="C424">
        <v>-0.1</v>
      </c>
      <c r="D424">
        <v>0.3</v>
      </c>
      <c r="E424">
        <v>0.2</v>
      </c>
    </row>
    <row r="425" spans="1:5" x14ac:dyDescent="0.25">
      <c r="A425" t="s">
        <v>24</v>
      </c>
      <c r="B425">
        <v>2023</v>
      </c>
      <c r="C425">
        <v>-1.1000000000000001</v>
      </c>
      <c r="D425">
        <v>-0.8</v>
      </c>
      <c r="E425">
        <v>-0.9</v>
      </c>
    </row>
    <row r="426" spans="1:5" x14ac:dyDescent="0.25">
      <c r="A426" t="s">
        <v>25</v>
      </c>
      <c r="B426">
        <v>2023</v>
      </c>
      <c r="C426">
        <v>-2.1</v>
      </c>
      <c r="D426">
        <v>-1.8</v>
      </c>
      <c r="E426">
        <v>-1.9</v>
      </c>
    </row>
    <row r="427" spans="1:5" x14ac:dyDescent="0.25">
      <c r="A427" t="s">
        <v>26</v>
      </c>
      <c r="B427">
        <v>2023</v>
      </c>
      <c r="C427">
        <v>-0.5</v>
      </c>
      <c r="D427">
        <v>-0.2</v>
      </c>
      <c r="E427">
        <v>-0.3</v>
      </c>
    </row>
    <row r="428" spans="1:5" x14ac:dyDescent="0.25">
      <c r="A428" t="s">
        <v>27</v>
      </c>
      <c r="B428">
        <v>2023</v>
      </c>
      <c r="C428">
        <v>0.6</v>
      </c>
      <c r="D428">
        <v>1</v>
      </c>
      <c r="E428">
        <v>0.8</v>
      </c>
    </row>
    <row r="429" spans="1:5" x14ac:dyDescent="0.25">
      <c r="A429" t="s">
        <v>28</v>
      </c>
      <c r="B429">
        <v>2023</v>
      </c>
      <c r="C429">
        <v>-2.1</v>
      </c>
      <c r="D429">
        <v>-1.8</v>
      </c>
      <c r="E429">
        <v>-1.9</v>
      </c>
    </row>
    <row r="430" spans="1:5" x14ac:dyDescent="0.25">
      <c r="A430" t="s">
        <v>29</v>
      </c>
      <c r="B430">
        <v>2023</v>
      </c>
      <c r="C430">
        <v>-2.2999999999999998</v>
      </c>
      <c r="D430">
        <v>-2</v>
      </c>
      <c r="E430">
        <v>-2.1</v>
      </c>
    </row>
    <row r="431" spans="1:5" x14ac:dyDescent="0.25">
      <c r="A431" t="s">
        <v>30</v>
      </c>
      <c r="B431">
        <v>2023</v>
      </c>
      <c r="C431">
        <v>-2.6</v>
      </c>
      <c r="D431">
        <v>-2.2000000000000002</v>
      </c>
      <c r="E431">
        <v>-2.2999999999999998</v>
      </c>
    </row>
    <row r="432" spans="1:5" x14ac:dyDescent="0.25">
      <c r="A432" t="s">
        <v>31</v>
      </c>
      <c r="B432">
        <v>2023</v>
      </c>
      <c r="C432">
        <v>0</v>
      </c>
      <c r="D432">
        <v>0.3</v>
      </c>
      <c r="E432">
        <v>0.2</v>
      </c>
    </row>
    <row r="433" spans="1:5" x14ac:dyDescent="0.25">
      <c r="A433" t="s">
        <v>32</v>
      </c>
      <c r="B433">
        <v>2023</v>
      </c>
      <c r="C433">
        <v>-0.2</v>
      </c>
      <c r="D433">
        <v>0.1</v>
      </c>
      <c r="E433">
        <v>0</v>
      </c>
    </row>
    <row r="434" spans="1:5" x14ac:dyDescent="0.25">
      <c r="A434" t="s">
        <v>33</v>
      </c>
      <c r="B434">
        <v>2023</v>
      </c>
      <c r="C434">
        <v>-0.3</v>
      </c>
      <c r="D434">
        <v>0.1</v>
      </c>
      <c r="E434">
        <v>-0.1</v>
      </c>
    </row>
    <row r="435" spans="1:5" x14ac:dyDescent="0.25">
      <c r="A435" t="s">
        <v>34</v>
      </c>
      <c r="B435">
        <v>2023</v>
      </c>
      <c r="C435">
        <v>-2.2999999999999998</v>
      </c>
      <c r="D435">
        <v>-2</v>
      </c>
      <c r="E435">
        <v>-2.1</v>
      </c>
    </row>
    <row r="436" spans="1:5" x14ac:dyDescent="0.25">
      <c r="A436" t="s">
        <v>35</v>
      </c>
      <c r="B436">
        <v>2023</v>
      </c>
      <c r="C436">
        <v>-0.1</v>
      </c>
      <c r="D436">
        <v>0.3</v>
      </c>
      <c r="E436">
        <v>0.2</v>
      </c>
    </row>
    <row r="437" spans="1:5" x14ac:dyDescent="0.25">
      <c r="A437" t="s">
        <v>36</v>
      </c>
      <c r="B437">
        <v>2023</v>
      </c>
      <c r="C437">
        <v>0.5</v>
      </c>
      <c r="D437">
        <v>0.9</v>
      </c>
      <c r="E437">
        <v>0.8</v>
      </c>
    </row>
    <row r="438" spans="1:5" x14ac:dyDescent="0.25">
      <c r="A438" t="s">
        <v>37</v>
      </c>
      <c r="B438">
        <v>2023</v>
      </c>
      <c r="C438">
        <v>-0.5</v>
      </c>
      <c r="D438">
        <v>-0.1</v>
      </c>
      <c r="E438">
        <v>-0.2</v>
      </c>
    </row>
    <row r="439" spans="1:5" x14ac:dyDescent="0.25">
      <c r="A439" t="s">
        <v>38</v>
      </c>
      <c r="B439">
        <v>2023</v>
      </c>
      <c r="C439">
        <v>0.2</v>
      </c>
      <c r="D439">
        <v>0.6</v>
      </c>
      <c r="E439">
        <v>0.5</v>
      </c>
    </row>
    <row r="440" spans="1:5" x14ac:dyDescent="0.25">
      <c r="A440" t="s">
        <v>39</v>
      </c>
      <c r="B440">
        <v>2023</v>
      </c>
      <c r="C440">
        <v>-1.5</v>
      </c>
      <c r="D440">
        <v>-1.2</v>
      </c>
      <c r="E440">
        <v>-1.3</v>
      </c>
    </row>
    <row r="441" spans="1:5" x14ac:dyDescent="0.25">
      <c r="A441" t="s">
        <v>40</v>
      </c>
      <c r="B441">
        <v>2023</v>
      </c>
      <c r="C441">
        <v>0.4</v>
      </c>
      <c r="D441">
        <v>0.7</v>
      </c>
      <c r="E441">
        <v>0.6</v>
      </c>
    </row>
    <row r="442" spans="1:5" x14ac:dyDescent="0.25">
      <c r="A442" t="s">
        <v>41</v>
      </c>
      <c r="B442">
        <v>2023</v>
      </c>
      <c r="C442">
        <v>0.3</v>
      </c>
      <c r="D442">
        <v>0.6</v>
      </c>
      <c r="E442">
        <v>0.5</v>
      </c>
    </row>
    <row r="443" spans="1:5" x14ac:dyDescent="0.25">
      <c r="A443" t="s">
        <v>42</v>
      </c>
      <c r="B443">
        <v>2023</v>
      </c>
      <c r="C443">
        <v>-0.9</v>
      </c>
      <c r="D443">
        <v>-0.5</v>
      </c>
      <c r="E443">
        <v>-0.6</v>
      </c>
    </row>
    <row r="444" spans="1:5" x14ac:dyDescent="0.25">
      <c r="A444" t="s">
        <v>43</v>
      </c>
      <c r="B444">
        <v>2023</v>
      </c>
      <c r="C444">
        <v>-0.5</v>
      </c>
      <c r="D444">
        <v>-0.1</v>
      </c>
      <c r="E444">
        <v>-0.2</v>
      </c>
    </row>
    <row r="445" spans="1:5" x14ac:dyDescent="0.25">
      <c r="A445" t="s">
        <v>44</v>
      </c>
      <c r="B445">
        <v>2023</v>
      </c>
      <c r="C445">
        <v>-0.2</v>
      </c>
      <c r="D445">
        <v>0.1</v>
      </c>
      <c r="E445">
        <v>0</v>
      </c>
    </row>
    <row r="446" spans="1:5" x14ac:dyDescent="0.25">
      <c r="A446" t="s">
        <v>45</v>
      </c>
      <c r="B446">
        <v>2023</v>
      </c>
      <c r="C446">
        <v>-1.1000000000000001</v>
      </c>
      <c r="D446">
        <v>-0.8</v>
      </c>
      <c r="E446">
        <v>-0.9</v>
      </c>
    </row>
    <row r="447" spans="1:5" x14ac:dyDescent="0.25">
      <c r="A447" t="s">
        <v>46</v>
      </c>
      <c r="B447">
        <v>2023</v>
      </c>
      <c r="C447">
        <v>0.3</v>
      </c>
      <c r="D447">
        <v>0.7</v>
      </c>
      <c r="E447">
        <v>0.6</v>
      </c>
    </row>
    <row r="448" spans="1:5" x14ac:dyDescent="0.25">
      <c r="A448" t="s">
        <v>47</v>
      </c>
      <c r="B448">
        <v>2023</v>
      </c>
      <c r="C448">
        <v>-0.1</v>
      </c>
      <c r="D448">
        <v>0.3</v>
      </c>
      <c r="E448">
        <v>0.1</v>
      </c>
    </row>
    <row r="449" spans="1:5" x14ac:dyDescent="0.25">
      <c r="A449" t="s">
        <v>48</v>
      </c>
      <c r="B449">
        <v>2023</v>
      </c>
      <c r="C449">
        <v>-2.1</v>
      </c>
      <c r="D449">
        <v>-1.8</v>
      </c>
      <c r="E449">
        <v>-1.9</v>
      </c>
    </row>
    <row r="450" spans="1:5" x14ac:dyDescent="0.25">
      <c r="A450" t="s">
        <v>49</v>
      </c>
      <c r="B450">
        <v>2023</v>
      </c>
      <c r="C450">
        <v>0</v>
      </c>
      <c r="D450">
        <v>0.3</v>
      </c>
      <c r="E450">
        <v>0.2</v>
      </c>
    </row>
    <row r="451" spans="1:5" x14ac:dyDescent="0.25">
      <c r="A451" t="s">
        <v>50</v>
      </c>
      <c r="B451">
        <v>2023</v>
      </c>
      <c r="C451">
        <v>-1</v>
      </c>
      <c r="D451">
        <v>-0.6</v>
      </c>
      <c r="E451">
        <v>-0.8</v>
      </c>
    </row>
    <row r="452" spans="1:5" x14ac:dyDescent="0.25">
      <c r="A452" t="s">
        <v>51</v>
      </c>
      <c r="B452">
        <v>2023</v>
      </c>
      <c r="C452">
        <v>-2.8</v>
      </c>
      <c r="D452">
        <v>-2.5</v>
      </c>
      <c r="E452">
        <v>-2.6</v>
      </c>
    </row>
    <row r="453" spans="1:5" x14ac:dyDescent="0.25">
      <c r="A453" t="s">
        <v>52</v>
      </c>
      <c r="B453">
        <v>2023</v>
      </c>
      <c r="C453">
        <v>0.6</v>
      </c>
      <c r="D453">
        <v>0.9</v>
      </c>
      <c r="E453">
        <v>0.8</v>
      </c>
    </row>
    <row r="454" spans="1:5" x14ac:dyDescent="0.25">
      <c r="A454" t="s">
        <v>53</v>
      </c>
      <c r="B454">
        <v>2023</v>
      </c>
      <c r="C454">
        <v>-0.4</v>
      </c>
      <c r="D454">
        <v>0</v>
      </c>
      <c r="E454">
        <v>-0.1</v>
      </c>
    </row>
    <row r="455" spans="1:5" x14ac:dyDescent="0.25">
      <c r="A455" t="s">
        <v>54</v>
      </c>
      <c r="B455">
        <v>2023</v>
      </c>
      <c r="C455">
        <v>-2.2999999999999998</v>
      </c>
      <c r="D455">
        <v>-1.9</v>
      </c>
      <c r="E455">
        <v>-2</v>
      </c>
    </row>
    <row r="456" spans="1:5" x14ac:dyDescent="0.25">
      <c r="A456" t="s">
        <v>55</v>
      </c>
      <c r="B456">
        <v>2023</v>
      </c>
      <c r="C456">
        <v>-2.2000000000000002</v>
      </c>
      <c r="D456">
        <v>-1.8</v>
      </c>
      <c r="E456">
        <v>-1.9</v>
      </c>
    </row>
    <row r="457" spans="1:5" x14ac:dyDescent="0.25">
      <c r="A457" t="s">
        <v>56</v>
      </c>
      <c r="B457">
        <v>2023</v>
      </c>
      <c r="C457">
        <v>-1.9</v>
      </c>
      <c r="D457">
        <v>-1.6</v>
      </c>
      <c r="E457">
        <v>-1.7</v>
      </c>
    </row>
    <row r="458" spans="1:5" x14ac:dyDescent="0.25">
      <c r="A458" t="s">
        <v>57</v>
      </c>
      <c r="B458">
        <v>2023</v>
      </c>
      <c r="C458">
        <v>-2.1</v>
      </c>
      <c r="D458">
        <v>-1.7</v>
      </c>
      <c r="E458">
        <v>-1.9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1D8C-12CA-4B90-950E-921BFEAE6971}">
  <dimension ref="A1:D40"/>
  <sheetViews>
    <sheetView workbookViewId="0">
      <selection activeCell="B20" sqref="B20"/>
    </sheetView>
  </sheetViews>
  <sheetFormatPr defaultRowHeight="15" x14ac:dyDescent="0.25"/>
  <sheetData>
    <row r="1" spans="1:4" x14ac:dyDescent="0.25">
      <c r="A1" t="str">
        <f>'WP by State &amp; Segment'!A1</f>
        <v>Insurer NJ Umbrella</v>
      </c>
    </row>
    <row r="2" spans="1:4" x14ac:dyDescent="0.25">
      <c r="A2" t="str">
        <f>'WP by State &amp; Segment'!A2</f>
        <v>Umbrella Excess of Loss reinsurance program</v>
      </c>
    </row>
    <row r="3" spans="1:4" x14ac:dyDescent="0.25">
      <c r="A3" t="str">
        <f>'WP by State &amp; Segment'!A3</f>
        <v>Effective: 04/01/2024</v>
      </c>
    </row>
    <row r="4" spans="1:4" x14ac:dyDescent="0.25">
      <c r="A4" t="str">
        <f>'WP by State &amp; Segment'!A4</f>
        <v>Data as of: 11/30/2023</v>
      </c>
    </row>
    <row r="6" spans="1:4" x14ac:dyDescent="0.25">
      <c r="A6" t="s">
        <v>80</v>
      </c>
    </row>
    <row r="7" spans="1:4" x14ac:dyDescent="0.25">
      <c r="A7" t="s">
        <v>82</v>
      </c>
      <c r="B7" t="s">
        <v>83</v>
      </c>
      <c r="C7" t="s">
        <v>84</v>
      </c>
    </row>
    <row r="8" spans="1:4" x14ac:dyDescent="0.25">
      <c r="A8">
        <f>1000000</f>
        <v>1000000</v>
      </c>
      <c r="B8" s="4">
        <f>B17+B26+B35</f>
        <v>31748747.870000001</v>
      </c>
      <c r="C8" s="4">
        <f>C17+C26+C35</f>
        <v>4982</v>
      </c>
      <c r="D8" s="3">
        <f>B8/SUM($B$8:$B$13)</f>
        <v>0.18893160335623593</v>
      </c>
    </row>
    <row r="9" spans="1:4" x14ac:dyDescent="0.25">
      <c r="A9">
        <f t="shared" ref="A9:A12" si="0">A8+1000000</f>
        <v>2000000</v>
      </c>
      <c r="B9" s="4">
        <f t="shared" ref="B9:C13" si="1">B18+B27+B36</f>
        <v>20764821.879999999</v>
      </c>
      <c r="C9" s="4">
        <f t="shared" si="1"/>
        <v>1728</v>
      </c>
      <c r="D9" s="3">
        <f t="shared" ref="D9:D13" si="2">B9/SUM($B$8:$B$13)</f>
        <v>0.12356805714854949</v>
      </c>
    </row>
    <row r="10" spans="1:4" x14ac:dyDescent="0.25">
      <c r="A10">
        <f t="shared" si="0"/>
        <v>3000000</v>
      </c>
      <c r="B10" s="4">
        <f t="shared" si="1"/>
        <v>12487992.390000001</v>
      </c>
      <c r="C10" s="4">
        <f t="shared" si="1"/>
        <v>686</v>
      </c>
      <c r="D10" s="3">
        <f t="shared" si="2"/>
        <v>7.4313999235623165E-2</v>
      </c>
    </row>
    <row r="11" spans="1:4" x14ac:dyDescent="0.25">
      <c r="A11">
        <f t="shared" si="0"/>
        <v>4000000</v>
      </c>
      <c r="B11" s="4">
        <f t="shared" si="1"/>
        <v>13731897.529999999</v>
      </c>
      <c r="C11" s="4">
        <f t="shared" si="1"/>
        <v>559</v>
      </c>
      <c r="D11" s="3">
        <f t="shared" si="2"/>
        <v>8.1716275176884179E-2</v>
      </c>
    </row>
    <row r="12" spans="1:4" x14ac:dyDescent="0.25">
      <c r="A12">
        <f t="shared" si="0"/>
        <v>5000000</v>
      </c>
      <c r="B12" s="4">
        <f t="shared" si="1"/>
        <v>58334519.049999997</v>
      </c>
      <c r="C12" s="4">
        <f t="shared" si="1"/>
        <v>2016</v>
      </c>
      <c r="D12" s="3">
        <f t="shared" si="2"/>
        <v>0.34713917727588756</v>
      </c>
    </row>
    <row r="13" spans="1:4" x14ac:dyDescent="0.25">
      <c r="A13">
        <v>10000000</v>
      </c>
      <c r="B13" s="4">
        <f t="shared" si="1"/>
        <v>30975627.039999999</v>
      </c>
      <c r="C13" s="4">
        <f t="shared" si="1"/>
        <v>500</v>
      </c>
      <c r="D13" s="3">
        <f t="shared" si="2"/>
        <v>0.18433088780681969</v>
      </c>
    </row>
    <row r="15" spans="1:4" x14ac:dyDescent="0.25">
      <c r="A15" t="s">
        <v>81</v>
      </c>
    </row>
    <row r="16" spans="1:4" x14ac:dyDescent="0.25">
      <c r="A16" t="s">
        <v>82</v>
      </c>
      <c r="B16" t="s">
        <v>83</v>
      </c>
      <c r="C16" t="s">
        <v>84</v>
      </c>
    </row>
    <row r="17" spans="1:4" x14ac:dyDescent="0.25">
      <c r="A17">
        <f>1000000</f>
        <v>1000000</v>
      </c>
      <c r="B17" s="4">
        <v>8325914.0099999998</v>
      </c>
      <c r="C17" s="4">
        <v>1478</v>
      </c>
      <c r="D17" s="3">
        <f>B17/SUM($B$17:$B$22)</f>
        <v>0.12436572063742543</v>
      </c>
    </row>
    <row r="18" spans="1:4" x14ac:dyDescent="0.25">
      <c r="A18">
        <f t="shared" ref="A18:A21" si="3">A17+1000000</f>
        <v>2000000</v>
      </c>
      <c r="B18" s="4">
        <v>8099422.5300000003</v>
      </c>
      <c r="C18" s="4">
        <v>711</v>
      </c>
      <c r="D18" s="3">
        <f t="shared" ref="D18:D22" si="4">B18/SUM($B$17:$B$22)</f>
        <v>0.12098257542422657</v>
      </c>
    </row>
    <row r="19" spans="1:4" x14ac:dyDescent="0.25">
      <c r="A19">
        <f t="shared" si="3"/>
        <v>3000000</v>
      </c>
      <c r="B19" s="4">
        <v>6171693.3499999996</v>
      </c>
      <c r="C19" s="4">
        <v>365</v>
      </c>
      <c r="D19" s="3">
        <f t="shared" si="4"/>
        <v>9.21877273899393E-2</v>
      </c>
    </row>
    <row r="20" spans="1:4" x14ac:dyDescent="0.25">
      <c r="A20">
        <f t="shared" si="3"/>
        <v>4000000</v>
      </c>
      <c r="B20" s="4">
        <v>5245013.1399999997</v>
      </c>
      <c r="C20" s="4">
        <v>230</v>
      </c>
      <c r="D20" s="3">
        <f t="shared" si="4"/>
        <v>7.83457333483637E-2</v>
      </c>
    </row>
    <row r="21" spans="1:4" x14ac:dyDescent="0.25">
      <c r="A21">
        <f t="shared" si="3"/>
        <v>5000000</v>
      </c>
      <c r="B21" s="4">
        <v>28219380.739999998</v>
      </c>
      <c r="C21" s="4">
        <v>992</v>
      </c>
      <c r="D21" s="3">
        <f t="shared" si="4"/>
        <v>0.42151812010751044</v>
      </c>
    </row>
    <row r="22" spans="1:4" x14ac:dyDescent="0.25">
      <c r="A22">
        <v>10000000</v>
      </c>
      <c r="B22" s="4">
        <v>10885593.199999999</v>
      </c>
      <c r="C22" s="4">
        <v>191</v>
      </c>
      <c r="D22" s="3">
        <f t="shared" si="4"/>
        <v>0.16260012309253455</v>
      </c>
    </row>
    <row r="24" spans="1:4" x14ac:dyDescent="0.25">
      <c r="A24" t="s">
        <v>86</v>
      </c>
    </row>
    <row r="25" spans="1:4" x14ac:dyDescent="0.25">
      <c r="A25" t="s">
        <v>82</v>
      </c>
      <c r="B25" t="s">
        <v>83</v>
      </c>
      <c r="C25" t="s">
        <v>84</v>
      </c>
    </row>
    <row r="26" spans="1:4" x14ac:dyDescent="0.25">
      <c r="A26">
        <v>1000000</v>
      </c>
      <c r="B26" s="4">
        <v>15752787.560000001</v>
      </c>
      <c r="C26" s="4">
        <v>2125</v>
      </c>
      <c r="D26" s="3">
        <f>B26/SUM($B$26:$B$31)</f>
        <v>0.32012528101629678</v>
      </c>
    </row>
    <row r="27" spans="1:4" x14ac:dyDescent="0.25">
      <c r="A27">
        <f t="shared" ref="A27:A30" si="5">A26+1000000</f>
        <v>2000000</v>
      </c>
      <c r="B27" s="4">
        <v>5523251.96</v>
      </c>
      <c r="C27" s="4">
        <v>372</v>
      </c>
      <c r="D27" s="3">
        <f t="shared" ref="D27:D31" si="6">B27/SUM($B$26:$B$31)</f>
        <v>0.11224252082904443</v>
      </c>
    </row>
    <row r="28" spans="1:4" x14ac:dyDescent="0.25">
      <c r="A28">
        <f t="shared" si="5"/>
        <v>3000000</v>
      </c>
      <c r="B28" s="4">
        <v>3644805.7</v>
      </c>
      <c r="C28" s="4">
        <v>161</v>
      </c>
      <c r="D28" s="3">
        <f t="shared" si="6"/>
        <v>7.4069077902444616E-2</v>
      </c>
    </row>
    <row r="29" spans="1:4" x14ac:dyDescent="0.25">
      <c r="A29">
        <f t="shared" si="5"/>
        <v>4000000</v>
      </c>
      <c r="B29" s="4">
        <v>4708399.74</v>
      </c>
      <c r="C29" s="4">
        <v>160</v>
      </c>
      <c r="D29" s="3">
        <f t="shared" si="6"/>
        <v>9.5683242357174195E-2</v>
      </c>
    </row>
    <row r="30" spans="1:4" x14ac:dyDescent="0.25">
      <c r="A30">
        <f t="shared" si="5"/>
        <v>5000000</v>
      </c>
      <c r="B30" s="4">
        <v>7292037.8300000001</v>
      </c>
      <c r="C30" s="4">
        <v>199</v>
      </c>
      <c r="D30" s="3">
        <f t="shared" si="6"/>
        <v>0.14818746527362026</v>
      </c>
    </row>
    <row r="31" spans="1:4" x14ac:dyDescent="0.25">
      <c r="A31">
        <v>10000000</v>
      </c>
      <c r="B31" s="4">
        <v>12286913.17</v>
      </c>
      <c r="C31" s="4">
        <v>166</v>
      </c>
      <c r="D31" s="3">
        <f t="shared" si="6"/>
        <v>0.24969241262141972</v>
      </c>
    </row>
    <row r="33" spans="1:4" x14ac:dyDescent="0.25">
      <c r="A33" t="s">
        <v>85</v>
      </c>
    </row>
    <row r="34" spans="1:4" x14ac:dyDescent="0.25">
      <c r="A34" t="s">
        <v>82</v>
      </c>
      <c r="B34" t="s">
        <v>83</v>
      </c>
      <c r="C34" t="s">
        <v>84</v>
      </c>
    </row>
    <row r="35" spans="1:4" x14ac:dyDescent="0.25">
      <c r="A35">
        <v>1000000</v>
      </c>
      <c r="B35" s="4">
        <v>7670046.2999999998</v>
      </c>
      <c r="C35" s="4">
        <v>1379</v>
      </c>
      <c r="D35" s="3">
        <f>B35/SUM($B$35:$B$40)</f>
        <v>0.14781815126032302</v>
      </c>
    </row>
    <row r="36" spans="1:4" x14ac:dyDescent="0.25">
      <c r="A36">
        <f t="shared" ref="A36:A39" si="7">A35+1000000</f>
        <v>2000000</v>
      </c>
      <c r="B36" s="4">
        <v>7142147.3899999997</v>
      </c>
      <c r="C36" s="4">
        <v>645</v>
      </c>
      <c r="D36" s="3">
        <f t="shared" ref="D36:D40" si="8">B36/SUM($B$35:$B$40)</f>
        <v>0.13764441333535904</v>
      </c>
    </row>
    <row r="37" spans="1:4" x14ac:dyDescent="0.25">
      <c r="A37">
        <f t="shared" si="7"/>
        <v>3000000</v>
      </c>
      <c r="B37" s="4">
        <v>2671493.34</v>
      </c>
      <c r="C37" s="4">
        <v>160</v>
      </c>
      <c r="D37" s="3">
        <f t="shared" si="8"/>
        <v>5.1485374556743617E-2</v>
      </c>
    </row>
    <row r="38" spans="1:4" x14ac:dyDescent="0.25">
      <c r="A38">
        <f t="shared" si="7"/>
        <v>4000000</v>
      </c>
      <c r="B38" s="4">
        <v>3778484.65</v>
      </c>
      <c r="C38" s="4">
        <v>169</v>
      </c>
      <c r="D38" s="3">
        <f t="shared" si="8"/>
        <v>7.2819458147013877E-2</v>
      </c>
    </row>
    <row r="39" spans="1:4" x14ac:dyDescent="0.25">
      <c r="A39">
        <f t="shared" si="7"/>
        <v>5000000</v>
      </c>
      <c r="B39" s="4">
        <v>22823100.48</v>
      </c>
      <c r="C39" s="4">
        <v>825</v>
      </c>
      <c r="D39" s="3">
        <f t="shared" si="8"/>
        <v>0.43984982450264881</v>
      </c>
    </row>
    <row r="40" spans="1:4" x14ac:dyDescent="0.25">
      <c r="A40">
        <v>10000000</v>
      </c>
      <c r="B40" s="4">
        <v>7803120.6699999999</v>
      </c>
      <c r="C40" s="4">
        <v>143</v>
      </c>
      <c r="D40" s="3">
        <f t="shared" si="8"/>
        <v>0.15038277819791168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</vt:lpstr>
      <vt:lpstr>WP by State &amp; Segment</vt:lpstr>
      <vt:lpstr>Large Claims (subline 1)</vt:lpstr>
      <vt:lpstr>Large Claims (subline 2)</vt:lpstr>
      <vt:lpstr>Large Claims (subline 3)</vt:lpstr>
      <vt:lpstr>Rate Change (subline 1)</vt:lpstr>
      <vt:lpstr>Rate Change (subline 2)</vt:lpstr>
      <vt:lpstr>Rate Change (subline 3)</vt:lpstr>
      <vt:lpstr>Limit Profile (in-force)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Tsz Chai Fung</dc:creator>
  <cp:lastModifiedBy>TSZ Chai Fung</cp:lastModifiedBy>
  <dcterms:created xsi:type="dcterms:W3CDTF">2015-06-05T18:17:20Z</dcterms:created>
  <dcterms:modified xsi:type="dcterms:W3CDTF">2026-02-10T21:04:45Z</dcterms:modified>
</cp:coreProperties>
</file>