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8D4CAA96-246D-4154-A00C-535EFC4FDCA3}" xr6:coauthVersionLast="47" xr6:coauthVersionMax="47" xr10:uidLastSave="{00000000-0000-0000-0000-000000000000}"/>
  <bookViews>
    <workbookView xWindow="-120" yWindow="-120" windowWidth="29040" windowHeight="15720" tabRatio="768" activeTab="1" xr2:uid="{00000000-000D-0000-FFFF-FFFF00000000}"/>
  </bookViews>
  <sheets>
    <sheet name="Intro" sheetId="1" r:id="rId1"/>
    <sheet name="WP by State &amp; Segment" sheetId="2" r:id="rId2"/>
    <sheet name="Large Claims (subline 1)" sheetId="3" r:id="rId3"/>
    <sheet name="Large Claims (subline 2)" sheetId="10" r:id="rId4"/>
    <sheet name="Rate Change (subline 1)" sheetId="5" r:id="rId5"/>
    <sheet name="Rate Change (subline 2)" sheetId="12" r:id="rId6"/>
    <sheet name="Limit Profile (in-force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G118" i="2"/>
  <c r="L63" i="2"/>
  <c r="D31" i="7"/>
  <c r="D30" i="7"/>
  <c r="D29" i="7"/>
  <c r="D28" i="7"/>
  <c r="D27" i="7"/>
  <c r="D26" i="7"/>
  <c r="D22" i="7"/>
  <c r="D21" i="7"/>
  <c r="D20" i="7"/>
  <c r="D19" i="7"/>
  <c r="D18" i="7"/>
  <c r="D17" i="7"/>
  <c r="G169" i="2"/>
  <c r="F169" i="2"/>
  <c r="E169" i="2"/>
  <c r="D169" i="2"/>
  <c r="C169" i="2"/>
  <c r="B169" i="2"/>
  <c r="L114" i="2"/>
  <c r="K114" i="2"/>
  <c r="J114" i="2"/>
  <c r="I114" i="2"/>
  <c r="H114" i="2"/>
  <c r="G114" i="2"/>
  <c r="F114" i="2"/>
  <c r="E114" i="2"/>
  <c r="D114" i="2"/>
  <c r="C114" i="2"/>
  <c r="B114" i="2"/>
  <c r="A4" i="12"/>
  <c r="A2" i="12"/>
  <c r="A1" i="12"/>
  <c r="A4" i="10"/>
  <c r="A2" i="10"/>
  <c r="A1" i="10"/>
  <c r="A3" i="2"/>
  <c r="A8" i="1"/>
  <c r="B6" i="1"/>
  <c r="K58" i="2" l="1"/>
  <c r="G58" i="2"/>
  <c r="H58" i="2"/>
  <c r="J58" i="2"/>
  <c r="I58" i="2"/>
  <c r="L58" i="2"/>
  <c r="A3" i="12"/>
  <c r="A3" i="10"/>
  <c r="D9" i="7"/>
  <c r="A8" i="7"/>
  <c r="A9" i="7" s="1"/>
  <c r="A10" i="7" s="1"/>
  <c r="A11" i="7" s="1"/>
  <c r="A12" i="7" s="1"/>
  <c r="A4" i="7"/>
  <c r="A3" i="7"/>
  <c r="A2" i="7"/>
  <c r="A1" i="7"/>
  <c r="A4" i="5"/>
  <c r="A3" i="5"/>
  <c r="A2" i="5"/>
  <c r="A1" i="5"/>
  <c r="A4" i="3"/>
  <c r="A3" i="3"/>
  <c r="A2" i="3"/>
  <c r="A1" i="3"/>
  <c r="A27" i="7"/>
  <c r="A28" i="7" s="1"/>
  <c r="A29" i="7" s="1"/>
  <c r="A30" i="7" s="1"/>
  <c r="A17" i="7"/>
  <c r="A18" i="7" s="1"/>
  <c r="A19" i="7" s="1"/>
  <c r="A20" i="7" s="1"/>
  <c r="A21" i="7" s="1"/>
  <c r="E118" i="2"/>
  <c r="F118" i="2" s="1"/>
  <c r="C63" i="2"/>
  <c r="D63" i="2" s="1"/>
  <c r="E63" i="2" s="1"/>
  <c r="F63" i="2" s="1"/>
  <c r="G63" i="2" s="1"/>
  <c r="H63" i="2" s="1"/>
  <c r="I63" i="2" s="1"/>
  <c r="J63" i="2" s="1"/>
  <c r="K63" i="2" s="1"/>
  <c r="D7" i="2"/>
  <c r="E7" i="2" s="1"/>
  <c r="F7" i="2" s="1"/>
  <c r="G7" i="2" s="1"/>
  <c r="H7" i="2" s="1"/>
  <c r="I7" i="2" s="1"/>
  <c r="J7" i="2" s="1"/>
  <c r="K7" i="2" s="1"/>
  <c r="C7" i="2"/>
  <c r="D13" i="7" l="1"/>
  <c r="D12" i="7"/>
  <c r="D8" i="7"/>
  <c r="D11" i="7"/>
  <c r="D10" i="7"/>
  <c r="C58" i="2"/>
  <c r="F58" i="2"/>
  <c r="D58" i="2"/>
  <c r="E58" i="2"/>
  <c r="B58" i="2"/>
</calcChain>
</file>

<file path=xl/sharedStrings.xml><?xml version="1.0" encoding="utf-8"?>
<sst xmlns="http://schemas.openxmlformats.org/spreadsheetml/2006/main" count="4968" uniqueCount="2203">
  <si>
    <t>In recent years we have already seen meaningful improvements such as:</t>
  </si>
  <si>
    <t>Umbrella XOL Structure</t>
  </si>
  <si>
    <t>Retention &amp; Limit:</t>
  </si>
  <si>
    <t>Insurer NJ Umbrella</t>
  </si>
  <si>
    <t>Umbrella Excess of Loss reinsurance program</t>
  </si>
  <si>
    <t>Combined Umbrella Historical Written premium by state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</si>
  <si>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</si>
  <si>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</si>
  <si>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</si>
  <si>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</si>
  <si>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</si>
  <si>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</si>
  <si>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</si>
  <si>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</si>
  <si>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</si>
  <si>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</si>
  <si>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</si>
  <si>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</si>
  <si>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</si>
  <si>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</si>
  <si>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</si>
  <si>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</si>
  <si>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</si>
  <si>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</si>
  <si>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</si>
  <si>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</si>
  <si>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</si>
  <si>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</si>
  <si>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</si>
  <si>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</si>
  <si>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</si>
  <si>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</si>
  <si>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</si>
  <si>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</si>
  <si>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</si>
  <si>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</si>
  <si>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</si>
  <si>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</si>
  <si>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</si>
  <si>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</si>
  <si>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</si>
  <si>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</si>
  <si>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</si>
  <si>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</si>
  <si>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</si>
  <si>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</si>
  <si>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</si>
  <si>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</si>
  <si>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</si>
  <si>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</si>
  <si>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</si>
  <si>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</si>
  <si>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</si>
  <si>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</si>
  <si>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</si>
  <si>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</si>
  <si>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</si>
  <si>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Total</t>
  </si>
  <si>
    <t>(1) Premium is by Calendar Year unless stated</t>
  </si>
  <si>
    <t>Legacy Subline1 Historical Written Premium by State</t>
  </si>
  <si>
    <t>subline2 Historical Written Premium by State</t>
  </si>
  <si>
    <t>Claim Number</t>
  </si>
  <si>
    <t>Policy Number</t>
  </si>
  <si>
    <t>Company Name</t>
  </si>
  <si>
    <t>Claim Status</t>
  </si>
  <si>
    <t>Policy Eff Date</t>
  </si>
  <si>
    <t>Loss State</t>
  </si>
  <si>
    <t>Umbrella Limit</t>
  </si>
  <si>
    <t>Accident Date</t>
  </si>
  <si>
    <t>Accident Year</t>
  </si>
  <si>
    <t>ANO</t>
  </si>
  <si>
    <t>DCC</t>
  </si>
  <si>
    <t>Paid Loss</t>
  </si>
  <si>
    <t>Reserve Change</t>
  </si>
  <si>
    <t>Total Incurred</t>
  </si>
  <si>
    <t>Describtion</t>
  </si>
  <si>
    <t>combined inforce limit profile</t>
  </si>
  <si>
    <t>legacy subline 1 inforce limit profile</t>
  </si>
  <si>
    <t>limit</t>
  </si>
  <si>
    <t>inforce premium</t>
  </si>
  <si>
    <t>policy count</t>
  </si>
  <si>
    <t>subline 2 inforce limit profile</t>
  </si>
  <si>
    <t>From</t>
  </si>
  <si>
    <t>To</t>
  </si>
  <si>
    <t xml:space="preserve">Term: </t>
  </si>
  <si>
    <t>Basis:</t>
  </si>
  <si>
    <t>Subline1 Claims - Risks Attaching</t>
  </si>
  <si>
    <t>Subline2 Claims - Risks Attaching</t>
  </si>
  <si>
    <t>Subline1 Historical Rate Action by State &amp; Product</t>
  </si>
  <si>
    <t>Year</t>
  </si>
  <si>
    <t>Rate change (%)</t>
  </si>
  <si>
    <t>Subline2 Historical Rate Action by State &amp; Product</t>
  </si>
  <si>
    <t>Reinstatements:</t>
  </si>
  <si>
    <t>Sublines</t>
  </si>
  <si>
    <t>Subline 1</t>
  </si>
  <si>
    <t>Subline 2</t>
  </si>
  <si>
    <t>C1--00635</t>
  </si>
  <si>
    <t>P19-1-00792</t>
  </si>
  <si>
    <t>17-1-00280</t>
  </si>
  <si>
    <t>Closed</t>
  </si>
  <si>
    <t>Punitive damages sought; prior incidents documented</t>
  </si>
  <si>
    <t>C1--00646</t>
  </si>
  <si>
    <t>P20-1-00093</t>
  </si>
  <si>
    <t>16-1-00010</t>
  </si>
  <si>
    <t>Catastrophic burn injury; long hospitalization</t>
  </si>
  <si>
    <t>C1--00648</t>
  </si>
  <si>
    <t>P19-1-00696</t>
  </si>
  <si>
    <t>17-1-00233</t>
  </si>
  <si>
    <t>C1--00650</t>
  </si>
  <si>
    <t>P19-1-02019</t>
  </si>
  <si>
    <t>15-1-01610</t>
  </si>
  <si>
    <t>Venue unfavorable; nuclear verdict risk flagged</t>
  </si>
  <si>
    <t>C1--00651</t>
  </si>
  <si>
    <t>P19-1-00980</t>
  </si>
  <si>
    <t>19-1-00147</t>
  </si>
  <si>
    <t>Sexual assault claim; negligent security alleged</t>
  </si>
  <si>
    <t>C1--00652</t>
  </si>
  <si>
    <t>P19-1-02970</t>
  </si>
  <si>
    <t>15-1-02391</t>
  </si>
  <si>
    <t>Global resolution; umbrella exhausted; final settlement</t>
  </si>
  <si>
    <t>C1--00656</t>
  </si>
  <si>
    <t>P19-1-01213</t>
  </si>
  <si>
    <t>17-1-00408</t>
  </si>
  <si>
    <t>C1--00658</t>
  </si>
  <si>
    <t>P19-1-02373</t>
  </si>
  <si>
    <t>17-1-00762</t>
  </si>
  <si>
    <t>Wrongful death; negligent security; punitive demand</t>
  </si>
  <si>
    <t>C1--00659</t>
  </si>
  <si>
    <t>P19-1-02269</t>
  </si>
  <si>
    <t>17-1-00730</t>
  </si>
  <si>
    <t>Mass illness allegation; class counsel engaged</t>
  </si>
  <si>
    <t>C1--00660</t>
  </si>
  <si>
    <t>P19-1-01555</t>
  </si>
  <si>
    <t>15-1-01250</t>
  </si>
  <si>
    <t>Chemical spill; exposure claim; medical monitoring</t>
  </si>
  <si>
    <t>C1--00661</t>
  </si>
  <si>
    <t>P19-1-00355</t>
  </si>
  <si>
    <t>15-1-00269</t>
  </si>
  <si>
    <t>C1--00664</t>
  </si>
  <si>
    <t>P20-1-00292</t>
  </si>
  <si>
    <t>19-1-00038</t>
  </si>
  <si>
    <t>C1--00665</t>
  </si>
  <si>
    <t>P19-1-01349</t>
  </si>
  <si>
    <t>15-1-01062</t>
  </si>
  <si>
    <t>Explosive incident; mass casualty; media attention</t>
  </si>
  <si>
    <t>C1--00666</t>
  </si>
  <si>
    <t>C1--00667</t>
  </si>
  <si>
    <t>P19-1-00584</t>
  </si>
  <si>
    <t>15-1-00468</t>
  </si>
  <si>
    <t>C1--00668</t>
  </si>
  <si>
    <t>P19-1-02501</t>
  </si>
  <si>
    <t>15-1-02016</t>
  </si>
  <si>
    <t>Catastrophic TBI; guardianship; large lien stack</t>
  </si>
  <si>
    <t>C1--00670</t>
  </si>
  <si>
    <t>P19-1-01076</t>
  </si>
  <si>
    <t>15-1-00831</t>
  </si>
  <si>
    <t>C1--00675</t>
  </si>
  <si>
    <t>P19-1-01876</t>
  </si>
  <si>
    <t>15-1-01497</t>
  </si>
  <si>
    <t>Umbrella fully exposed; global settlement talks</t>
  </si>
  <si>
    <t>C1--00677</t>
  </si>
  <si>
    <t>P19-1-02414</t>
  </si>
  <si>
    <t>16-1-00283</t>
  </si>
  <si>
    <t>Excess layers exposed; structured settlement discussed</t>
  </si>
  <si>
    <t>C1--00679</t>
  </si>
  <si>
    <t>P20-1-00201</t>
  </si>
  <si>
    <t>20-1-00066</t>
  </si>
  <si>
    <t>C1--00685</t>
  </si>
  <si>
    <t>P19-1-02635</t>
  </si>
  <si>
    <t>15-1-02126</t>
  </si>
  <si>
    <t>Spinal injury claim; permanent impairment alleged</t>
  </si>
  <si>
    <t>C1--00690</t>
  </si>
  <si>
    <t>P20-1-00595</t>
  </si>
  <si>
    <t>19-1-00071</t>
  </si>
  <si>
    <t>Severe TBI allegation; future care demanded</t>
  </si>
  <si>
    <t>C1--00691</t>
  </si>
  <si>
    <t>P19-1-02075</t>
  </si>
  <si>
    <t>19-1-00319</t>
  </si>
  <si>
    <t>Time-limit demand; umbrella exposure; mediation pending</t>
  </si>
  <si>
    <t>C1--00693</t>
  </si>
  <si>
    <t>P20-1-00624</t>
  </si>
  <si>
    <t>20-1-00192</t>
  </si>
  <si>
    <t>Falling sign; head injury; hospitalization</t>
  </si>
  <si>
    <t>C1--00694</t>
  </si>
  <si>
    <t>P19-1-02195</t>
  </si>
  <si>
    <t>15-1-01741</t>
  </si>
  <si>
    <t>Nuclear verdict risk; punitive plus catastrophics</t>
  </si>
  <si>
    <t>C1--00695</t>
  </si>
  <si>
    <t>P19-1-01538</t>
  </si>
  <si>
    <t>17-1-00493</t>
  </si>
  <si>
    <t>C1--00696</t>
  </si>
  <si>
    <t>P19-1-02710</t>
  </si>
  <si>
    <t>15-1-02190</t>
  </si>
  <si>
    <t>Permanent paralysis claim; life care plan presented</t>
  </si>
  <si>
    <t>C1--00700</t>
  </si>
  <si>
    <t>P19-1-01244</t>
  </si>
  <si>
    <t>19-1-00193</t>
  </si>
  <si>
    <t>C1--00701</t>
  </si>
  <si>
    <t>P19-1-03002</t>
  </si>
  <si>
    <t>15-1-02424</t>
  </si>
  <si>
    <t>Premises fire; severe burns; liability alleged</t>
  </si>
  <si>
    <t>C1--00702</t>
  </si>
  <si>
    <t>P19-1-02221</t>
  </si>
  <si>
    <t>17-1-00711</t>
  </si>
  <si>
    <t>C1--00713</t>
  </si>
  <si>
    <t>P19-1-01068</t>
  </si>
  <si>
    <t>19-1-00162</t>
  </si>
  <si>
    <t>C1--00716</t>
  </si>
  <si>
    <t>P20-1-00748</t>
  </si>
  <si>
    <t>20-1-00237</t>
  </si>
  <si>
    <t>Multiple wrongful deaths; consolidated actions filed</t>
  </si>
  <si>
    <t>C1--00719</t>
  </si>
  <si>
    <t>P19-1-02958</t>
  </si>
  <si>
    <t>15-1-02384</t>
  </si>
  <si>
    <t>C1--00720</t>
  </si>
  <si>
    <t>P19-1-02284</t>
  </si>
  <si>
    <t>15-1-01830</t>
  </si>
  <si>
    <t>C1--00721</t>
  </si>
  <si>
    <t>P19-1-01088</t>
  </si>
  <si>
    <t>15-1-00844</t>
  </si>
  <si>
    <t>C1--00722</t>
  </si>
  <si>
    <t>P19-1-02057</t>
  </si>
  <si>
    <t>17-1-00660</t>
  </si>
  <si>
    <t>C1--00723</t>
  </si>
  <si>
    <t>P19-1-01772</t>
  </si>
  <si>
    <t>19-1-00266</t>
  </si>
  <si>
    <t>C1--00726</t>
  </si>
  <si>
    <t>P20-1-01294</t>
  </si>
  <si>
    <t>15-1-00821</t>
  </si>
  <si>
    <t>Multiple claimants; event liability; defense escalating</t>
  </si>
  <si>
    <t>C1--00727</t>
  </si>
  <si>
    <t>P19-1-01775</t>
  </si>
  <si>
    <t>17-1-00578</t>
  </si>
  <si>
    <t>C1--00728</t>
  </si>
  <si>
    <t>P19-1-01699</t>
  </si>
  <si>
    <t>17-1-00545</t>
  </si>
  <si>
    <t>Amputation allegation; equipment guarding failure claimed</t>
  </si>
  <si>
    <t>C1--00729</t>
  </si>
  <si>
    <t>P20-1-00554</t>
  </si>
  <si>
    <t>20-1-00168</t>
  </si>
  <si>
    <t>C1--00731</t>
  </si>
  <si>
    <t>P20-1-01469</t>
  </si>
  <si>
    <t>20-1-00463</t>
  </si>
  <si>
    <t>C1--00732</t>
  </si>
  <si>
    <t>P19-1-02633</t>
  </si>
  <si>
    <t>18-1-00401</t>
  </si>
  <si>
    <t>Wrongful death; premises defect alleged</t>
  </si>
  <si>
    <t>C1--00734</t>
  </si>
  <si>
    <t>P20-1-01936</t>
  </si>
  <si>
    <t>20-1-00602</t>
  </si>
  <si>
    <t>C1--00736</t>
  </si>
  <si>
    <t>P19-1-01395</t>
  </si>
  <si>
    <t>16-1-00165</t>
  </si>
  <si>
    <t>C1--00739</t>
  </si>
  <si>
    <t>P19-1-02092</t>
  </si>
  <si>
    <t>17-1-00675</t>
  </si>
  <si>
    <t>C1--00740</t>
  </si>
  <si>
    <t>P19-1-02821</t>
  </si>
  <si>
    <t>17-1-00908</t>
  </si>
  <si>
    <t>C1--00743</t>
  </si>
  <si>
    <t>P20-1-01703</t>
  </si>
  <si>
    <t>19-1-00209</t>
  </si>
  <si>
    <t>C1--00744</t>
  </si>
  <si>
    <t>P19-1-02494</t>
  </si>
  <si>
    <t>15-1-02008</t>
  </si>
  <si>
    <t>C1--00745</t>
  </si>
  <si>
    <t>P20-1-01044</t>
  </si>
  <si>
    <t>15-1-00664</t>
  </si>
  <si>
    <t>C1--00748</t>
  </si>
  <si>
    <t>P20-1-02347</t>
  </si>
  <si>
    <t>19-1-00304</t>
  </si>
  <si>
    <t>C1--00749</t>
  </si>
  <si>
    <t>P20-1-00786</t>
  </si>
  <si>
    <t>15-1-00501</t>
  </si>
  <si>
    <t>C1--00754</t>
  </si>
  <si>
    <t>P20-1-00912</t>
  </si>
  <si>
    <t>15-1-00583</t>
  </si>
  <si>
    <t>C1--00757</t>
  </si>
  <si>
    <t>P20-1-02515</t>
  </si>
  <si>
    <t>17-1-00672</t>
  </si>
  <si>
    <t>C1--00759</t>
  </si>
  <si>
    <t>P20-1-00536</t>
  </si>
  <si>
    <t>15-1-00355</t>
  </si>
  <si>
    <t>Auto in lot hit pedestrian; severe leg injury</t>
  </si>
  <si>
    <t>C1--00761</t>
  </si>
  <si>
    <t>P19-1-02768</t>
  </si>
  <si>
    <t>15-1-02237</t>
  </si>
  <si>
    <t>C1--00764</t>
  </si>
  <si>
    <t>P20-1-01291</t>
  </si>
  <si>
    <t>15-1-00824</t>
  </si>
  <si>
    <t>C1--00765</t>
  </si>
  <si>
    <t>P20-1-01063</t>
  </si>
  <si>
    <t>19-1-00132</t>
  </si>
  <si>
    <t>C1--00766</t>
  </si>
  <si>
    <t>P19-1-02446</t>
  </si>
  <si>
    <t>15-1-01971</t>
  </si>
  <si>
    <t>C1--00768</t>
  </si>
  <si>
    <t>P20-1-01174</t>
  </si>
  <si>
    <t>15-1-00752</t>
  </si>
  <si>
    <t>C1--00770</t>
  </si>
  <si>
    <t>P20-1-02009</t>
  </si>
  <si>
    <t>15-1-01323</t>
  </si>
  <si>
    <t>C1--00773</t>
  </si>
  <si>
    <t>P20-1-00630</t>
  </si>
  <si>
    <t>15-1-00418</t>
  </si>
  <si>
    <t>C1--00774</t>
  </si>
  <si>
    <t>P20-1-00833</t>
  </si>
  <si>
    <t>15-1-00532</t>
  </si>
  <si>
    <t>C1--00775</t>
  </si>
  <si>
    <t>P20-1-01460</t>
  </si>
  <si>
    <t>17-1-00400</t>
  </si>
  <si>
    <t>C1--00777</t>
  </si>
  <si>
    <t>P20-1-02596</t>
  </si>
  <si>
    <t>15-1-01707</t>
  </si>
  <si>
    <t>Equipment malfunction; hand injury; surgery required</t>
  </si>
  <si>
    <t>C1--00778</t>
  </si>
  <si>
    <t>P20-1-02475</t>
  </si>
  <si>
    <t>15-1-01628</t>
  </si>
  <si>
    <t>C1--00779</t>
  </si>
  <si>
    <t>P20-1-02866</t>
  </si>
  <si>
    <t>20-1-00850</t>
  </si>
  <si>
    <t>C1--00782</t>
  </si>
  <si>
    <t>P19-1-02758</t>
  </si>
  <si>
    <t>15-1-02228</t>
  </si>
  <si>
    <t>C1--00785</t>
  </si>
  <si>
    <t>P19-1-02913</t>
  </si>
  <si>
    <t>18-1-00447</t>
  </si>
  <si>
    <t>C1--00786</t>
  </si>
  <si>
    <t>P19-1-02641</t>
  </si>
  <si>
    <t>19-1-00428</t>
  </si>
  <si>
    <t>C1--00787</t>
  </si>
  <si>
    <t>P19-1-02694</t>
  </si>
  <si>
    <t>18-1-00414</t>
  </si>
  <si>
    <t>C1--00788</t>
  </si>
  <si>
    <t>P20-1-00138</t>
  </si>
  <si>
    <t>18-1-00019</t>
  </si>
  <si>
    <t>C1--00790</t>
  </si>
  <si>
    <t>P20-1-01090</t>
  </si>
  <si>
    <t>20-1-00345</t>
  </si>
  <si>
    <t>C1--00791</t>
  </si>
  <si>
    <t>P20-1-01714</t>
  </si>
  <si>
    <t>15-1-01117</t>
  </si>
  <si>
    <t>C1--00793</t>
  </si>
  <si>
    <t>P20-1-00592</t>
  </si>
  <si>
    <t>17-1-00169</t>
  </si>
  <si>
    <t>C1--00796</t>
  </si>
  <si>
    <t>P20-1-00974</t>
  </si>
  <si>
    <t>17-1-00275</t>
  </si>
  <si>
    <t>C1--00797</t>
  </si>
  <si>
    <t>P20-1-01268</t>
  </si>
  <si>
    <t>20-1-00399</t>
  </si>
  <si>
    <t>C1--00799</t>
  </si>
  <si>
    <t>P20-1-02750</t>
  </si>
  <si>
    <t>17-1-00736</t>
  </si>
  <si>
    <t>C1--00800</t>
  </si>
  <si>
    <t>P20-1-03376</t>
  </si>
  <si>
    <t>15-1-02260</t>
  </si>
  <si>
    <t>C1--00801</t>
  </si>
  <si>
    <t>P20-1-01182</t>
  </si>
  <si>
    <t>20-1-00374</t>
  </si>
  <si>
    <t>C1--00802</t>
  </si>
  <si>
    <t>P20-1-03509</t>
  </si>
  <si>
    <t>20-1-01054</t>
  </si>
  <si>
    <t>C1--00805</t>
  </si>
  <si>
    <t>P20-1-01417</t>
  </si>
  <si>
    <t>17-1-00384</t>
  </si>
  <si>
    <t>C1--00806</t>
  </si>
  <si>
    <t>P20-1-03188</t>
  </si>
  <si>
    <t>20-1-00955</t>
  </si>
  <si>
    <t>C1--00810</t>
  </si>
  <si>
    <t>P20-1-03088</t>
  </si>
  <si>
    <t>20-1-00920</t>
  </si>
  <si>
    <t>C1--00812</t>
  </si>
  <si>
    <t>P20-1-00633</t>
  </si>
  <si>
    <t>19-1-00075</t>
  </si>
  <si>
    <t>Exhaustion across layers; multi-claimant settlement finalized</t>
  </si>
  <si>
    <t>C1--00816</t>
  </si>
  <si>
    <t>P20-1-01343</t>
  </si>
  <si>
    <t>17-1-00366</t>
  </si>
  <si>
    <t>C1--00820</t>
  </si>
  <si>
    <t>P20-1-00524</t>
  </si>
  <si>
    <t>15-1-00349</t>
  </si>
  <si>
    <t>C1--00822</t>
  </si>
  <si>
    <t>C1--00823</t>
  </si>
  <si>
    <t>P20-1-00518</t>
  </si>
  <si>
    <t>17-1-00148</t>
  </si>
  <si>
    <t>C1--00824</t>
  </si>
  <si>
    <t>P20-1-01138</t>
  </si>
  <si>
    <t>20-1-00358</t>
  </si>
  <si>
    <t>C1--00825</t>
  </si>
  <si>
    <t>P19-1-01198</t>
  </si>
  <si>
    <t>18-1-00185</t>
  </si>
  <si>
    <t>C1--00830</t>
  </si>
  <si>
    <t>P21-1-00568</t>
  </si>
  <si>
    <t>19-1-00070</t>
  </si>
  <si>
    <t>C1--00831</t>
  </si>
  <si>
    <t>P20-1-01403</t>
  </si>
  <si>
    <t>19-1-00176</t>
  </si>
  <si>
    <t>C1--00833</t>
  </si>
  <si>
    <t>P20-1-01421</t>
  </si>
  <si>
    <t>15-1-00909</t>
  </si>
  <si>
    <t>C1--00834</t>
  </si>
  <si>
    <t>P20-1-01030</t>
  </si>
  <si>
    <t>15-1-00657</t>
  </si>
  <si>
    <t>C1--00836</t>
  </si>
  <si>
    <t>P20-1-03379</t>
  </si>
  <si>
    <t>20-1-01008</t>
  </si>
  <si>
    <t>C1--00838</t>
  </si>
  <si>
    <t>P21-1-00453</t>
  </si>
  <si>
    <t>19-1-00054</t>
  </si>
  <si>
    <t>C1--00840</t>
  </si>
  <si>
    <t>P20-1-01614</t>
  </si>
  <si>
    <t>18-1-00207</t>
  </si>
  <si>
    <t>C1--00841</t>
  </si>
  <si>
    <t>P20-1-01485</t>
  </si>
  <si>
    <t>20-1-00466</t>
  </si>
  <si>
    <t>C1--00842</t>
  </si>
  <si>
    <t>P20-1-03229</t>
  </si>
  <si>
    <t>15-1-02159</t>
  </si>
  <si>
    <t>C1--00845</t>
  </si>
  <si>
    <t>P20-1-01267</t>
  </si>
  <si>
    <t>20-1-00398</t>
  </si>
  <si>
    <t>C1--00846</t>
  </si>
  <si>
    <t>P20-1-03504</t>
  </si>
  <si>
    <t>18-1-00446</t>
  </si>
  <si>
    <t>C1--00848</t>
  </si>
  <si>
    <t>P21-1-00073</t>
  </si>
  <si>
    <t>15-1-00049</t>
  </si>
  <si>
    <t>C1--00849</t>
  </si>
  <si>
    <t>P20-1-01824</t>
  </si>
  <si>
    <t>15-1-01199</t>
  </si>
  <si>
    <t>C1--00851</t>
  </si>
  <si>
    <t>P20-1-03176</t>
  </si>
  <si>
    <t>19-1-00424</t>
  </si>
  <si>
    <t>C1--00852</t>
  </si>
  <si>
    <t>P21-1-00239</t>
  </si>
  <si>
    <t>17-1-00079</t>
  </si>
  <si>
    <t>C1--00853</t>
  </si>
  <si>
    <t>P20-1-02892</t>
  </si>
  <si>
    <t>17-1-00776</t>
  </si>
  <si>
    <t>C1--00855</t>
  </si>
  <si>
    <t>P20-1-01101</t>
  </si>
  <si>
    <t>17-1-00313</t>
  </si>
  <si>
    <t>C1--00856</t>
  </si>
  <si>
    <t>P20-1-02306</t>
  </si>
  <si>
    <t>20-1-00687</t>
  </si>
  <si>
    <t>C1--00858</t>
  </si>
  <si>
    <t>P21-1-00099</t>
  </si>
  <si>
    <t>20-1-00043</t>
  </si>
  <si>
    <t>C1--00859</t>
  </si>
  <si>
    <t>P20-1-02103</t>
  </si>
  <si>
    <t>15-1-01384</t>
  </si>
  <si>
    <t>C1--00861</t>
  </si>
  <si>
    <t>P20-1-03545</t>
  </si>
  <si>
    <t>15-1-02367</t>
  </si>
  <si>
    <t>C1--00863</t>
  </si>
  <si>
    <t>P20-1-01270</t>
  </si>
  <si>
    <t>19-1-00158</t>
  </si>
  <si>
    <t>C1--00866</t>
  </si>
  <si>
    <t>P20-1-03469</t>
  </si>
  <si>
    <t>18-1-00440</t>
  </si>
  <si>
    <t>C1--00867</t>
  </si>
  <si>
    <t>P21-1-01171</t>
  </si>
  <si>
    <t>18-1-00153</t>
  </si>
  <si>
    <t>C1--00869</t>
  </si>
  <si>
    <t>P20-1-03096</t>
  </si>
  <si>
    <t>18-1-00396</t>
  </si>
  <si>
    <t>C1--00871</t>
  </si>
  <si>
    <t>P21-1-00256</t>
  </si>
  <si>
    <t>19-1-00034</t>
  </si>
  <si>
    <t>C1--00872</t>
  </si>
  <si>
    <t>P21-1-00806</t>
  </si>
  <si>
    <t>16-1-00080</t>
  </si>
  <si>
    <t>C1--00875</t>
  </si>
  <si>
    <t>Open</t>
  </si>
  <si>
    <t>C1--00881</t>
  </si>
  <si>
    <t>P21-1-01105</t>
  </si>
  <si>
    <t>20-1-00350</t>
  </si>
  <si>
    <t>C1--00882</t>
  </si>
  <si>
    <t>P20-1-01444</t>
  </si>
  <si>
    <t>20-1-00454</t>
  </si>
  <si>
    <t>C1--00883</t>
  </si>
  <si>
    <t>P21-1-01365</t>
  </si>
  <si>
    <t>20-1-00433</t>
  </si>
  <si>
    <t>Reptile theory; corporate indifference alleged</t>
  </si>
  <si>
    <t>C1--00884</t>
  </si>
  <si>
    <t>P20-1-01569</t>
  </si>
  <si>
    <t>16-1-00158</t>
  </si>
  <si>
    <t>C1--00885</t>
  </si>
  <si>
    <t>P20-1-01490</t>
  </si>
  <si>
    <t>17-1-00404</t>
  </si>
  <si>
    <t>C1--00886</t>
  </si>
  <si>
    <t>P20-1-01565</t>
  </si>
  <si>
    <t>18-1-00200</t>
  </si>
  <si>
    <t>C1--00887</t>
  </si>
  <si>
    <t>P20-1-01665</t>
  </si>
  <si>
    <t>15-1-01075</t>
  </si>
  <si>
    <t>C1--00888</t>
  </si>
  <si>
    <t>P21-1-00459</t>
  </si>
  <si>
    <t>20-1-00142</t>
  </si>
  <si>
    <t>C1--00889</t>
  </si>
  <si>
    <t>P21-1-00130</t>
  </si>
  <si>
    <t>17-1-00038</t>
  </si>
  <si>
    <t>C1--00891</t>
  </si>
  <si>
    <t>P21-1-00492</t>
  </si>
  <si>
    <t>21-1-00095</t>
  </si>
  <si>
    <t>C1--00893</t>
  </si>
  <si>
    <t>P20-1-02566</t>
  </si>
  <si>
    <t>20-1-00764</t>
  </si>
  <si>
    <t>C1--00894</t>
  </si>
  <si>
    <t>P21-1-00444</t>
  </si>
  <si>
    <t>20-1-00135</t>
  </si>
  <si>
    <t>C1--00895</t>
  </si>
  <si>
    <t>P20-1-02773</t>
  </si>
  <si>
    <t>19-1-00359</t>
  </si>
  <si>
    <t>C1--00896</t>
  </si>
  <si>
    <t>P21-1-00638</t>
  </si>
  <si>
    <t>16-1-00067</t>
  </si>
  <si>
    <t>C1--00898</t>
  </si>
  <si>
    <t>P21-1-00264</t>
  </si>
  <si>
    <t>21-1-00049</t>
  </si>
  <si>
    <t>C1--00900</t>
  </si>
  <si>
    <t>P21-1-00380</t>
  </si>
  <si>
    <t>20-1-00117</t>
  </si>
  <si>
    <t>C1--00903</t>
  </si>
  <si>
    <t>P21-1-00741</t>
  </si>
  <si>
    <t>19-1-00088</t>
  </si>
  <si>
    <t>C1--00904</t>
  </si>
  <si>
    <t>P21-1-01376</t>
  </si>
  <si>
    <t>15-1-00879</t>
  </si>
  <si>
    <t>C1--00905</t>
  </si>
  <si>
    <t>P20-1-03159</t>
  </si>
  <si>
    <t>20-1-00947</t>
  </si>
  <si>
    <t>C1--00906</t>
  </si>
  <si>
    <t>P21-1-01363</t>
  </si>
  <si>
    <t>17-1-00376</t>
  </si>
  <si>
    <t>C1--00908</t>
  </si>
  <si>
    <t>P21-1-00699</t>
  </si>
  <si>
    <t>20-1-00220</t>
  </si>
  <si>
    <t>C1--00909</t>
  </si>
  <si>
    <t>P20-1-02339</t>
  </si>
  <si>
    <t>19-1-00300</t>
  </si>
  <si>
    <t>C1--00910</t>
  </si>
  <si>
    <t>P20-1-03087</t>
  </si>
  <si>
    <t>20-1-00919</t>
  </si>
  <si>
    <t>C1--00917</t>
  </si>
  <si>
    <t>P21-1-00483</t>
  </si>
  <si>
    <t>18-1-00064</t>
  </si>
  <si>
    <t>C1--00918</t>
  </si>
  <si>
    <t>P20-1-02572</t>
  </si>
  <si>
    <t>20-1-00767</t>
  </si>
  <si>
    <t>C1--00920</t>
  </si>
  <si>
    <t>P20-1-02587</t>
  </si>
  <si>
    <t>19-1-00330</t>
  </si>
  <si>
    <t>C1--00925</t>
  </si>
  <si>
    <t>P21-1-01457</t>
  </si>
  <si>
    <t>17-1-00396</t>
  </si>
  <si>
    <t>C1--00927</t>
  </si>
  <si>
    <t>P20-1-03322</t>
  </si>
  <si>
    <t>17-1-00884</t>
  </si>
  <si>
    <t>C1--00928</t>
  </si>
  <si>
    <t>P21-1-01652</t>
  </si>
  <si>
    <t>18-1-00212</t>
  </si>
  <si>
    <t>C1--00929</t>
  </si>
  <si>
    <t>P21-1-01213</t>
  </si>
  <si>
    <t>19-1-00149</t>
  </si>
  <si>
    <t>C1--00931</t>
  </si>
  <si>
    <t>P20-1-03242</t>
  </si>
  <si>
    <t>17-1-00865</t>
  </si>
  <si>
    <t>C1--00932</t>
  </si>
  <si>
    <t>P21-1-00110</t>
  </si>
  <si>
    <t>17-1-00034</t>
  </si>
  <si>
    <t>C1--00940</t>
  </si>
  <si>
    <t>P20-1-03445</t>
  </si>
  <si>
    <t>15-1-02306</t>
  </si>
  <si>
    <t>C1--00941</t>
  </si>
  <si>
    <t>P21-1-00709</t>
  </si>
  <si>
    <t>20-1-00223</t>
  </si>
  <si>
    <t>C1--00944</t>
  </si>
  <si>
    <t>P20-1-03544</t>
  </si>
  <si>
    <t>15-1-02364</t>
  </si>
  <si>
    <t>C1--00946</t>
  </si>
  <si>
    <t>P21-1-01481</t>
  </si>
  <si>
    <t>15-1-00966</t>
  </si>
  <si>
    <t>C1--00951</t>
  </si>
  <si>
    <t>P21-1-00271</t>
  </si>
  <si>
    <t>18-1-00040</t>
  </si>
  <si>
    <t>C1--00952</t>
  </si>
  <si>
    <t>P21-1-00291</t>
  </si>
  <si>
    <t>17-1-00089</t>
  </si>
  <si>
    <t>C1--00954</t>
  </si>
  <si>
    <t>P21-1-02720</t>
  </si>
  <si>
    <t>20-1-00807</t>
  </si>
  <si>
    <t>C1--00957</t>
  </si>
  <si>
    <t>C1--00958</t>
  </si>
  <si>
    <t>P21-1-02155</t>
  </si>
  <si>
    <t>17-1-00577</t>
  </si>
  <si>
    <t>C1--00960</t>
  </si>
  <si>
    <t>P21-1-00667</t>
  </si>
  <si>
    <t>17-1-00180</t>
  </si>
  <si>
    <t>C1--00964</t>
  </si>
  <si>
    <t>P21-1-00333</t>
  </si>
  <si>
    <t>19-1-00044</t>
  </si>
  <si>
    <t>C1--00965</t>
  </si>
  <si>
    <t>P20-1-03059</t>
  </si>
  <si>
    <t>17-1-00823</t>
  </si>
  <si>
    <t>C1--00967</t>
  </si>
  <si>
    <t>C1--00968</t>
  </si>
  <si>
    <t>P21-1-00489</t>
  </si>
  <si>
    <t>19-1-00059</t>
  </si>
  <si>
    <t>C1--00972</t>
  </si>
  <si>
    <t>C1--00973</t>
  </si>
  <si>
    <t>P20-1-03327</t>
  </si>
  <si>
    <t>20-1-00997</t>
  </si>
  <si>
    <t>C1--00974</t>
  </si>
  <si>
    <t>P21-1-00407</t>
  </si>
  <si>
    <t>18-1-00056</t>
  </si>
  <si>
    <t>C1--00977</t>
  </si>
  <si>
    <t>P20-1-03052</t>
  </si>
  <si>
    <t>19-1-00402</t>
  </si>
  <si>
    <t>C1--00980</t>
  </si>
  <si>
    <t>P21-1-02666</t>
  </si>
  <si>
    <t>21-1-00425</t>
  </si>
  <si>
    <t>C1--00982</t>
  </si>
  <si>
    <t>P21-1-01670</t>
  </si>
  <si>
    <t>20-1-00517</t>
  </si>
  <si>
    <t>C1--00985</t>
  </si>
  <si>
    <t>P21-1-03060</t>
  </si>
  <si>
    <t>20-1-00909</t>
  </si>
  <si>
    <t>C1--00987</t>
  </si>
  <si>
    <t>P20-1-01465</t>
  </si>
  <si>
    <t>15-1-00944</t>
  </si>
  <si>
    <t>C1--00990</t>
  </si>
  <si>
    <t>P20-1-02878</t>
  </si>
  <si>
    <t>16-1-00279</t>
  </si>
  <si>
    <t>C1--00992</t>
  </si>
  <si>
    <t>P21-1-03167</t>
  </si>
  <si>
    <t>16-1-00302</t>
  </si>
  <si>
    <t>C1--00993</t>
  </si>
  <si>
    <t>P22-1-00096</t>
  </si>
  <si>
    <t>19-1-00009</t>
  </si>
  <si>
    <t>C1--00994</t>
  </si>
  <si>
    <t>P20-1-02667</t>
  </si>
  <si>
    <t>20-1-00791</t>
  </si>
  <si>
    <t>C1--00997</t>
  </si>
  <si>
    <t>P21-1-02853</t>
  </si>
  <si>
    <t>18-1-00371</t>
  </si>
  <si>
    <t>C1--00999</t>
  </si>
  <si>
    <t>P21-1-02693</t>
  </si>
  <si>
    <t>17-1-00720</t>
  </si>
  <si>
    <t>C1--01001</t>
  </si>
  <si>
    <t>P21-1-00736</t>
  </si>
  <si>
    <t>21-1-00123</t>
  </si>
  <si>
    <t>C1--01003</t>
  </si>
  <si>
    <t>P21-1-01302</t>
  </si>
  <si>
    <t>19-1-00160</t>
  </si>
  <si>
    <t>C1--01004</t>
  </si>
  <si>
    <t>P21-1-00991</t>
  </si>
  <si>
    <t>15-1-00637</t>
  </si>
  <si>
    <t>C1--01006</t>
  </si>
  <si>
    <t>P21-1-01252</t>
  </si>
  <si>
    <t>17-1-00344</t>
  </si>
  <si>
    <t>C1--01008</t>
  </si>
  <si>
    <t>P21-1-00691</t>
  </si>
  <si>
    <t>20-1-00219</t>
  </si>
  <si>
    <t>C1--01009</t>
  </si>
  <si>
    <t>P19-1-02466</t>
  </si>
  <si>
    <t>15-1-01983</t>
  </si>
  <si>
    <t>C1--01010</t>
  </si>
  <si>
    <t>P21-1-03320</t>
  </si>
  <si>
    <t>19-1-00440</t>
  </si>
  <si>
    <t>C1--01014</t>
  </si>
  <si>
    <t>P21-1-01647</t>
  </si>
  <si>
    <t>20-1-00508</t>
  </si>
  <si>
    <t>C1--01016</t>
  </si>
  <si>
    <t>P21-1-02871</t>
  </si>
  <si>
    <t>20-1-00843</t>
  </si>
  <si>
    <t>C1--01019</t>
  </si>
  <si>
    <t>P21-1-03371</t>
  </si>
  <si>
    <t>15-1-02248</t>
  </si>
  <si>
    <t>C1--01022</t>
  </si>
  <si>
    <t>P22-1-00315</t>
  </si>
  <si>
    <t>17-1-00090</t>
  </si>
  <si>
    <t>C1--01025</t>
  </si>
  <si>
    <t>P21-1-01388</t>
  </si>
  <si>
    <t>18-1-00176</t>
  </si>
  <si>
    <t>C1--01029</t>
  </si>
  <si>
    <t>P21-1-01238</t>
  </si>
  <si>
    <t>15-1-00791</t>
  </si>
  <si>
    <t>C1--01030</t>
  </si>
  <si>
    <t>P21-1-03085</t>
  </si>
  <si>
    <t>21-1-00499</t>
  </si>
  <si>
    <t>C1--01035</t>
  </si>
  <si>
    <t>P21-1-01368</t>
  </si>
  <si>
    <t>21-1-00212</t>
  </si>
  <si>
    <t>C1--01039</t>
  </si>
  <si>
    <t>P22-1-00933</t>
  </si>
  <si>
    <t>20-1-00295</t>
  </si>
  <si>
    <t>C1--01040</t>
  </si>
  <si>
    <t>P22-1-00454</t>
  </si>
  <si>
    <t>21-1-00083</t>
  </si>
  <si>
    <t>C1--01041</t>
  </si>
  <si>
    <t>P21-1-01134</t>
  </si>
  <si>
    <t>20-1-00359</t>
  </si>
  <si>
    <t>C1--01043</t>
  </si>
  <si>
    <t>P21-1-03443</t>
  </si>
  <si>
    <t>20-1-01023</t>
  </si>
  <si>
    <t>C1--01044</t>
  </si>
  <si>
    <t>P21-1-03666</t>
  </si>
  <si>
    <t>18-1-00462</t>
  </si>
  <si>
    <t>C1--01046</t>
  </si>
  <si>
    <t>P22-1-00428</t>
  </si>
  <si>
    <t>15-1-00260</t>
  </si>
  <si>
    <t>C1--01050</t>
  </si>
  <si>
    <t>P21-1-01643</t>
  </si>
  <si>
    <t>21-1-00260</t>
  </si>
  <si>
    <t>C1--01052</t>
  </si>
  <si>
    <t>P21-1-02578</t>
  </si>
  <si>
    <t>17-1-00693</t>
  </si>
  <si>
    <t>C1--01053</t>
  </si>
  <si>
    <t>P21-1-01486</t>
  </si>
  <si>
    <t>20-1-00468</t>
  </si>
  <si>
    <t>C1--01055</t>
  </si>
  <si>
    <t>P21-1-02728</t>
  </si>
  <si>
    <t>15-1-01817</t>
  </si>
  <si>
    <t>C1--01057</t>
  </si>
  <si>
    <t>P22-1-01243</t>
  </si>
  <si>
    <t>17-1-00346</t>
  </si>
  <si>
    <t>C1--01060</t>
  </si>
  <si>
    <t>P22-1-01059</t>
  </si>
  <si>
    <t>15-1-00683</t>
  </si>
  <si>
    <t>C1--01061</t>
  </si>
  <si>
    <t>P22-1-01183</t>
  </si>
  <si>
    <t>21-1-00185</t>
  </si>
  <si>
    <t>C1--01063</t>
  </si>
  <si>
    <t>P22-1-00208</t>
  </si>
  <si>
    <t>20-1-00068</t>
  </si>
  <si>
    <t>C1--01065</t>
  </si>
  <si>
    <t>P21-1-03530</t>
  </si>
  <si>
    <t>21-1-00565</t>
  </si>
  <si>
    <t>C1--01066</t>
  </si>
  <si>
    <t>P22-1-00390</t>
  </si>
  <si>
    <t>16-1-00041</t>
  </si>
  <si>
    <t>C1--01069</t>
  </si>
  <si>
    <t>P22-1-00708</t>
  </si>
  <si>
    <t>19-1-00083</t>
  </si>
  <si>
    <t>C1--01070</t>
  </si>
  <si>
    <t>P22-1-01204</t>
  </si>
  <si>
    <t>C1--01074</t>
  </si>
  <si>
    <t>P21-1-02164</t>
  </si>
  <si>
    <t>15-1-01431</t>
  </si>
  <si>
    <t>C1--01076</t>
  </si>
  <si>
    <t>P21-1-02495</t>
  </si>
  <si>
    <t>18-1-00332</t>
  </si>
  <si>
    <t>C1--01077</t>
  </si>
  <si>
    <t>P22-1-00264</t>
  </si>
  <si>
    <t>15-1-00169</t>
  </si>
  <si>
    <t>C1--01078</t>
  </si>
  <si>
    <t>P21-1-02781</t>
  </si>
  <si>
    <t>19-1-00361</t>
  </si>
  <si>
    <t>C1--01079</t>
  </si>
  <si>
    <t>P21-1-02594</t>
  </si>
  <si>
    <t>15-1-01718</t>
  </si>
  <si>
    <t>C1--01083</t>
  </si>
  <si>
    <t>P21-1-01182</t>
  </si>
  <si>
    <t>21-1-00184</t>
  </si>
  <si>
    <t>C1--01084</t>
  </si>
  <si>
    <t>P21-1-02800</t>
  </si>
  <si>
    <t>19-1-00367</t>
  </si>
  <si>
    <t>C1--01090</t>
  </si>
  <si>
    <t>P20-1-02110</t>
  </si>
  <si>
    <t>15-1-01392</t>
  </si>
  <si>
    <t>C1--01092</t>
  </si>
  <si>
    <t>P22-1-00464</t>
  </si>
  <si>
    <t>C1--01093</t>
  </si>
  <si>
    <t>P21-1-03248</t>
  </si>
  <si>
    <t>18-1-00413</t>
  </si>
  <si>
    <t>C1--01094</t>
  </si>
  <si>
    <t>P22-1-01072</t>
  </si>
  <si>
    <t>15-1-00690</t>
  </si>
  <si>
    <t>C1--01095</t>
  </si>
  <si>
    <t>P21-1-03195</t>
  </si>
  <si>
    <t>15-1-02127</t>
  </si>
  <si>
    <t>C1--01097</t>
  </si>
  <si>
    <t>P22-1-01030</t>
  </si>
  <si>
    <t>22-1-00152</t>
  </si>
  <si>
    <t>C1--01098</t>
  </si>
  <si>
    <t>P22-1-00373</t>
  </si>
  <si>
    <t>17-1-00103</t>
  </si>
  <si>
    <t>C1--01100</t>
  </si>
  <si>
    <t>P22-1-00174</t>
  </si>
  <si>
    <t>15-1-00110</t>
  </si>
  <si>
    <t>C1--01104</t>
  </si>
  <si>
    <t>P22-1-01847</t>
  </si>
  <si>
    <t>22-1-00251</t>
  </si>
  <si>
    <t>C1--01106</t>
  </si>
  <si>
    <t>P22-1-00177</t>
  </si>
  <si>
    <t>15-1-00111</t>
  </si>
  <si>
    <t>C1--01109</t>
  </si>
  <si>
    <t>P22-1-00310</t>
  </si>
  <si>
    <t>21-1-00056</t>
  </si>
  <si>
    <t>C1--01113</t>
  </si>
  <si>
    <t>P22-1-01025</t>
  </si>
  <si>
    <t>21-1-00165</t>
  </si>
  <si>
    <t>C1--01114</t>
  </si>
  <si>
    <t>P22-1-00228</t>
  </si>
  <si>
    <t>17-1-00068</t>
  </si>
  <si>
    <t>C1--01115</t>
  </si>
  <si>
    <t>P22-1-02112</t>
  </si>
  <si>
    <t>19-1-00273</t>
  </si>
  <si>
    <t>C1--01118</t>
  </si>
  <si>
    <t>P22-1-00366</t>
  </si>
  <si>
    <t>20-1-00109</t>
  </si>
  <si>
    <t>C1--01119</t>
  </si>
  <si>
    <t>P22-1-00629</t>
  </si>
  <si>
    <t>16-1-00064</t>
  </si>
  <si>
    <t>C1--01121</t>
  </si>
  <si>
    <t>P22-1-01830</t>
  </si>
  <si>
    <t>15-1-01253</t>
  </si>
  <si>
    <t>C1--01122</t>
  </si>
  <si>
    <t>P21-1-02701</t>
  </si>
  <si>
    <t>20-1-00801</t>
  </si>
  <si>
    <t>C1--01125</t>
  </si>
  <si>
    <t>P22-1-01390</t>
  </si>
  <si>
    <t>16-1-00143</t>
  </si>
  <si>
    <t>C1--01128</t>
  </si>
  <si>
    <t>P21-1-02818</t>
  </si>
  <si>
    <t>19-1-00374</t>
  </si>
  <si>
    <t>C1--01131</t>
  </si>
  <si>
    <t>P19-1-01801</t>
  </si>
  <si>
    <t>19-1-00278</t>
  </si>
  <si>
    <t>C1--01133</t>
  </si>
  <si>
    <t>P22-1-02167</t>
  </si>
  <si>
    <t>22-1-00286</t>
  </si>
  <si>
    <t>C1--01134</t>
  </si>
  <si>
    <t>P22-1-02122</t>
  </si>
  <si>
    <t>15-1-01452</t>
  </si>
  <si>
    <t>C1--01138</t>
  </si>
  <si>
    <t>P21-1-03352</t>
  </si>
  <si>
    <t>17-1-00889</t>
  </si>
  <si>
    <t>C1--01141</t>
  </si>
  <si>
    <t>P22-1-00164</t>
  </si>
  <si>
    <t>20-1-00057</t>
  </si>
  <si>
    <t>C1--01143</t>
  </si>
  <si>
    <t>P22-1-01628</t>
  </si>
  <si>
    <t>21-1-00264</t>
  </si>
  <si>
    <t>C1--01145</t>
  </si>
  <si>
    <t>P22-1-01150</t>
  </si>
  <si>
    <t>22-1-00167</t>
  </si>
  <si>
    <t>C1--01146</t>
  </si>
  <si>
    <t>P21-1-03216</t>
  </si>
  <si>
    <t>17-1-00853</t>
  </si>
  <si>
    <t>C1--01148</t>
  </si>
  <si>
    <t>P22-1-01256</t>
  </si>
  <si>
    <t>20-1-00402</t>
  </si>
  <si>
    <t>C1--01149</t>
  </si>
  <si>
    <t>P21-1-03645</t>
  </si>
  <si>
    <t>15-1-02426</t>
  </si>
  <si>
    <t>C1--01151</t>
  </si>
  <si>
    <t>P22-1-00070</t>
  </si>
  <si>
    <t>20-1-00024</t>
  </si>
  <si>
    <t>C1--01152</t>
  </si>
  <si>
    <t>P22-1-01472</t>
  </si>
  <si>
    <t>20-1-00469</t>
  </si>
  <si>
    <t>C1--01153</t>
  </si>
  <si>
    <t>P22-1-01502</t>
  </si>
  <si>
    <t>20-1-00478</t>
  </si>
  <si>
    <t>C1--01155</t>
  </si>
  <si>
    <t>P22-1-02660</t>
  </si>
  <si>
    <t>21-1-00436</t>
  </si>
  <si>
    <t>C1--01156</t>
  </si>
  <si>
    <t>P22-1-02011</t>
  </si>
  <si>
    <t>20-1-00636</t>
  </si>
  <si>
    <t>C1--01158</t>
  </si>
  <si>
    <t>P22-1-00773</t>
  </si>
  <si>
    <t>19-1-00090</t>
  </si>
  <si>
    <t>C1--01160</t>
  </si>
  <si>
    <t>P22-1-02009</t>
  </si>
  <si>
    <t>15-1-01365</t>
  </si>
  <si>
    <t>C1--01163</t>
  </si>
  <si>
    <t>P22-1-00198</t>
  </si>
  <si>
    <t>22-1-00036</t>
  </si>
  <si>
    <t>C1--01166</t>
  </si>
  <si>
    <t>P22-1-02476</t>
  </si>
  <si>
    <t>20-1-00760</t>
  </si>
  <si>
    <t>C1--01167</t>
  </si>
  <si>
    <t>P22-1-02897</t>
  </si>
  <si>
    <t>19-1-00393</t>
  </si>
  <si>
    <t>C1--01168</t>
  </si>
  <si>
    <t>P22-1-01960</t>
  </si>
  <si>
    <t>22-1-00266</t>
  </si>
  <si>
    <t>C1--01169</t>
  </si>
  <si>
    <t>P22-1-00894</t>
  </si>
  <si>
    <t>17-1-00249</t>
  </si>
  <si>
    <t>C1--01170</t>
  </si>
  <si>
    <t>P21-1-03279</t>
  </si>
  <si>
    <t>19-1-00436</t>
  </si>
  <si>
    <t>C1--01173</t>
  </si>
  <si>
    <t>P22-1-02582</t>
  </si>
  <si>
    <t>19-1-00345</t>
  </si>
  <si>
    <t>C1--01175</t>
  </si>
  <si>
    <t>P22-1-00467</t>
  </si>
  <si>
    <t>20-1-00138</t>
  </si>
  <si>
    <t>C1--01176</t>
  </si>
  <si>
    <t>P22-1-01317</t>
  </si>
  <si>
    <t>18-1-00169</t>
  </si>
  <si>
    <t>C1--01177</t>
  </si>
  <si>
    <t>P22-1-01549</t>
  </si>
  <si>
    <t>17-1-00425</t>
  </si>
  <si>
    <t>C1--01182</t>
  </si>
  <si>
    <t>P22-1-02405</t>
  </si>
  <si>
    <t>20-1-00739</t>
  </si>
  <si>
    <t>C1--01186</t>
  </si>
  <si>
    <t>P22-1-01793</t>
  </si>
  <si>
    <t>19-1-00229</t>
  </si>
  <si>
    <t>C1--01187</t>
  </si>
  <si>
    <t>P19-1-02173</t>
  </si>
  <si>
    <t>15-1-01728</t>
  </si>
  <si>
    <t>C1--01188</t>
  </si>
  <si>
    <t>P22-1-01815</t>
  </si>
  <si>
    <t>15-1-01248</t>
  </si>
  <si>
    <t>C1--01189</t>
  </si>
  <si>
    <t>P22-1-00207</t>
  </si>
  <si>
    <t>22-1-00038</t>
  </si>
  <si>
    <t>C1--01190</t>
  </si>
  <si>
    <t>P22-1-01167</t>
  </si>
  <si>
    <t>20-1-00372</t>
  </si>
  <si>
    <t>C1--01191</t>
  </si>
  <si>
    <t>P22-1-01087</t>
  </si>
  <si>
    <t>18-1-00140</t>
  </si>
  <si>
    <t>C1--01194</t>
  </si>
  <si>
    <t>P22-1-00063</t>
  </si>
  <si>
    <t>17-1-00016</t>
  </si>
  <si>
    <t>C1--01195</t>
  </si>
  <si>
    <t>P22-1-01987</t>
  </si>
  <si>
    <t>20-1-00629</t>
  </si>
  <si>
    <t>C1--01199</t>
  </si>
  <si>
    <t>P22-1-02962</t>
  </si>
  <si>
    <t>15-1-02022</t>
  </si>
  <si>
    <t>C1--01200</t>
  </si>
  <si>
    <t>P22-1-03487</t>
  </si>
  <si>
    <t>20-1-01072</t>
  </si>
  <si>
    <t>C1--01203</t>
  </si>
  <si>
    <t>P22-1-01896</t>
  </si>
  <si>
    <t>18-1-00251</t>
  </si>
  <si>
    <t>C1--01205</t>
  </si>
  <si>
    <t>P22-1-03473</t>
  </si>
  <si>
    <t>20-1-01069</t>
  </si>
  <si>
    <t>C1--01206</t>
  </si>
  <si>
    <t>P22-1-00409</t>
  </si>
  <si>
    <t>21-1-00076</t>
  </si>
  <si>
    <t>C1--01207</t>
  </si>
  <si>
    <t>P22-1-01607</t>
  </si>
  <si>
    <t>22-1-00224</t>
  </si>
  <si>
    <t>C1--01209</t>
  </si>
  <si>
    <t>P22-1-02159</t>
  </si>
  <si>
    <t>17-1-00591</t>
  </si>
  <si>
    <t>C1--01210</t>
  </si>
  <si>
    <t>P22-1-01691</t>
  </si>
  <si>
    <t>15-1-01134</t>
  </si>
  <si>
    <t>C1--01211</t>
  </si>
  <si>
    <t>P22-1-02289</t>
  </si>
  <si>
    <t>15-1-01564</t>
  </si>
  <si>
    <t>C1--01212</t>
  </si>
  <si>
    <t>P22-1-00726</t>
  </si>
  <si>
    <t>20-1-00222</t>
  </si>
  <si>
    <t>C1--01215</t>
  </si>
  <si>
    <t>P22-1-02036</t>
  </si>
  <si>
    <t>20-1-00642</t>
  </si>
  <si>
    <t>C1--01218</t>
  </si>
  <si>
    <t>P22-1-02210</t>
  </si>
  <si>
    <t>15-1-01510</t>
  </si>
  <si>
    <t>C1--01219</t>
  </si>
  <si>
    <t>C1--01220</t>
  </si>
  <si>
    <t>P22-1-01742</t>
  </si>
  <si>
    <t>20-1-00553</t>
  </si>
  <si>
    <t>C1--01223</t>
  </si>
  <si>
    <t>P22-1-01571</t>
  </si>
  <si>
    <t>17-1-00429</t>
  </si>
  <si>
    <t>C1--01224</t>
  </si>
  <si>
    <t>P23-1-00925</t>
  </si>
  <si>
    <t>22-1-00129</t>
  </si>
  <si>
    <t>C1--01226</t>
  </si>
  <si>
    <t>P22-1-02822</t>
  </si>
  <si>
    <t>20-1-00853</t>
  </si>
  <si>
    <t>C1--01227</t>
  </si>
  <si>
    <t>P22-1-00747</t>
  </si>
  <si>
    <t>16-1-00076</t>
  </si>
  <si>
    <t>C1--01228</t>
  </si>
  <si>
    <t>P23-1-00829</t>
  </si>
  <si>
    <t>18-1-00097</t>
  </si>
  <si>
    <t>C1--01230</t>
  </si>
  <si>
    <t>P23-1-00205</t>
  </si>
  <si>
    <t>15-1-00114</t>
  </si>
  <si>
    <t>C1--01231</t>
  </si>
  <si>
    <t>P23-1-00270</t>
  </si>
  <si>
    <t>22-1-00042</t>
  </si>
  <si>
    <t>C1--01232</t>
  </si>
  <si>
    <t>P22-1-00982</t>
  </si>
  <si>
    <t>20-1-00308</t>
  </si>
  <si>
    <t>C1--01237</t>
  </si>
  <si>
    <t>P22-1-00748</t>
  </si>
  <si>
    <t>15-1-00475</t>
  </si>
  <si>
    <t>C1--01238</t>
  </si>
  <si>
    <t>P21-1-02023</t>
  </si>
  <si>
    <t>20-1-00620</t>
  </si>
  <si>
    <t>C1--01239</t>
  </si>
  <si>
    <t>P22-1-02531</t>
  </si>
  <si>
    <t>18-1-00346</t>
  </si>
  <si>
    <t>C1--01242</t>
  </si>
  <si>
    <t>P21-1-01326</t>
  </si>
  <si>
    <t>19-1-00165</t>
  </si>
  <si>
    <t>C1--01243</t>
  </si>
  <si>
    <t>P23-1-01279</t>
  </si>
  <si>
    <t>20-1-00364</t>
  </si>
  <si>
    <t>C1--01244</t>
  </si>
  <si>
    <t>P22-1-02577</t>
  </si>
  <si>
    <t>17-1-00707</t>
  </si>
  <si>
    <t>C1--01245</t>
  </si>
  <si>
    <t>P23-1-01608</t>
  </si>
  <si>
    <t>22-1-00201</t>
  </si>
  <si>
    <t>C1--01246</t>
  </si>
  <si>
    <t>P22-1-02096</t>
  </si>
  <si>
    <t>19-1-00270</t>
  </si>
  <si>
    <t>C1--01247</t>
  </si>
  <si>
    <t>P22-1-03443</t>
  </si>
  <si>
    <t>17-1-00947</t>
  </si>
  <si>
    <t>C1--01249</t>
  </si>
  <si>
    <t>P23-1-01270</t>
  </si>
  <si>
    <t>20-1-00357</t>
  </si>
  <si>
    <t>C1--01250</t>
  </si>
  <si>
    <t>P22-1-02074</t>
  </si>
  <si>
    <t>20-1-00656</t>
  </si>
  <si>
    <t>C1--01251</t>
  </si>
  <si>
    <t>P22-1-02669</t>
  </si>
  <si>
    <t>20-1-00816</t>
  </si>
  <si>
    <t>C1--01253</t>
  </si>
  <si>
    <t>P22-1-00984</t>
  </si>
  <si>
    <t>19-1-00121</t>
  </si>
  <si>
    <t>C1--01254</t>
  </si>
  <si>
    <t>P23-1-00194</t>
  </si>
  <si>
    <t>22-1-00031</t>
  </si>
  <si>
    <t>C1--01256</t>
  </si>
  <si>
    <t>P22-1-02793</t>
  </si>
  <si>
    <t>17-1-00769</t>
  </si>
  <si>
    <t>C1--01257</t>
  </si>
  <si>
    <t>P23-1-00850</t>
  </si>
  <si>
    <t>21-1-00125</t>
  </si>
  <si>
    <t>C1--01261</t>
  </si>
  <si>
    <t>P23-1-01200</t>
  </si>
  <si>
    <t>18-1-00134</t>
  </si>
  <si>
    <t>C1--01264</t>
  </si>
  <si>
    <t>P22-1-02304</t>
  </si>
  <si>
    <t>20-1-00703</t>
  </si>
  <si>
    <t>C1--01265</t>
  </si>
  <si>
    <t>P23-1-01767</t>
  </si>
  <si>
    <t>22-1-00215</t>
  </si>
  <si>
    <t>C1--01267</t>
  </si>
  <si>
    <t>P22-1-02554</t>
  </si>
  <si>
    <t>17-1-00703</t>
  </si>
  <si>
    <t>C1--01268</t>
  </si>
  <si>
    <t>P23-1-01193</t>
  </si>
  <si>
    <t>20-1-00335</t>
  </si>
  <si>
    <t>C1--01271</t>
  </si>
  <si>
    <t>P21-1-01733</t>
  </si>
  <si>
    <t>18-1-00221</t>
  </si>
  <si>
    <t>C1--01272</t>
  </si>
  <si>
    <t>P23-1-01304</t>
  </si>
  <si>
    <t>15-1-00748</t>
  </si>
  <si>
    <t>C1--01273</t>
  </si>
  <si>
    <t>P22-1-00116</t>
  </si>
  <si>
    <t>19-1-00014</t>
  </si>
  <si>
    <t>C1--01275</t>
  </si>
  <si>
    <t>P22-1-03081</t>
  </si>
  <si>
    <t>C1--01276</t>
  </si>
  <si>
    <t>P22-1-02961</t>
  </si>
  <si>
    <t>15-1-02024</t>
  </si>
  <si>
    <t>C1--01279</t>
  </si>
  <si>
    <t>P23-1-01947</t>
  </si>
  <si>
    <t>20-1-00537</t>
  </si>
  <si>
    <t>C1--01281</t>
  </si>
  <si>
    <t>P22-1-03458</t>
  </si>
  <si>
    <t>C1--01282</t>
  </si>
  <si>
    <t>P23-1-00823</t>
  </si>
  <si>
    <t>23-1-00194</t>
  </si>
  <si>
    <t>C1--01283</t>
  </si>
  <si>
    <t>P23-1-01163</t>
  </si>
  <si>
    <t>23-1-00286</t>
  </si>
  <si>
    <t>C1--01284</t>
  </si>
  <si>
    <t>P22-1-02026</t>
  </si>
  <si>
    <t>15-1-01383</t>
  </si>
  <si>
    <t>C1--01286</t>
  </si>
  <si>
    <t>P23-1-00079</t>
  </si>
  <si>
    <t>C1--01288</t>
  </si>
  <si>
    <t>P23-1-00861</t>
  </si>
  <si>
    <t>15-1-00482</t>
  </si>
  <si>
    <t>C1--01290</t>
  </si>
  <si>
    <t>P22-1-03242</t>
  </si>
  <si>
    <t>17-1-00887</t>
  </si>
  <si>
    <t>C1--01291</t>
  </si>
  <si>
    <t>P23-1-02168</t>
  </si>
  <si>
    <t>23-1-00533</t>
  </si>
  <si>
    <t>C1--01293</t>
  </si>
  <si>
    <t>P23-1-01819</t>
  </si>
  <si>
    <t>20-1-00502</t>
  </si>
  <si>
    <t>C1--01294</t>
  </si>
  <si>
    <t>P23-1-02563</t>
  </si>
  <si>
    <t>22-1-00296</t>
  </si>
  <si>
    <t>C1--01295</t>
  </si>
  <si>
    <t>P23-1-02043</t>
  </si>
  <si>
    <t>15-1-01212</t>
  </si>
  <si>
    <t>C1--01296</t>
  </si>
  <si>
    <t>P23-1-02314</t>
  </si>
  <si>
    <t>16-1-00202</t>
  </si>
  <si>
    <t>C1--01300</t>
  </si>
  <si>
    <t>P23-1-01159</t>
  </si>
  <si>
    <t>C1--01304</t>
  </si>
  <si>
    <t>P23-1-00983</t>
  </si>
  <si>
    <t>18-1-00108</t>
  </si>
  <si>
    <t>C1--01307</t>
  </si>
  <si>
    <t>P22-1-03211</t>
  </si>
  <si>
    <t>19-1-00438</t>
  </si>
  <si>
    <t>C1--01309</t>
  </si>
  <si>
    <t>P23-1-02315</t>
  </si>
  <si>
    <t>15-1-01385</t>
  </si>
  <si>
    <t>C1--01310</t>
  </si>
  <si>
    <t>P23-1-00828</t>
  </si>
  <si>
    <t>18-1-00098</t>
  </si>
  <si>
    <t>C1--01311</t>
  </si>
  <si>
    <t>P23-1-01653</t>
  </si>
  <si>
    <t>23-1-00413</t>
  </si>
  <si>
    <t>C1--01312</t>
  </si>
  <si>
    <t>P22-1-01876</t>
  </si>
  <si>
    <t>15-1-01287</t>
  </si>
  <si>
    <t>C1--01313</t>
  </si>
  <si>
    <t>P23-1-00367</t>
  </si>
  <si>
    <t>23-1-00096</t>
  </si>
  <si>
    <t>C1--01315</t>
  </si>
  <si>
    <t>P23-1-01294</t>
  </si>
  <si>
    <t>15-1-00744</t>
  </si>
  <si>
    <t>C1--01317</t>
  </si>
  <si>
    <t>P22-1-03448</t>
  </si>
  <si>
    <t>17-1-00948</t>
  </si>
  <si>
    <t>C1--01318</t>
  </si>
  <si>
    <t>P22-1-01707</t>
  </si>
  <si>
    <t>20-1-00538</t>
  </si>
  <si>
    <t>C1--01321</t>
  </si>
  <si>
    <t>P23-1-01168</t>
  </si>
  <si>
    <t>20-1-00328</t>
  </si>
  <si>
    <t>C1--01323</t>
  </si>
  <si>
    <t>P22-1-01717</t>
  </si>
  <si>
    <t>15-1-01152</t>
  </si>
  <si>
    <t>C1--01324</t>
  </si>
  <si>
    <t>C1--01325</t>
  </si>
  <si>
    <t>P22-1-02984</t>
  </si>
  <si>
    <t>22-1-00389</t>
  </si>
  <si>
    <t>C1--01326</t>
  </si>
  <si>
    <t>P23-1-00159</t>
  </si>
  <si>
    <t>C1--01327</t>
  </si>
  <si>
    <t>P23-1-00082</t>
  </si>
  <si>
    <t>17-1-00018</t>
  </si>
  <si>
    <t>C1--01332</t>
  </si>
  <si>
    <t>P23-1-01146</t>
  </si>
  <si>
    <t>22-1-00151</t>
  </si>
  <si>
    <t>C1--01333</t>
  </si>
  <si>
    <t>P23-1-00419</t>
  </si>
  <si>
    <t>18-1-00050</t>
  </si>
  <si>
    <t>C1--01334</t>
  </si>
  <si>
    <t>P21-1-02310</t>
  </si>
  <si>
    <t>17-1-00617</t>
  </si>
  <si>
    <t>C1--01335</t>
  </si>
  <si>
    <t>P23-1-01662</t>
  </si>
  <si>
    <t>23-1-00419</t>
  </si>
  <si>
    <t>C1--01338</t>
  </si>
  <si>
    <t>P22-1-03147</t>
  </si>
  <si>
    <t>20-1-00962</t>
  </si>
  <si>
    <t>C1--01340</t>
  </si>
  <si>
    <t>P23-1-01932</t>
  </si>
  <si>
    <t>21-1-00274</t>
  </si>
  <si>
    <t>C1--01341</t>
  </si>
  <si>
    <t>P23-1-02831</t>
  </si>
  <si>
    <t>18-1-00342</t>
  </si>
  <si>
    <t>C1--01344</t>
  </si>
  <si>
    <t>P23-1-01660</t>
  </si>
  <si>
    <t>19-1-00180</t>
  </si>
  <si>
    <t>C1--01345</t>
  </si>
  <si>
    <t>P23-1-01469</t>
  </si>
  <si>
    <t>23-1-00367</t>
  </si>
  <si>
    <t>C1--01348</t>
  </si>
  <si>
    <t>P23-1-00675</t>
  </si>
  <si>
    <t>23-1-00155</t>
  </si>
  <si>
    <t>C1--01350</t>
  </si>
  <si>
    <t>P23-1-00573</t>
  </si>
  <si>
    <t>23-1-00142</t>
  </si>
  <si>
    <t>C1--01351</t>
  </si>
  <si>
    <t>P23-1-00985</t>
  </si>
  <si>
    <t>17-1-00240</t>
  </si>
  <si>
    <t>C1--01352</t>
  </si>
  <si>
    <t>P23-1-01677</t>
  </si>
  <si>
    <t>19-1-00183</t>
  </si>
  <si>
    <t>C1--01355</t>
  </si>
  <si>
    <t>P23-1-00468</t>
  </si>
  <si>
    <t>21-1-00073</t>
  </si>
  <si>
    <t>C1--01359</t>
  </si>
  <si>
    <t>P23-1-01188</t>
  </si>
  <si>
    <t>23-1-00297</t>
  </si>
  <si>
    <t>C1--01361</t>
  </si>
  <si>
    <t>P23-1-01053</t>
  </si>
  <si>
    <t>23-1-00260</t>
  </si>
  <si>
    <t>C1--01363</t>
  </si>
  <si>
    <t>P23-1-01286</t>
  </si>
  <si>
    <t>15-1-00732</t>
  </si>
  <si>
    <t>C1--01364</t>
  </si>
  <si>
    <t>P23-1-02071</t>
  </si>
  <si>
    <t>21-1-00293</t>
  </si>
  <si>
    <t>C1--01366</t>
  </si>
  <si>
    <t>P23-1-03289</t>
  </si>
  <si>
    <t>21-1-00483</t>
  </si>
  <si>
    <t>C1--01367</t>
  </si>
  <si>
    <t>P23-1-01269</t>
  </si>
  <si>
    <t>15-1-00719</t>
  </si>
  <si>
    <t>C1--01369</t>
  </si>
  <si>
    <t>P22-1-03317</t>
  </si>
  <si>
    <t>20-1-01014</t>
  </si>
  <si>
    <t>C1--01370</t>
  </si>
  <si>
    <t>P23-1-03102</t>
  </si>
  <si>
    <t>21-1-00453</t>
  </si>
  <si>
    <t>C1--01372</t>
  </si>
  <si>
    <t>P23-1-00871</t>
  </si>
  <si>
    <t>23-1-00203</t>
  </si>
  <si>
    <t>C1--01373</t>
  </si>
  <si>
    <t>P22-1-03353</t>
  </si>
  <si>
    <t>20-1-01028</t>
  </si>
  <si>
    <t>C1--01376</t>
  </si>
  <si>
    <t>P22-1-03536</t>
  </si>
  <si>
    <t>17-1-00969</t>
  </si>
  <si>
    <t>C1--01377</t>
  </si>
  <si>
    <t>P23-1-01376</t>
  </si>
  <si>
    <t>23-1-00342</t>
  </si>
  <si>
    <t>C1--01379</t>
  </si>
  <si>
    <t>P23-1-01080</t>
  </si>
  <si>
    <t>21-1-00152</t>
  </si>
  <si>
    <t>C1--01380</t>
  </si>
  <si>
    <t>P24-1-00035</t>
  </si>
  <si>
    <t>17-1-00006</t>
  </si>
  <si>
    <t>C1--01381</t>
  </si>
  <si>
    <t>P21-1-00814</t>
  </si>
  <si>
    <t>17-1-00222</t>
  </si>
  <si>
    <t>C1--01382</t>
  </si>
  <si>
    <t>P24-1-00008</t>
  </si>
  <si>
    <t>15-1-00004</t>
  </si>
  <si>
    <t>C1--01384</t>
  </si>
  <si>
    <t>P23-1-00773</t>
  </si>
  <si>
    <t>23-1-00181</t>
  </si>
  <si>
    <t>C1--01385</t>
  </si>
  <si>
    <t>P23-1-03147</t>
  </si>
  <si>
    <t>23-1-00762</t>
  </si>
  <si>
    <t>C1--01387</t>
  </si>
  <si>
    <t>P23-1-00309</t>
  </si>
  <si>
    <t>23-1-00080</t>
  </si>
  <si>
    <t>C1--01388</t>
  </si>
  <si>
    <t>P23-1-00901</t>
  </si>
  <si>
    <t>19-1-00095</t>
  </si>
  <si>
    <t>C1--01389</t>
  </si>
  <si>
    <t>P23-1-03073</t>
  </si>
  <si>
    <t>23-1-00739</t>
  </si>
  <si>
    <t>C1--01391</t>
  </si>
  <si>
    <t>P23-1-01418</t>
  </si>
  <si>
    <t>C1--01392</t>
  </si>
  <si>
    <t>P23-1-02989</t>
  </si>
  <si>
    <t>20-1-00809</t>
  </si>
  <si>
    <t>C1--01393</t>
  </si>
  <si>
    <t>P24-1-00050</t>
  </si>
  <si>
    <t>21-1-00009</t>
  </si>
  <si>
    <t>C1--01394</t>
  </si>
  <si>
    <t>P23-1-00529</t>
  </si>
  <si>
    <t>C1--01395</t>
  </si>
  <si>
    <t>P23-1-01214</t>
  </si>
  <si>
    <t>23-1-00302</t>
  </si>
  <si>
    <t>C1--01396</t>
  </si>
  <si>
    <t>P23-1-00727</t>
  </si>
  <si>
    <t>23-1-00171</t>
  </si>
  <si>
    <t>C1--01402</t>
  </si>
  <si>
    <t>P23-1-03943</t>
  </si>
  <si>
    <t>22-1-00441</t>
  </si>
  <si>
    <t>C1--01404</t>
  </si>
  <si>
    <t>P23-1-01177</t>
  </si>
  <si>
    <t>20-1-00329</t>
  </si>
  <si>
    <t>C1--01411</t>
  </si>
  <si>
    <t>P24-1-00800</t>
  </si>
  <si>
    <t>24-1-00161</t>
  </si>
  <si>
    <t>C1--01414</t>
  </si>
  <si>
    <t>P23-1-00255</t>
  </si>
  <si>
    <t>23-1-00062</t>
  </si>
  <si>
    <t>C1--01415</t>
  </si>
  <si>
    <t>P23-1-02078</t>
  </si>
  <si>
    <t>15-1-01239</t>
  </si>
  <si>
    <t>C1--01416</t>
  </si>
  <si>
    <t>P23-1-03424</t>
  </si>
  <si>
    <t>21-1-00509</t>
  </si>
  <si>
    <t>C1--01417</t>
  </si>
  <si>
    <t>P23-1-03377</t>
  </si>
  <si>
    <t>15-1-02064</t>
  </si>
  <si>
    <t>C1--01418</t>
  </si>
  <si>
    <t>P23-1-03262</t>
  </si>
  <si>
    <t>21-1-00479</t>
  </si>
  <si>
    <t>C1--01421</t>
  </si>
  <si>
    <t>P23-1-02550</t>
  </si>
  <si>
    <t>18-1-00308</t>
  </si>
  <si>
    <t>C1--01422</t>
  </si>
  <si>
    <t>P23-1-03334</t>
  </si>
  <si>
    <t>22-1-00386</t>
  </si>
  <si>
    <t>C1--01423</t>
  </si>
  <si>
    <t>P24-1-00321</t>
  </si>
  <si>
    <t>C1--01426</t>
  </si>
  <si>
    <t>P23-1-03925</t>
  </si>
  <si>
    <t>21-1-00577</t>
  </si>
  <si>
    <t>C1--01428</t>
  </si>
  <si>
    <t>P23-1-02138</t>
  </si>
  <si>
    <t>20-1-00603</t>
  </si>
  <si>
    <t>C1--01430</t>
  </si>
  <si>
    <t>P23-1-02255</t>
  </si>
  <si>
    <t>20-1-00630</t>
  </si>
  <si>
    <t>C1--01431</t>
  </si>
  <si>
    <t>P24-1-01050</t>
  </si>
  <si>
    <t>23-1-00233</t>
  </si>
  <si>
    <t>C1--01432</t>
  </si>
  <si>
    <t>P23-1-03841</t>
  </si>
  <si>
    <t>20-1-01055</t>
  </si>
  <si>
    <t>C1--01434</t>
  </si>
  <si>
    <t>P21-1-01603</t>
  </si>
  <si>
    <t>17-1-00431</t>
  </si>
  <si>
    <t>C1--01438</t>
  </si>
  <si>
    <t>P23-1-03815</t>
  </si>
  <si>
    <t>20-1-01042</t>
  </si>
  <si>
    <t>C1--01439</t>
  </si>
  <si>
    <t>P23-1-02866</t>
  </si>
  <si>
    <t>23-1-00701</t>
  </si>
  <si>
    <t>C1--01441</t>
  </si>
  <si>
    <t>P24-1-00259</t>
  </si>
  <si>
    <t>24-1-00051</t>
  </si>
  <si>
    <t>C1--01444</t>
  </si>
  <si>
    <t>P23-1-02731</t>
  </si>
  <si>
    <t>23-1-00668</t>
  </si>
  <si>
    <t>C1--01445</t>
  </si>
  <si>
    <t>P24-1-00082</t>
  </si>
  <si>
    <t>24-1-00007</t>
  </si>
  <si>
    <t>C1--01447</t>
  </si>
  <si>
    <t>P24-1-00577</t>
  </si>
  <si>
    <t>23-1-00134</t>
  </si>
  <si>
    <t>C1--01450</t>
  </si>
  <si>
    <t>P23-1-03634</t>
  </si>
  <si>
    <t>23-1-00875</t>
  </si>
  <si>
    <t>C1--01451</t>
  </si>
  <si>
    <t>P23-1-02649</t>
  </si>
  <si>
    <t>15-1-01591</t>
  </si>
  <si>
    <t>C1--01452</t>
  </si>
  <si>
    <t>P24-1-00573</t>
  </si>
  <si>
    <t>17-1-00129</t>
  </si>
  <si>
    <t>C1--01454</t>
  </si>
  <si>
    <t>P24-1-01916</t>
  </si>
  <si>
    <t>24-1-00386</t>
  </si>
  <si>
    <t>C1--01455</t>
  </si>
  <si>
    <t>P23-1-03236</t>
  </si>
  <si>
    <t>23-1-00783</t>
  </si>
  <si>
    <t>C1--01456</t>
  </si>
  <si>
    <t>P23-1-01499</t>
  </si>
  <si>
    <t>23-1-00374</t>
  </si>
  <si>
    <t>C1--01457</t>
  </si>
  <si>
    <t>P24-1-01886</t>
  </si>
  <si>
    <t>17-1-00420</t>
  </si>
  <si>
    <t>C1--01459</t>
  </si>
  <si>
    <t>P23-1-03419</t>
  </si>
  <si>
    <t>23-1-00821</t>
  </si>
  <si>
    <t>C1--01460</t>
  </si>
  <si>
    <t>P23-1-03879</t>
  </si>
  <si>
    <t>18-1-00452</t>
  </si>
  <si>
    <t>C1--01461</t>
  </si>
  <si>
    <t>P24-1-01796</t>
  </si>
  <si>
    <t>15-1-00958</t>
  </si>
  <si>
    <t>C1--01462</t>
  </si>
  <si>
    <t>P21-1-03300</t>
  </si>
  <si>
    <t>20-1-00984</t>
  </si>
  <si>
    <t>C1--01463</t>
  </si>
  <si>
    <t>P24-1-01561</t>
  </si>
  <si>
    <t>24-1-00308</t>
  </si>
  <si>
    <t>C1--01464</t>
  </si>
  <si>
    <t>P24-1-00406</t>
  </si>
  <si>
    <t>C1--01465</t>
  </si>
  <si>
    <t>P24-1-00718</t>
  </si>
  <si>
    <t>19-1-00068</t>
  </si>
  <si>
    <t>C1--01469</t>
  </si>
  <si>
    <t>P24-1-00151</t>
  </si>
  <si>
    <t>23-1-00033</t>
  </si>
  <si>
    <t>C1--01470</t>
  </si>
  <si>
    <t>P24-1-00537</t>
  </si>
  <si>
    <t>22-1-00076</t>
  </si>
  <si>
    <t>C1--01471</t>
  </si>
  <si>
    <t>P23-1-02570</t>
  </si>
  <si>
    <t>23-1-00633</t>
  </si>
  <si>
    <t>C1--01472</t>
  </si>
  <si>
    <t>P23-1-02507</t>
  </si>
  <si>
    <t>20-1-00678</t>
  </si>
  <si>
    <t>C1--01477</t>
  </si>
  <si>
    <t>P24-1-01768</t>
  </si>
  <si>
    <t>21-1-00226</t>
  </si>
  <si>
    <t>C1--01479</t>
  </si>
  <si>
    <t>P24-1-01984</t>
  </si>
  <si>
    <t>21-1-00256</t>
  </si>
  <si>
    <t>C1--01480</t>
  </si>
  <si>
    <t>P23-1-03403</t>
  </si>
  <si>
    <t>23-1-00818</t>
  </si>
  <si>
    <t>C1--01481</t>
  </si>
  <si>
    <t>P24-1-02192</t>
  </si>
  <si>
    <t>C1--01483</t>
  </si>
  <si>
    <t>P24-1-00749</t>
  </si>
  <si>
    <t>23-1-00160</t>
  </si>
  <si>
    <t>C1--01486</t>
  </si>
  <si>
    <t>P24-1-01476</t>
  </si>
  <si>
    <t>C1--01489</t>
  </si>
  <si>
    <t>P23-1-03548</t>
  </si>
  <si>
    <t>16-1-00312</t>
  </si>
  <si>
    <t>C1--01490</t>
  </si>
  <si>
    <t>P23-1-02953</t>
  </si>
  <si>
    <t>18-1-00353</t>
  </si>
  <si>
    <t>C1--01491</t>
  </si>
  <si>
    <t>P23-1-03802</t>
  </si>
  <si>
    <t>16-1-00337</t>
  </si>
  <si>
    <t>C1--01492</t>
  </si>
  <si>
    <t>P24-1-00121</t>
  </si>
  <si>
    <t>22-1-00018</t>
  </si>
  <si>
    <t>C1--01497</t>
  </si>
  <si>
    <t>P23-1-03663</t>
  </si>
  <si>
    <t>18-1-00427</t>
  </si>
  <si>
    <t>C1--01500</t>
  </si>
  <si>
    <t>P23-1-03881</t>
  </si>
  <si>
    <t>15-1-02365</t>
  </si>
  <si>
    <t>C1--01506</t>
  </si>
  <si>
    <t>P24-1-02288</t>
  </si>
  <si>
    <t>19-1-00236</t>
  </si>
  <si>
    <t>C1--01510</t>
  </si>
  <si>
    <t>P24-1-02183</t>
  </si>
  <si>
    <t>15-1-01204</t>
  </si>
  <si>
    <t>C1--01512</t>
  </si>
  <si>
    <t>P23-1-03196</t>
  </si>
  <si>
    <t>22-1-00371</t>
  </si>
  <si>
    <t>C1--01513</t>
  </si>
  <si>
    <t>P23-1-03064</t>
  </si>
  <si>
    <t>20-1-00830</t>
  </si>
  <si>
    <t>C1--00005</t>
  </si>
  <si>
    <t>P20-2-00035</t>
  </si>
  <si>
    <t>20-2-00035</t>
  </si>
  <si>
    <t>Product liability; high-venue counsel; trial set</t>
  </si>
  <si>
    <t>C1--00006</t>
  </si>
  <si>
    <t>P20-2-00146</t>
  </si>
  <si>
    <t>20-2-00146</t>
  </si>
  <si>
    <t>Punitive damages sought; internal emails produced</t>
  </si>
  <si>
    <t>C1--00007</t>
  </si>
  <si>
    <t>P20-2-00217</t>
  </si>
  <si>
    <t>20-2-00217</t>
  </si>
  <si>
    <t>Reptile theory; corporate safety indifference alleged</t>
  </si>
  <si>
    <t>C1--00009</t>
  </si>
  <si>
    <t>P20-2-00744</t>
  </si>
  <si>
    <t>20-2-00744</t>
  </si>
  <si>
    <t>Mass tort counsel; coordinated litigation filed</t>
  </si>
  <si>
    <t>C1--00010</t>
  </si>
  <si>
    <t>P20-2-00422</t>
  </si>
  <si>
    <t>20-2-00422</t>
  </si>
  <si>
    <t>C1--00011</t>
  </si>
  <si>
    <t>P20-2-00546</t>
  </si>
  <si>
    <t>20-2-00546</t>
  </si>
  <si>
    <t>C1--00013</t>
  </si>
  <si>
    <t>P20-2-00236</t>
  </si>
  <si>
    <t>20-2-00236</t>
  </si>
  <si>
    <t>C1--00020</t>
  </si>
  <si>
    <t>P20-2-00180</t>
  </si>
  <si>
    <t>20-2-00180</t>
  </si>
  <si>
    <t>Catastrophic burn injury; long-term disability claimed</t>
  </si>
  <si>
    <t>C1--00021</t>
  </si>
  <si>
    <t>P20-2-00124</t>
  </si>
  <si>
    <t>20-2-00124</t>
  </si>
  <si>
    <t>Time-limit demand; excess exposure; mediation failed</t>
  </si>
  <si>
    <t>C1--00022</t>
  </si>
  <si>
    <t>P20-2-00027</t>
  </si>
  <si>
    <t>20-2-00027</t>
  </si>
  <si>
    <t>Severe disfigurement; emotional distress claims added</t>
  </si>
  <si>
    <t>C1--00026</t>
  </si>
  <si>
    <t>P20-2-00106</t>
  </si>
  <si>
    <t>20-2-00106</t>
  </si>
  <si>
    <t>C1--00027</t>
  </si>
  <si>
    <t>P20-2-00570</t>
  </si>
  <si>
    <t>20-2-00570</t>
  </si>
  <si>
    <t>Catastrophic spinal injury; lifetime care; high demand</t>
  </si>
  <si>
    <t>C1--00031</t>
  </si>
  <si>
    <t>P20-2-00274</t>
  </si>
  <si>
    <t>20-2-00274</t>
  </si>
  <si>
    <t>C1--00038</t>
  </si>
  <si>
    <t>P20-2-00140</t>
  </si>
  <si>
    <t>20-2-00140</t>
  </si>
  <si>
    <t>Multiple wrongful deaths; layered limits exhausted</t>
  </si>
  <si>
    <t>C1--00041</t>
  </si>
  <si>
    <t>P20-2-01105</t>
  </si>
  <si>
    <t>20-2-01105</t>
  </si>
  <si>
    <t>C1--00044</t>
  </si>
  <si>
    <t>P20-2-00403</t>
  </si>
  <si>
    <t>20-2-00403</t>
  </si>
  <si>
    <t>Consolidated actions; multiple plaintiffs; discovery heavy</t>
  </si>
  <si>
    <t>C1--00045</t>
  </si>
  <si>
    <t>P20-2-00703</t>
  </si>
  <si>
    <t>20-2-00703</t>
  </si>
  <si>
    <t>C1--00047</t>
  </si>
  <si>
    <t>P20-2-00857</t>
  </si>
  <si>
    <t>20-2-00857</t>
  </si>
  <si>
    <t>Multiple injuries; event hosted; mass claims</t>
  </si>
  <si>
    <t>C1--00048</t>
  </si>
  <si>
    <t>P20-2-00599</t>
  </si>
  <si>
    <t>20-2-00599</t>
  </si>
  <si>
    <t>C1--00052</t>
  </si>
  <si>
    <t>P20-2-00269</t>
  </si>
  <si>
    <t>20-2-00269</t>
  </si>
  <si>
    <t>C1--00056</t>
  </si>
  <si>
    <t>P20-2-00701</t>
  </si>
  <si>
    <t>20-2-00701</t>
  </si>
  <si>
    <t>C1--00057</t>
  </si>
  <si>
    <t>P20-2-01138</t>
  </si>
  <si>
    <t>20-2-01138</t>
  </si>
  <si>
    <t>C1--00062</t>
  </si>
  <si>
    <t>P20-2-00791</t>
  </si>
  <si>
    <t>20-2-00791</t>
  </si>
  <si>
    <t>C1--00063</t>
  </si>
  <si>
    <t>P20-2-00275</t>
  </si>
  <si>
    <t>20-2-00275</t>
  </si>
  <si>
    <t>C1--00064</t>
  </si>
  <si>
    <t>P21-2-00308</t>
  </si>
  <si>
    <t>21-2-00169</t>
  </si>
  <si>
    <t>C1--00067</t>
  </si>
  <si>
    <t>P21-2-00282</t>
  </si>
  <si>
    <t>21-2-00150</t>
  </si>
  <si>
    <t>C1--00071</t>
  </si>
  <si>
    <t>P21-2-00035</t>
  </si>
  <si>
    <t>20-2-00016</t>
  </si>
  <si>
    <t>C1--00072</t>
  </si>
  <si>
    <t>P21-2-00587</t>
  </si>
  <si>
    <t>20-2-00323</t>
  </si>
  <si>
    <t>C1--00073</t>
  </si>
  <si>
    <t>P20-2-00557</t>
  </si>
  <si>
    <t>20-2-00557</t>
  </si>
  <si>
    <t>Wrongful death; premises defect; high damages</t>
  </si>
  <si>
    <t>C1--00074</t>
  </si>
  <si>
    <t>P20-2-00536</t>
  </si>
  <si>
    <t>20-2-00536</t>
  </si>
  <si>
    <t>C1--00075</t>
  </si>
  <si>
    <t>P21-2-00551</t>
  </si>
  <si>
    <t>21-2-00291</t>
  </si>
  <si>
    <t>C1--00080</t>
  </si>
  <si>
    <t>P21-2-00061</t>
  </si>
  <si>
    <t>21-2-00033</t>
  </si>
  <si>
    <t>C1--00082</t>
  </si>
  <si>
    <t>P21-2-00973</t>
  </si>
  <si>
    <t>20-2-00532</t>
  </si>
  <si>
    <t>C1--00087</t>
  </si>
  <si>
    <t>P21-2-01163</t>
  </si>
  <si>
    <t>21-2-00623</t>
  </si>
  <si>
    <t>Catastrophic TBI; guardianship; liens escalating</t>
  </si>
  <si>
    <t>C1--00090</t>
  </si>
  <si>
    <t>P21-2-00005</t>
  </si>
  <si>
    <t>20-2-00002</t>
  </si>
  <si>
    <t>C1--00103</t>
  </si>
  <si>
    <t>P21-2-01087</t>
  </si>
  <si>
    <t>20-2-00587</t>
  </si>
  <si>
    <t>C1--00104</t>
  </si>
  <si>
    <t>P20-2-01174</t>
  </si>
  <si>
    <t>20-2-01174</t>
  </si>
  <si>
    <t>C1--00106</t>
  </si>
  <si>
    <t>P20-2-01534</t>
  </si>
  <si>
    <t>20-2-01534</t>
  </si>
  <si>
    <t>C1--00109</t>
  </si>
  <si>
    <t>P21-2-01673</t>
  </si>
  <si>
    <t>20-2-00911</t>
  </si>
  <si>
    <t>C1--00110</t>
  </si>
  <si>
    <t>P20-2-01183</t>
  </si>
  <si>
    <t>20-2-01183</t>
  </si>
  <si>
    <t>C1--00113</t>
  </si>
  <si>
    <t>P21-2-01191</t>
  </si>
  <si>
    <t>20-2-00648</t>
  </si>
  <si>
    <t>C1--00114</t>
  </si>
  <si>
    <t>P20-2-00735</t>
  </si>
  <si>
    <t>20-2-00735</t>
  </si>
  <si>
    <t>C1--00115</t>
  </si>
  <si>
    <t>P21-2-00632</t>
  </si>
  <si>
    <t>21-2-00331</t>
  </si>
  <si>
    <t>C1--00116</t>
  </si>
  <si>
    <t>P20-2-01144</t>
  </si>
  <si>
    <t>20-2-01144</t>
  </si>
  <si>
    <t>C1--00120</t>
  </si>
  <si>
    <t>P20-2-00101</t>
  </si>
  <si>
    <t>20-2-00101</t>
  </si>
  <si>
    <t>C1--00121</t>
  </si>
  <si>
    <t>P21-2-00363</t>
  </si>
  <si>
    <t>21-2-00194</t>
  </si>
  <si>
    <t>C1--00122</t>
  </si>
  <si>
    <t>P21-2-00238</t>
  </si>
  <si>
    <t>21-2-00132</t>
  </si>
  <si>
    <t>C1--00123</t>
  </si>
  <si>
    <t>P21-2-00825</t>
  </si>
  <si>
    <t>21-2-00437</t>
  </si>
  <si>
    <t>C1--00124</t>
  </si>
  <si>
    <t>P21-2-00620</t>
  </si>
  <si>
    <t>21-2-00322</t>
  </si>
  <si>
    <t>C1--00127</t>
  </si>
  <si>
    <t>P20-2-00920</t>
  </si>
  <si>
    <t>20-2-00920</t>
  </si>
  <si>
    <t>C1--00131</t>
  </si>
  <si>
    <t>P20-2-01323</t>
  </si>
  <si>
    <t>20-2-01323</t>
  </si>
  <si>
    <t>C1--00132</t>
  </si>
  <si>
    <t>P21-2-01783</t>
  </si>
  <si>
    <t>21-2-00961</t>
  </si>
  <si>
    <t>C1--00138</t>
  </si>
  <si>
    <t>P21-2-00862</t>
  </si>
  <si>
    <t>20-2-00473</t>
  </si>
  <si>
    <t>C1--00139</t>
  </si>
  <si>
    <t>P21-2-00653</t>
  </si>
  <si>
    <t>21-2-00343</t>
  </si>
  <si>
    <t>C1--00140</t>
  </si>
  <si>
    <t>P21-2-01452</t>
  </si>
  <si>
    <t>21-2-00782</t>
  </si>
  <si>
    <t>C1--00142</t>
  </si>
  <si>
    <t>P21-2-01551</t>
  </si>
  <si>
    <t>20-2-00843</t>
  </si>
  <si>
    <t>C1--00145</t>
  </si>
  <si>
    <t>P21-2-00489</t>
  </si>
  <si>
    <t>21-2-00258</t>
  </si>
  <si>
    <t>C1--00147</t>
  </si>
  <si>
    <t>P21-2-01512</t>
  </si>
  <si>
    <t>21-2-00820</t>
  </si>
  <si>
    <t>C1--00152</t>
  </si>
  <si>
    <t>P21-2-01766</t>
  </si>
  <si>
    <t>20-2-00971</t>
  </si>
  <si>
    <t>C1--00156</t>
  </si>
  <si>
    <t>P21-2-00882</t>
  </si>
  <si>
    <t>21-2-00468</t>
  </si>
  <si>
    <t>C1--00158</t>
  </si>
  <si>
    <t>P21-2-00494</t>
  </si>
  <si>
    <t>20-2-00270</t>
  </si>
  <si>
    <t>C1--00161</t>
  </si>
  <si>
    <t>P21-2-01320</t>
  </si>
  <si>
    <t>20-2-00727</t>
  </si>
  <si>
    <t>C1--00164</t>
  </si>
  <si>
    <t>P21-2-00262</t>
  </si>
  <si>
    <t>20-2-00147</t>
  </si>
  <si>
    <t>C1--00166</t>
  </si>
  <si>
    <t>P21-2-01901</t>
  </si>
  <si>
    <t>21-2-01018</t>
  </si>
  <si>
    <t>C1--00168</t>
  </si>
  <si>
    <t>P21-2-01514</t>
  </si>
  <si>
    <t>21-2-00822</t>
  </si>
  <si>
    <t>C1--00170</t>
  </si>
  <si>
    <t>P21-2-01550</t>
  </si>
  <si>
    <t>20-2-00839</t>
  </si>
  <si>
    <t>C1--00172</t>
  </si>
  <si>
    <t>P21-2-00694</t>
  </si>
  <si>
    <t>20-2-00378</t>
  </si>
  <si>
    <t>C1--00181</t>
  </si>
  <si>
    <t>P21-2-01002</t>
  </si>
  <si>
    <t>21-2-00535</t>
  </si>
  <si>
    <t>C1--00183</t>
  </si>
  <si>
    <t>P21-2-01480</t>
  </si>
  <si>
    <t>21-2-00799</t>
  </si>
  <si>
    <t>C1--00187</t>
  </si>
  <si>
    <t>P21-2-01682</t>
  </si>
  <si>
    <t>21-2-00903</t>
  </si>
  <si>
    <t>C1--00189</t>
  </si>
  <si>
    <t>P21-2-01887</t>
  </si>
  <si>
    <t>20-2-01039</t>
  </si>
  <si>
    <t>C1--00191</t>
  </si>
  <si>
    <t>P21-2-01641</t>
  </si>
  <si>
    <t>21-2-00885</t>
  </si>
  <si>
    <t>C1--00193</t>
  </si>
  <si>
    <t>P21-2-02417</t>
  </si>
  <si>
    <t>20-2-01312</t>
  </si>
  <si>
    <t>C1--00198</t>
  </si>
  <si>
    <t>P21-2-02826</t>
  </si>
  <si>
    <t>21-2-01526</t>
  </si>
  <si>
    <t>C1--00200</t>
  </si>
  <si>
    <t>P21-2-00921</t>
  </si>
  <si>
    <t>21-2-00490</t>
  </si>
  <si>
    <t>C1--00205</t>
  </si>
  <si>
    <t>P21-2-02071</t>
  </si>
  <si>
    <t>20-2-01133</t>
  </si>
  <si>
    <t>C1--00207</t>
  </si>
  <si>
    <t>P21-2-00636</t>
  </si>
  <si>
    <t>20-2-00353</t>
  </si>
  <si>
    <t>C1--00210</t>
  </si>
  <si>
    <t>P21-2-01205</t>
  </si>
  <si>
    <t>21-2-00642</t>
  </si>
  <si>
    <t>C1--00212</t>
  </si>
  <si>
    <t>P21-2-01871</t>
  </si>
  <si>
    <t>20-2-01032</t>
  </si>
  <si>
    <t>C1--00215</t>
  </si>
  <si>
    <t>P21-2-02369</t>
  </si>
  <si>
    <t>21-2-01281</t>
  </si>
  <si>
    <t>C1--00216</t>
  </si>
  <si>
    <t>P21-2-02830</t>
  </si>
  <si>
    <t>20-2-01535</t>
  </si>
  <si>
    <t>C1--00220</t>
  </si>
  <si>
    <t>P21-2-00548</t>
  </si>
  <si>
    <t>21-2-00288</t>
  </si>
  <si>
    <t>C1--00221</t>
  </si>
  <si>
    <t>P21-2-01495</t>
  </si>
  <si>
    <t>21-2-00808</t>
  </si>
  <si>
    <t>C1--00222</t>
  </si>
  <si>
    <t>P21-2-02599</t>
  </si>
  <si>
    <t>20-2-01408</t>
  </si>
  <si>
    <t>C1--00228</t>
  </si>
  <si>
    <t>P22-2-00111</t>
  </si>
  <si>
    <t>21-2-00057</t>
  </si>
  <si>
    <t>C1--00229</t>
  </si>
  <si>
    <t>P22-2-00471</t>
  </si>
  <si>
    <t>21-2-00233</t>
  </si>
  <si>
    <t>C1--00231</t>
  </si>
  <si>
    <t>P22-2-00450</t>
  </si>
  <si>
    <t>21-2-00218</t>
  </si>
  <si>
    <t>C1--00236</t>
  </si>
  <si>
    <t>P22-2-00811</t>
  </si>
  <si>
    <t>20-2-00408</t>
  </si>
  <si>
    <t>C1--00237</t>
  </si>
  <si>
    <t>P22-2-00357</t>
  </si>
  <si>
    <t>C1--00238</t>
  </si>
  <si>
    <t>P21-2-00543</t>
  </si>
  <si>
    <t>20-2-00297</t>
  </si>
  <si>
    <t>C1--00239</t>
  </si>
  <si>
    <t>P22-2-01105</t>
  </si>
  <si>
    <t>20-2-00555</t>
  </si>
  <si>
    <t>C1--00240</t>
  </si>
  <si>
    <t>P21-2-00527</t>
  </si>
  <si>
    <t>20-2-00288</t>
  </si>
  <si>
    <t>C1--00241</t>
  </si>
  <si>
    <t>P21-2-02144</t>
  </si>
  <si>
    <t>21-2-01151</t>
  </si>
  <si>
    <t>C1--00243</t>
  </si>
  <si>
    <t>P21-2-01561</t>
  </si>
  <si>
    <t>20-2-00849</t>
  </si>
  <si>
    <t>C1--00248</t>
  </si>
  <si>
    <t>P22-2-00016</t>
  </si>
  <si>
    <t>21-2-00008</t>
  </si>
  <si>
    <t>C1--00249</t>
  </si>
  <si>
    <t>P21-2-02437</t>
  </si>
  <si>
    <t>21-2-01322</t>
  </si>
  <si>
    <t>C1--00253</t>
  </si>
  <si>
    <t>P21-2-01634</t>
  </si>
  <si>
    <t>20-2-00889</t>
  </si>
  <si>
    <t>C1--00257</t>
  </si>
  <si>
    <t>P22-2-01025</t>
  </si>
  <si>
    <t>20-2-00520</t>
  </si>
  <si>
    <t>C1--00258</t>
  </si>
  <si>
    <t>P21-2-02087</t>
  </si>
  <si>
    <t>21-2-01120</t>
  </si>
  <si>
    <t>C1--00266</t>
  </si>
  <si>
    <t>P22-2-00745</t>
  </si>
  <si>
    <t>21-2-00357</t>
  </si>
  <si>
    <t>C1--00267</t>
  </si>
  <si>
    <t>P22-2-00862</t>
  </si>
  <si>
    <t>20-2-00440</t>
  </si>
  <si>
    <t>C1--00268</t>
  </si>
  <si>
    <t>P21-2-02300</t>
  </si>
  <si>
    <t>20-2-01255</t>
  </si>
  <si>
    <t>C1--00271</t>
  </si>
  <si>
    <t>P21-2-02700</t>
  </si>
  <si>
    <t>21-2-01464</t>
  </si>
  <si>
    <t>C1--00274</t>
  </si>
  <si>
    <t>P22-2-01656</t>
  </si>
  <si>
    <t>21-2-00834</t>
  </si>
  <si>
    <t>C1--00275</t>
  </si>
  <si>
    <t>P22-2-00105</t>
  </si>
  <si>
    <t>22-2-00022</t>
  </si>
  <si>
    <t>C1--00276</t>
  </si>
  <si>
    <t>P22-2-00367</t>
  </si>
  <si>
    <t>22-2-00088</t>
  </si>
  <si>
    <t>C1--00279</t>
  </si>
  <si>
    <t>P22-2-00083</t>
  </si>
  <si>
    <t>20-2-00039</t>
  </si>
  <si>
    <t>C1--00280</t>
  </si>
  <si>
    <t>P22-2-01397</t>
  </si>
  <si>
    <t>22-2-00295</t>
  </si>
  <si>
    <t>C1--00284</t>
  </si>
  <si>
    <t>P22-2-01161</t>
  </si>
  <si>
    <t>21-2-00581</t>
  </si>
  <si>
    <t>C1--00292</t>
  </si>
  <si>
    <t>P22-2-01983</t>
  </si>
  <si>
    <t>20-2-01002</t>
  </si>
  <si>
    <t>C1--00293</t>
  </si>
  <si>
    <t>P21-2-02644</t>
  </si>
  <si>
    <t>21-2-01436</t>
  </si>
  <si>
    <t>C1--00294</t>
  </si>
  <si>
    <t>P21-2-02454</t>
  </si>
  <si>
    <t>21-2-01333</t>
  </si>
  <si>
    <t>C1--00299</t>
  </si>
  <si>
    <t>P22-2-01613</t>
  </si>
  <si>
    <t>21-2-00805</t>
  </si>
  <si>
    <t>C1--00301</t>
  </si>
  <si>
    <t>P22-2-02037</t>
  </si>
  <si>
    <t>21-2-01003</t>
  </si>
  <si>
    <t>C1--00304</t>
  </si>
  <si>
    <t>P22-2-00197</t>
  </si>
  <si>
    <t>20-2-00102</t>
  </si>
  <si>
    <t>C1--00306</t>
  </si>
  <si>
    <t>P21-2-02705</t>
  </si>
  <si>
    <t>20-2-01463</t>
  </si>
  <si>
    <t>C1--00307</t>
  </si>
  <si>
    <t>P22-2-02031</t>
  </si>
  <si>
    <t>C1--00308</t>
  </si>
  <si>
    <t>P22-2-02424</t>
  </si>
  <si>
    <t>20-2-01231</t>
  </si>
  <si>
    <t>C1--00310</t>
  </si>
  <si>
    <t>P22-2-02287</t>
  </si>
  <si>
    <t>21-2-01131</t>
  </si>
  <si>
    <t>C1--00311</t>
  </si>
  <si>
    <t>P22-2-00705</t>
  </si>
  <si>
    <t>20-2-00356</t>
  </si>
  <si>
    <t>C1--00312</t>
  </si>
  <si>
    <t>P22-2-02128</t>
  </si>
  <si>
    <t>21-2-01045</t>
  </si>
  <si>
    <t>C1--00313</t>
  </si>
  <si>
    <t>P22-2-02054</t>
  </si>
  <si>
    <t>22-2-00446</t>
  </si>
  <si>
    <t>C1--00316</t>
  </si>
  <si>
    <t>P22-2-00278</t>
  </si>
  <si>
    <t>21-2-00134</t>
  </si>
  <si>
    <t>C1--00317</t>
  </si>
  <si>
    <t>P22-2-02308</t>
  </si>
  <si>
    <t>20-2-01165</t>
  </si>
  <si>
    <t>C1--00319</t>
  </si>
  <si>
    <t>P22-2-01812</t>
  </si>
  <si>
    <t>20-2-00914</t>
  </si>
  <si>
    <t>C1--00325</t>
  </si>
  <si>
    <t>P21-2-02435</t>
  </si>
  <si>
    <t>21-2-01320</t>
  </si>
  <si>
    <t>C1--00333</t>
  </si>
  <si>
    <t>P22-2-00118</t>
  </si>
  <si>
    <t>21-2-00058</t>
  </si>
  <si>
    <t>C1--00337</t>
  </si>
  <si>
    <t>P22-2-00521</t>
  </si>
  <si>
    <t>21-2-00253</t>
  </si>
  <si>
    <t>C1--00340</t>
  </si>
  <si>
    <t>P22-2-02251</t>
  </si>
  <si>
    <t>22-2-00475</t>
  </si>
  <si>
    <t>C1--00342</t>
  </si>
  <si>
    <t>P22-2-00844</t>
  </si>
  <si>
    <t>21-2-00414</t>
  </si>
  <si>
    <t>C1--00343</t>
  </si>
  <si>
    <t>P22-2-01308</t>
  </si>
  <si>
    <t>20-2-00679</t>
  </si>
  <si>
    <t>C1--00348</t>
  </si>
  <si>
    <t>P22-2-00114</t>
  </si>
  <si>
    <t>22-2-00025</t>
  </si>
  <si>
    <t>C1--00350</t>
  </si>
  <si>
    <t>P22-2-01367</t>
  </si>
  <si>
    <t>21-2-00679</t>
  </si>
  <si>
    <t>C1--00352</t>
  </si>
  <si>
    <t>P22-2-02321</t>
  </si>
  <si>
    <t>20-2-01175</t>
  </si>
  <si>
    <t>C1--00356</t>
  </si>
  <si>
    <t>P22-2-01365</t>
  </si>
  <si>
    <t>22-2-00285</t>
  </si>
  <si>
    <t>C1--00357</t>
  </si>
  <si>
    <t>P22-2-00506</t>
  </si>
  <si>
    <t>22-2-00110</t>
  </si>
  <si>
    <t>C1--00358</t>
  </si>
  <si>
    <t>P23-2-00125</t>
  </si>
  <si>
    <t>21-2-00056</t>
  </si>
  <si>
    <t>C1--00365</t>
  </si>
  <si>
    <t>P22-2-01709</t>
  </si>
  <si>
    <t>21-2-00851</t>
  </si>
  <si>
    <t>C1--00366</t>
  </si>
  <si>
    <t>P22-2-02912</t>
  </si>
  <si>
    <t>20-2-01471</t>
  </si>
  <si>
    <t>C1--00368</t>
  </si>
  <si>
    <t>P22-2-00396</t>
  </si>
  <si>
    <t>21-2-00188</t>
  </si>
  <si>
    <t>C1--00369</t>
  </si>
  <si>
    <t>P22-2-01645</t>
  </si>
  <si>
    <t>20-2-00831</t>
  </si>
  <si>
    <t>C1--00373</t>
  </si>
  <si>
    <t>P22-2-00411</t>
  </si>
  <si>
    <t>21-2-00191</t>
  </si>
  <si>
    <t>C1--00376</t>
  </si>
  <si>
    <t>P22-2-02704</t>
  </si>
  <si>
    <t>20-2-01360</t>
  </si>
  <si>
    <t>C1--00378</t>
  </si>
  <si>
    <t>P22-2-01649</t>
  </si>
  <si>
    <t>21-2-00829</t>
  </si>
  <si>
    <t>C1--00379</t>
  </si>
  <si>
    <t>P22-2-02161</t>
  </si>
  <si>
    <t>21-2-01068</t>
  </si>
  <si>
    <t>C1--00380</t>
  </si>
  <si>
    <t>P23-2-00605</t>
  </si>
  <si>
    <t>22-2-00123</t>
  </si>
  <si>
    <t>C1--00383</t>
  </si>
  <si>
    <t>P23-2-00200</t>
  </si>
  <si>
    <t>21-2-00091</t>
  </si>
  <si>
    <t>C1--00388</t>
  </si>
  <si>
    <t>P23-2-00137</t>
  </si>
  <si>
    <t>C1--00389</t>
  </si>
  <si>
    <t>P22-2-01154</t>
  </si>
  <si>
    <t>22-2-00250</t>
  </si>
  <si>
    <t>C1--00390</t>
  </si>
  <si>
    <t>P22-2-02947</t>
  </si>
  <si>
    <t>22-2-00616</t>
  </si>
  <si>
    <t>C1--00391</t>
  </si>
  <si>
    <t>P23-2-00420</t>
  </si>
  <si>
    <t>21-2-00187</t>
  </si>
  <si>
    <t>C1--00396</t>
  </si>
  <si>
    <t>P22-2-01754</t>
  </si>
  <si>
    <t>21-2-00876</t>
  </si>
  <si>
    <t>C1--00398</t>
  </si>
  <si>
    <t>P22-2-02363</t>
  </si>
  <si>
    <t>20-2-01196</t>
  </si>
  <si>
    <t>C1--00399</t>
  </si>
  <si>
    <t>P22-2-02021</t>
  </si>
  <si>
    <t>21-2-00997</t>
  </si>
  <si>
    <t>C1--00405</t>
  </si>
  <si>
    <t>P22-2-01672</t>
  </si>
  <si>
    <t>20-2-00844</t>
  </si>
  <si>
    <t>C1--00411</t>
  </si>
  <si>
    <t>P23-2-00339</t>
  </si>
  <si>
    <t>C1--00413</t>
  </si>
  <si>
    <t>P22-2-02837</t>
  </si>
  <si>
    <t>20-2-01421</t>
  </si>
  <si>
    <t>C1--00414</t>
  </si>
  <si>
    <t>P22-2-02338</t>
  </si>
  <si>
    <t>21-2-01165</t>
  </si>
  <si>
    <t>C1--00415</t>
  </si>
  <si>
    <t>P23-2-00251</t>
  </si>
  <si>
    <t>20-2-00112</t>
  </si>
  <si>
    <t>C1--00417</t>
  </si>
  <si>
    <t>P23-2-01412</t>
  </si>
  <si>
    <t>23-2-00273</t>
  </si>
  <si>
    <t>C1--00418</t>
  </si>
  <si>
    <t>P22-2-02399</t>
  </si>
  <si>
    <t>20-2-01224</t>
  </si>
  <si>
    <t>C1--00421</t>
  </si>
  <si>
    <t>P22-2-01895</t>
  </si>
  <si>
    <t>22-2-00409</t>
  </si>
  <si>
    <t>C1--00422</t>
  </si>
  <si>
    <t>P22-2-02392</t>
  </si>
  <si>
    <t>20-2-01213</t>
  </si>
  <si>
    <t>C1--00426</t>
  </si>
  <si>
    <t>P22-2-02957</t>
  </si>
  <si>
    <t>20-2-01493</t>
  </si>
  <si>
    <t>C1--00428</t>
  </si>
  <si>
    <t>P23-2-01815</t>
  </si>
  <si>
    <t>20-2-00862</t>
  </si>
  <si>
    <t>C1--00432</t>
  </si>
  <si>
    <t>P22-2-02605</t>
  </si>
  <si>
    <t>21-2-01311</t>
  </si>
  <si>
    <t>C1--00434</t>
  </si>
  <si>
    <t>P22-2-02405</t>
  </si>
  <si>
    <t>22-2-00505</t>
  </si>
  <si>
    <t>C1--00438</t>
  </si>
  <si>
    <t>P22-2-02679</t>
  </si>
  <si>
    <t>21-2-01341</t>
  </si>
  <si>
    <t>C1--00439</t>
  </si>
  <si>
    <t>P23-2-00603</t>
  </si>
  <si>
    <t>22-2-00124</t>
  </si>
  <si>
    <t>C1--00440</t>
  </si>
  <si>
    <t>P23-2-00132</t>
  </si>
  <si>
    <t>22-2-00024</t>
  </si>
  <si>
    <t>C1--00442</t>
  </si>
  <si>
    <t>P22-2-02538</t>
  </si>
  <si>
    <t>21-2-01278</t>
  </si>
  <si>
    <t>C1--00447</t>
  </si>
  <si>
    <t>P23-2-01666</t>
  </si>
  <si>
    <t>22-2-00338</t>
  </si>
  <si>
    <t>C1--00450</t>
  </si>
  <si>
    <t>P23-2-00309</t>
  </si>
  <si>
    <t>21-2-00141</t>
  </si>
  <si>
    <t>C1--00451</t>
  </si>
  <si>
    <t>P22-2-02299</t>
  </si>
  <si>
    <t>21-2-01137</t>
  </si>
  <si>
    <t>C1--00456</t>
  </si>
  <si>
    <t>P23-2-00836</t>
  </si>
  <si>
    <t>21-2-00381</t>
  </si>
  <si>
    <t>C1--00461</t>
  </si>
  <si>
    <t>P23-2-01405</t>
  </si>
  <si>
    <t>20-2-00686</t>
  </si>
  <si>
    <t>C1--00463</t>
  </si>
  <si>
    <t>P23-2-00170</t>
  </si>
  <si>
    <t>20-2-00079</t>
  </si>
  <si>
    <t>C1--00466</t>
  </si>
  <si>
    <t>P22-2-02160</t>
  </si>
  <si>
    <t>21-2-01066</t>
  </si>
  <si>
    <t>C1--00467</t>
  </si>
  <si>
    <t>P22-2-00265</t>
  </si>
  <si>
    <t>20-2-00134</t>
  </si>
  <si>
    <t>C1--00468</t>
  </si>
  <si>
    <t>P22-2-01331</t>
  </si>
  <si>
    <t>20-2-00690</t>
  </si>
  <si>
    <t>C1--00470</t>
  </si>
  <si>
    <t>P23-2-00519</t>
  </si>
  <si>
    <t>23-2-00100</t>
  </si>
  <si>
    <t>C1--00471</t>
  </si>
  <si>
    <t>P23-2-00449</t>
  </si>
  <si>
    <t>23-2-00088</t>
  </si>
  <si>
    <t>C1--00473</t>
  </si>
  <si>
    <t>C1--00474</t>
  </si>
  <si>
    <t>P23-2-00319</t>
  </si>
  <si>
    <t>21-2-00148</t>
  </si>
  <si>
    <t>C1--00477</t>
  </si>
  <si>
    <t>P23-2-00347</t>
  </si>
  <si>
    <t>21-2-00156</t>
  </si>
  <si>
    <t>C1--00481</t>
  </si>
  <si>
    <t>P23-2-00602</t>
  </si>
  <si>
    <t>21-2-00271</t>
  </si>
  <si>
    <t>C1--00484</t>
  </si>
  <si>
    <t>P23-2-01204</t>
  </si>
  <si>
    <t>21-2-00576</t>
  </si>
  <si>
    <t>C1--00487</t>
  </si>
  <si>
    <t>P23-2-00419</t>
  </si>
  <si>
    <t>21-2-00186</t>
  </si>
  <si>
    <t>C1--00488</t>
  </si>
  <si>
    <t>P23-2-01561</t>
  </si>
  <si>
    <t>21-2-00726</t>
  </si>
  <si>
    <t>C1--00493</t>
  </si>
  <si>
    <t>P23-2-01429</t>
  </si>
  <si>
    <t>20-2-00695</t>
  </si>
  <si>
    <t>C1--00498</t>
  </si>
  <si>
    <t>P23-2-01486</t>
  </si>
  <si>
    <t>21-2-00686</t>
  </si>
  <si>
    <t>C1--00499</t>
  </si>
  <si>
    <t>P23-2-02196</t>
  </si>
  <si>
    <t>22-2-00455</t>
  </si>
  <si>
    <t>C1--00500</t>
  </si>
  <si>
    <t>P23-2-01680</t>
  </si>
  <si>
    <t>22-2-00342</t>
  </si>
  <si>
    <t>C1--00504</t>
  </si>
  <si>
    <t>P23-2-01090</t>
  </si>
  <si>
    <t>23-2-00202</t>
  </si>
  <si>
    <t>C1--00507</t>
  </si>
  <si>
    <t>P23-2-02672</t>
  </si>
  <si>
    <t>21-2-01275</t>
  </si>
  <si>
    <t>C1--00511</t>
  </si>
  <si>
    <t>P23-2-00073</t>
  </si>
  <si>
    <t>23-2-00015</t>
  </si>
  <si>
    <t>C1--00517</t>
  </si>
  <si>
    <t>P23-2-02859</t>
  </si>
  <si>
    <t>20-2-01363</t>
  </si>
  <si>
    <t>C1--00518</t>
  </si>
  <si>
    <t>P22-2-02357</t>
  </si>
  <si>
    <t>21-2-01172</t>
  </si>
  <si>
    <t>C1--00521</t>
  </si>
  <si>
    <t>P23-2-01724</t>
  </si>
  <si>
    <t>23-2-00331</t>
  </si>
  <si>
    <t>C1--00525</t>
  </si>
  <si>
    <t>P23-2-00677</t>
  </si>
  <si>
    <t>23-2-00131</t>
  </si>
  <si>
    <t>C1--00527</t>
  </si>
  <si>
    <t>P23-2-01933</t>
  </si>
  <si>
    <t>20-2-00931</t>
  </si>
  <si>
    <t>C1--00529</t>
  </si>
  <si>
    <t>P23-2-01610</t>
  </si>
  <si>
    <t>20-2-00765</t>
  </si>
  <si>
    <t>C1--00532</t>
  </si>
  <si>
    <t>P24-2-00628</t>
  </si>
  <si>
    <t>24-2-00104</t>
  </si>
  <si>
    <t>C1--00533</t>
  </si>
  <si>
    <t>P23-2-01557</t>
  </si>
  <si>
    <t>21-2-00721</t>
  </si>
  <si>
    <t>C1--00534</t>
  </si>
  <si>
    <t>P23-2-01879</t>
  </si>
  <si>
    <t>23-2-00351</t>
  </si>
  <si>
    <t>C1--00538</t>
  </si>
  <si>
    <t>P23-2-00445</t>
  </si>
  <si>
    <t>21-2-00200</t>
  </si>
  <si>
    <t>C1--00539</t>
  </si>
  <si>
    <t>P23-2-01627</t>
  </si>
  <si>
    <t>22-2-00324</t>
  </si>
  <si>
    <t>C1--00541</t>
  </si>
  <si>
    <t>P23-2-03008</t>
  </si>
  <si>
    <t>23-2-00578</t>
  </si>
  <si>
    <t>C1--00542</t>
  </si>
  <si>
    <t>P23-2-01388</t>
  </si>
  <si>
    <t>21-2-00653</t>
  </si>
  <si>
    <t>C1--00544</t>
  </si>
  <si>
    <t>P23-2-00681</t>
  </si>
  <si>
    <t>22-2-00146</t>
  </si>
  <si>
    <t>C1--00545</t>
  </si>
  <si>
    <t>P24-2-00027</t>
  </si>
  <si>
    <t>21-2-00016</t>
  </si>
  <si>
    <t>C1--00548</t>
  </si>
  <si>
    <t>P23-2-00589</t>
  </si>
  <si>
    <t>23-2-00114</t>
  </si>
  <si>
    <t>C1--00549</t>
  </si>
  <si>
    <t>P23-2-02400</t>
  </si>
  <si>
    <t>C1--00559</t>
  </si>
  <si>
    <t>P24-2-00051</t>
  </si>
  <si>
    <t>22-2-00008</t>
  </si>
  <si>
    <t>C1--00561</t>
  </si>
  <si>
    <t>P21-2-02099</t>
  </si>
  <si>
    <t>21-2-01126</t>
  </si>
  <si>
    <t>C1--00562</t>
  </si>
  <si>
    <t>P23-2-03104</t>
  </si>
  <si>
    <t>21-2-01484</t>
  </si>
  <si>
    <t>C1--00563</t>
  </si>
  <si>
    <t>P23-2-02983</t>
  </si>
  <si>
    <t>22-2-00599</t>
  </si>
  <si>
    <t>C1--00564</t>
  </si>
  <si>
    <t>P24-2-00405</t>
  </si>
  <si>
    <t>20-2-00187</t>
  </si>
  <si>
    <t>C1--00566</t>
  </si>
  <si>
    <t>P23-2-01637</t>
  </si>
  <si>
    <t>20-2-00776</t>
  </si>
  <si>
    <t>C1--00569</t>
  </si>
  <si>
    <t>P24-2-01280</t>
  </si>
  <si>
    <t>23-2-00232</t>
  </si>
  <si>
    <t>C1--00570</t>
  </si>
  <si>
    <t>P24-2-00523</t>
  </si>
  <si>
    <t>24-2-00085</t>
  </si>
  <si>
    <t>C1--00571</t>
  </si>
  <si>
    <t>P23-2-02957</t>
  </si>
  <si>
    <t>22-2-00591</t>
  </si>
  <si>
    <t>C1--00577</t>
  </si>
  <si>
    <t>P23-2-02347</t>
  </si>
  <si>
    <t>23-2-00441</t>
  </si>
  <si>
    <t>C1--00578</t>
  </si>
  <si>
    <t>P23-2-01255</t>
  </si>
  <si>
    <t>21-2-00594</t>
  </si>
  <si>
    <t>C1--00583</t>
  </si>
  <si>
    <t>P23-2-01471</t>
  </si>
  <si>
    <t>21-2-00680</t>
  </si>
  <si>
    <t>C1--00585</t>
  </si>
  <si>
    <t>P23-2-01692</t>
  </si>
  <si>
    <t>22-2-00346</t>
  </si>
  <si>
    <t>C1--00589</t>
  </si>
  <si>
    <t>P23-2-01927</t>
  </si>
  <si>
    <t>21-2-00909</t>
  </si>
  <si>
    <t>C1--00590</t>
  </si>
  <si>
    <t>C1--00592</t>
  </si>
  <si>
    <t>P24-2-01285</t>
  </si>
  <si>
    <t>20-2-00612</t>
  </si>
  <si>
    <t>C1--00593</t>
  </si>
  <si>
    <t>P23-2-01395</t>
  </si>
  <si>
    <t>23-2-00265</t>
  </si>
  <si>
    <t>C1--00594</t>
  </si>
  <si>
    <t>P23-2-02663</t>
  </si>
  <si>
    <t>21-2-01267</t>
  </si>
  <si>
    <t>C1--00596</t>
  </si>
  <si>
    <t>P23-2-02104</t>
  </si>
  <si>
    <t>21-2-00994</t>
  </si>
  <si>
    <t>C1--00597</t>
  </si>
  <si>
    <t>P24-2-01312</t>
  </si>
  <si>
    <t>23-2-00239</t>
  </si>
  <si>
    <t>C1--00600</t>
  </si>
  <si>
    <t>P23-2-02955</t>
  </si>
  <si>
    <t>22-2-00590</t>
  </si>
  <si>
    <t>C1--00602</t>
  </si>
  <si>
    <t>P24-2-01904</t>
  </si>
  <si>
    <t>21-2-00896</t>
  </si>
  <si>
    <t>C1--00605</t>
  </si>
  <si>
    <t>C1--00606</t>
  </si>
  <si>
    <t>P23-2-02623</t>
  </si>
  <si>
    <t>20-2-01267</t>
  </si>
  <si>
    <t>C1--00607</t>
  </si>
  <si>
    <t>P24-2-01541</t>
  </si>
  <si>
    <t>21-2-00711</t>
  </si>
  <si>
    <t>C1--00608</t>
  </si>
  <si>
    <t>P23-2-02731</t>
  </si>
  <si>
    <t>23-2-00524</t>
  </si>
  <si>
    <t>C1--00610</t>
  </si>
  <si>
    <t>P23-2-02912</t>
  </si>
  <si>
    <t>21-2-01389</t>
  </si>
  <si>
    <t>C1--00617</t>
  </si>
  <si>
    <t>P24-2-01151</t>
  </si>
  <si>
    <t>21-2-00526</t>
  </si>
  <si>
    <t>C1--00618</t>
  </si>
  <si>
    <t>P24-2-02387</t>
  </si>
  <si>
    <t>21-2-01115</t>
  </si>
  <si>
    <t>C1--00619</t>
  </si>
  <si>
    <t>P24-2-01142</t>
  </si>
  <si>
    <t>20-2-00539</t>
  </si>
  <si>
    <t>C1--00624</t>
  </si>
  <si>
    <t>P24-2-01040</t>
  </si>
  <si>
    <t>24-2-00168</t>
  </si>
  <si>
    <t>C1--00626</t>
  </si>
  <si>
    <t>P21-2-02130</t>
  </si>
  <si>
    <t>21-2-01144</t>
  </si>
  <si>
    <t>C1--00629</t>
  </si>
  <si>
    <t>P24-2-01305</t>
  </si>
  <si>
    <t>20-2-00621</t>
  </si>
  <si>
    <t>C1--00633</t>
  </si>
  <si>
    <t>P24-2-00540</t>
  </si>
  <si>
    <t>21-2-00243</t>
  </si>
  <si>
    <t>Retail / Main Street Commercial Umbrella</t>
  </si>
  <si>
    <t>Middle Market Umbrella</t>
  </si>
  <si>
    <t>Proj. 4/1/25- 3/31/26</t>
  </si>
  <si>
    <t>Data as of: 11/30/2024</t>
  </si>
  <si>
    <t>$5,000,000 xs $5,000,000</t>
  </si>
  <si>
    <t>2 free; 2 @ 100%</t>
  </si>
  <si>
    <t>NA</t>
  </si>
  <si>
    <t>Expense</t>
  </si>
  <si>
    <t>Minor dog bite; stitches; small demand</t>
  </si>
  <si>
    <t>Burn from hot beverage; scarring alleged</t>
  </si>
  <si>
    <t>Exhaustion across layers; massive wrongful deaths; nuclear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</si>
</sst>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9" fontId="0" fillId="0" borderId="0" xfId="1" applyFon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H22" sqref="H22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tr">
        <f>"Broker Fung is pleased to present the reinsurance underwriting information for the Insurer Atlanta Umbrella XOL reinsurance program effective "&amp;TEXT(C7,"mm/dd/yyyy")</f>
        <v>Broker Fung is pleased to present the reinsurance underwriting information for the Insurer Atlanta Umbrella XOL reinsurance program effective 04/01/2025</v>
      </c>
    </row>
    <row r="2" spans="1:5" x14ac:dyDescent="0.25">
      <c r="A2" t="s">
        <v>0</v>
      </c>
    </row>
    <row r="3" spans="1:5" x14ac:dyDescent="0.25">
      <c r="A3" s="1"/>
    </row>
    <row r="5" spans="1:5" x14ac:dyDescent="0.25">
      <c r="A5" t="s">
        <v>1</v>
      </c>
    </row>
    <row r="6" spans="1:5" x14ac:dyDescent="0.25">
      <c r="A6" t="s">
        <v>85</v>
      </c>
      <c r="B6" t="str">
        <f>"Risk attaching, new &amp; renewal policies on or after "&amp;TEXT(C7,"Mmmm dd, yyyy")</f>
        <v>Risk attaching, new &amp; renewal policies on or after April 01, 2025</v>
      </c>
    </row>
    <row r="7" spans="1:5" x14ac:dyDescent="0.25">
      <c r="A7" t="s">
        <v>84</v>
      </c>
      <c r="B7" t="s">
        <v>82</v>
      </c>
      <c r="C7" s="2">
        <v>45748</v>
      </c>
      <c r="D7" t="s">
        <v>83</v>
      </c>
      <c r="E7" s="2">
        <v>46112</v>
      </c>
    </row>
    <row r="8" spans="1:5" x14ac:dyDescent="0.25">
      <c r="A8" t="str">
        <f>"Estimated " &amp;TEXT(C7,"yyyy")&amp; " Subject Written Premium"</f>
        <v>Estimated 2025 Subject Written Premium</v>
      </c>
    </row>
    <row r="9" spans="1:5" x14ac:dyDescent="0.25">
      <c r="A9" t="s">
        <v>2</v>
      </c>
      <c r="B9" t="s">
        <v>2196</v>
      </c>
    </row>
    <row r="10" spans="1:5" x14ac:dyDescent="0.25">
      <c r="A10" t="s">
        <v>92</v>
      </c>
      <c r="B10" t="s">
        <v>2197</v>
      </c>
    </row>
    <row r="12" spans="1:5" x14ac:dyDescent="0.25">
      <c r="A12" t="s">
        <v>93</v>
      </c>
    </row>
    <row r="13" spans="1:5" x14ac:dyDescent="0.25">
      <c r="A13" t="s">
        <v>94</v>
      </c>
      <c r="B13" t="s">
        <v>2192</v>
      </c>
    </row>
    <row r="14" spans="1:5" x14ac:dyDescent="0.25">
      <c r="A14" t="s">
        <v>95</v>
      </c>
      <c r="B14" t="s">
        <v>2193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3C6D-1F8F-4FBD-99CD-06DA7666BDEA}">
  <dimension ref="A1:L224"/>
  <sheetViews>
    <sheetView tabSelected="1" workbookViewId="0">
      <selection activeCell="B11" sqref="B11"/>
    </sheetView>
  </sheetViews>
  <sheetFormatPr defaultRowHeight="15" x14ac:dyDescent="0.25"/>
  <cols>
    <col min="1" max="1" width="52.140625" bestFit="1" customWidth="1"/>
    <col min="2" max="6" width="14.28515625" bestFit="1" customWidth="1"/>
    <col min="7" max="7" width="19.42578125" bestFit="1" customWidth="1"/>
    <col min="8" max="11" width="15.28515625" bestFit="1" customWidth="1"/>
    <col min="12" max="12" width="19.42578125" bestFit="1" customWidth="1"/>
  </cols>
  <sheetData>
    <row r="1" spans="1:12" x14ac:dyDescent="0.25">
      <c r="A1" t="s">
        <v>3</v>
      </c>
    </row>
    <row r="2" spans="1:12" x14ac:dyDescent="0.25">
      <c r="A2" t="s">
        <v>4</v>
      </c>
    </row>
    <row r="3" spans="1:12" x14ac:dyDescent="0.25">
      <c r="A3" t="str">
        <f>"Effective: "&amp;TEXT(Intro!C7,"mm/dd/yyyy")</f>
        <v>Effective: 04/01/2025</v>
      </c>
    </row>
    <row r="4" spans="1:12" x14ac:dyDescent="0.25">
      <c r="A4" t="s">
        <v>2195</v>
      </c>
    </row>
    <row r="6" spans="1:12" x14ac:dyDescent="0.25">
      <c r="A6" t="s">
        <v>5</v>
      </c>
    </row>
    <row r="7" spans="1:12" x14ac:dyDescent="0.25">
      <c r="A7" t="s">
        <v>6</v>
      </c>
      <c r="B7">
        <v>2015</v>
      </c>
      <c r="C7">
        <f t="shared" ref="C7:K7" si="0">B7+1</f>
        <v>2016</v>
      </c>
      <c r="D7">
        <f t="shared" si="0"/>
        <v>2017</v>
      </c>
      <c r="E7">
        <f t="shared" si="0"/>
        <v>2018</v>
      </c>
      <c r="F7">
        <f t="shared" si="0"/>
        <v>2019</v>
      </c>
      <c r="G7">
        <f t="shared" si="0"/>
        <v>2020</v>
      </c>
      <c r="H7">
        <f t="shared" si="0"/>
        <v>2021</v>
      </c>
      <c r="I7">
        <f t="shared" si="0"/>
        <v>2022</v>
      </c>
      <c r="J7">
        <f t="shared" si="0"/>
        <v>2023</v>
      </c>
      <c r="K7">
        <f t="shared" si="0"/>
        <v>2024</v>
      </c>
      <c r="L7" t="s">
        <v>2194</v>
      </c>
    </row>
    <row r="8" spans="1:12" x14ac:dyDescent="0.25">
      <c r="A8" t="s">
        <v>7</v>
      </c>
      <c r="B8" s="4">
        <v>174499.16</v>
      </c>
      <c r="C8" s="4">
        <v>149515.01999999999</v>
      </c>
      <c r="D8" s="4">
        <v>165500.49</v>
      </c>
      <c r="E8" s="4">
        <v>177016.98</v>
      </c>
      <c r="F8" s="4">
        <v>174765.33</v>
      </c>
      <c r="G8" s="4">
        <v>179830.95</v>
      </c>
      <c r="H8" s="4">
        <v>233082.99546000001</v>
      </c>
      <c r="I8" s="4">
        <v>175021.98766300001</v>
      </c>
      <c r="J8" s="4">
        <v>200039.58848000001</v>
      </c>
      <c r="K8" s="4">
        <v>212048.33000000002</v>
      </c>
      <c r="L8" s="4">
        <v>107999.9999999999</v>
      </c>
    </row>
    <row r="9" spans="1:12" x14ac:dyDescent="0.25">
      <c r="A9" t="s">
        <v>8</v>
      </c>
      <c r="B9" s="4">
        <v>330234.25</v>
      </c>
      <c r="C9" s="4">
        <v>298900.21999999997</v>
      </c>
      <c r="D9" s="4">
        <v>366308.09</v>
      </c>
      <c r="E9" s="4">
        <v>389495.73</v>
      </c>
      <c r="F9" s="4">
        <v>392553.06</v>
      </c>
      <c r="G9" s="4">
        <v>668726.13</v>
      </c>
      <c r="H9" s="4">
        <v>870450.260488</v>
      </c>
      <c r="I9" s="4">
        <v>945497.74810500001</v>
      </c>
      <c r="J9" s="4">
        <v>1017354.9446400001</v>
      </c>
      <c r="K9" s="4">
        <v>930957.99</v>
      </c>
      <c r="L9" s="4">
        <v>533113.04347826098</v>
      </c>
    </row>
    <row r="10" spans="1:12" x14ac:dyDescent="0.25">
      <c r="A10" t="s">
        <v>9</v>
      </c>
      <c r="B10" s="4">
        <v>88154.57</v>
      </c>
      <c r="C10" s="4">
        <v>144432.03</v>
      </c>
      <c r="D10" s="4">
        <v>200546.76</v>
      </c>
      <c r="E10" s="4">
        <v>176390.05</v>
      </c>
      <c r="F10" s="4">
        <v>191990.39999999999</v>
      </c>
      <c r="G10" s="4">
        <v>500856.04000000004</v>
      </c>
      <c r="H10" s="4">
        <v>674843.02897500002</v>
      </c>
      <c r="I10" s="4">
        <v>658360.15103299997</v>
      </c>
      <c r="J10" s="4">
        <v>781223.30319999997</v>
      </c>
      <c r="K10" s="4">
        <v>805148.81</v>
      </c>
      <c r="L10" s="4">
        <v>393182.60869565199</v>
      </c>
    </row>
    <row r="11" spans="1:12" x14ac:dyDescent="0.25">
      <c r="A11" t="s">
        <v>10</v>
      </c>
      <c r="B11" s="4">
        <v>516312.88</v>
      </c>
      <c r="C11" s="4">
        <v>500923.74</v>
      </c>
      <c r="D11" s="4">
        <v>782261.06</v>
      </c>
      <c r="E11" s="4">
        <v>941062.58</v>
      </c>
      <c r="F11" s="4">
        <v>1095115.75</v>
      </c>
      <c r="G11" s="4">
        <v>1873939.52</v>
      </c>
      <c r="H11" s="4">
        <v>2313946.6108039999</v>
      </c>
      <c r="I11" s="4">
        <v>2473048.512317</v>
      </c>
      <c r="J11" s="4">
        <v>2724157.1487199999</v>
      </c>
      <c r="K11" s="4">
        <v>2758702.79</v>
      </c>
      <c r="L11" s="4">
        <v>1246852.173913043</v>
      </c>
    </row>
    <row r="12" spans="1:12" x14ac:dyDescent="0.25">
      <c r="A12" t="s">
        <v>11</v>
      </c>
      <c r="B12" s="4">
        <v>4757162.63</v>
      </c>
      <c r="C12" s="4">
        <v>4629743.0999999996</v>
      </c>
      <c r="D12" s="4">
        <v>6427005.4500000002</v>
      </c>
      <c r="E12" s="4">
        <v>6687595.8499999996</v>
      </c>
      <c r="F12" s="4">
        <v>7276359.79</v>
      </c>
      <c r="G12" s="4">
        <v>11830544.890000001</v>
      </c>
      <c r="H12" s="4">
        <v>14180588.925691999</v>
      </c>
      <c r="I12" s="4">
        <v>14982403.505931001</v>
      </c>
      <c r="J12" s="4">
        <v>17863930.29016</v>
      </c>
      <c r="K12" s="4">
        <v>17250038.91</v>
      </c>
      <c r="L12" s="4">
        <v>8336347.8260869496</v>
      </c>
    </row>
    <row r="13" spans="1:12" x14ac:dyDescent="0.25">
      <c r="A13" t="s">
        <v>12</v>
      </c>
      <c r="B13" s="4">
        <v>537467.28</v>
      </c>
      <c r="C13" s="4">
        <v>633920.28</v>
      </c>
      <c r="D13" s="4">
        <v>731576.44</v>
      </c>
      <c r="E13" s="4">
        <v>819183.18</v>
      </c>
      <c r="F13" s="4">
        <v>910972.22</v>
      </c>
      <c r="G13" s="4">
        <v>1646058.25</v>
      </c>
      <c r="H13" s="4">
        <v>2074806.4997669999</v>
      </c>
      <c r="I13" s="4">
        <v>2189397.8375349999</v>
      </c>
      <c r="J13" s="4">
        <v>2404043.7903200001</v>
      </c>
      <c r="K13" s="4">
        <v>2382484.4699999997</v>
      </c>
      <c r="L13" s="4">
        <v>1115686.956521739</v>
      </c>
    </row>
    <row r="14" spans="1:12" x14ac:dyDescent="0.25">
      <c r="A14" t="s">
        <v>13</v>
      </c>
      <c r="B14" s="4">
        <v>350032.48</v>
      </c>
      <c r="C14" s="4">
        <v>324355.63</v>
      </c>
      <c r="D14" s="4">
        <v>435006.95</v>
      </c>
      <c r="E14" s="4">
        <v>479178.15</v>
      </c>
      <c r="F14" s="4">
        <v>636440.68999999994</v>
      </c>
      <c r="G14" s="4">
        <v>1014158.6900000001</v>
      </c>
      <c r="H14" s="4">
        <v>1539672.997213</v>
      </c>
      <c r="I14" s="4">
        <v>1677718.188484</v>
      </c>
      <c r="J14" s="4">
        <v>2038762.89008</v>
      </c>
      <c r="K14" s="4">
        <v>1825607.92</v>
      </c>
      <c r="L14" s="4">
        <v>954782.60869565187</v>
      </c>
    </row>
    <row r="15" spans="1:12" x14ac:dyDescent="0.25">
      <c r="A15" t="s">
        <v>14</v>
      </c>
      <c r="B15" s="4">
        <v>113736.58</v>
      </c>
      <c r="C15" s="4">
        <v>45433.63</v>
      </c>
      <c r="D15" s="4">
        <v>124268.19</v>
      </c>
      <c r="E15" s="4">
        <v>124137.33</v>
      </c>
      <c r="F15" s="4">
        <v>126487.56</v>
      </c>
      <c r="G15" s="4">
        <v>109539.87</v>
      </c>
      <c r="H15" s="4">
        <v>142918.66474400001</v>
      </c>
      <c r="I15" s="4">
        <v>190684.147864</v>
      </c>
      <c r="J15" s="4">
        <v>202887.02584000002</v>
      </c>
      <c r="K15" s="4">
        <v>183028.52</v>
      </c>
      <c r="L15" s="4">
        <v>78886.956521739106</v>
      </c>
    </row>
    <row r="16" spans="1:12" x14ac:dyDescent="0.25">
      <c r="A16" t="s">
        <v>15</v>
      </c>
      <c r="B16" s="4">
        <v>72072.05</v>
      </c>
      <c r="C16" s="4">
        <v>96188.42</v>
      </c>
      <c r="D16" s="4">
        <v>147985.78</v>
      </c>
      <c r="E16" s="4">
        <v>103739.82</v>
      </c>
      <c r="F16" s="4">
        <v>74415.77</v>
      </c>
      <c r="G16" s="4">
        <v>191021.38999999998</v>
      </c>
      <c r="H16" s="4">
        <v>330477.90328700002</v>
      </c>
      <c r="I16" s="4">
        <v>391007.32253299997</v>
      </c>
      <c r="J16" s="4">
        <v>427450.17871999997</v>
      </c>
      <c r="K16" s="4">
        <v>492844.24</v>
      </c>
      <c r="L16" s="4">
        <v>190956.52173913</v>
      </c>
    </row>
    <row r="17" spans="1:12" x14ac:dyDescent="0.25">
      <c r="A17" t="s">
        <v>16</v>
      </c>
      <c r="B17" s="4">
        <v>1651382.56</v>
      </c>
      <c r="C17" s="4">
        <v>1544385.02</v>
      </c>
      <c r="D17" s="4">
        <v>1876206.65</v>
      </c>
      <c r="E17" s="4">
        <v>2220156.9700000002</v>
      </c>
      <c r="F17" s="4">
        <v>2088281.3</v>
      </c>
      <c r="G17" s="4">
        <v>4006289.2</v>
      </c>
      <c r="H17" s="4">
        <v>4704331.9410110004</v>
      </c>
      <c r="I17" s="4">
        <v>5026883.0498500001</v>
      </c>
      <c r="J17" s="4">
        <v>5893492.8476799997</v>
      </c>
      <c r="K17" s="4">
        <v>6168190.9500000002</v>
      </c>
      <c r="L17" s="4">
        <v>2833043.4782608701</v>
      </c>
    </row>
    <row r="18" spans="1:12" x14ac:dyDescent="0.25">
      <c r="A18" t="s">
        <v>17</v>
      </c>
      <c r="B18" s="4">
        <v>1051859.5</v>
      </c>
      <c r="C18" s="4">
        <v>958020.72</v>
      </c>
      <c r="D18" s="4">
        <v>1318955.55</v>
      </c>
      <c r="E18" s="4">
        <v>1461936.58</v>
      </c>
      <c r="F18" s="4">
        <v>1409492.53</v>
      </c>
      <c r="G18" s="4">
        <v>2499208.2000000002</v>
      </c>
      <c r="H18" s="4">
        <v>3163979.4974140003</v>
      </c>
      <c r="I18" s="4">
        <v>3753312.0087830001</v>
      </c>
      <c r="J18" s="4">
        <v>4159195.2867200002</v>
      </c>
      <c r="K18" s="4">
        <v>3947961.46</v>
      </c>
      <c r="L18" s="4">
        <v>2092069.5652173909</v>
      </c>
    </row>
    <row r="19" spans="1:12" x14ac:dyDescent="0.25">
      <c r="A19" t="s">
        <v>18</v>
      </c>
      <c r="B19" s="4">
        <v>313600.45</v>
      </c>
      <c r="C19" s="4">
        <v>359852.72</v>
      </c>
      <c r="D19" s="4">
        <v>357430.1</v>
      </c>
      <c r="E19" s="4">
        <v>439741.65</v>
      </c>
      <c r="F19" s="4">
        <v>392351.58</v>
      </c>
      <c r="G19" s="4">
        <v>677143.69</v>
      </c>
      <c r="H19" s="4">
        <v>890265.19109000009</v>
      </c>
      <c r="I19" s="4">
        <v>958891.81229999999</v>
      </c>
      <c r="J19" s="4">
        <v>998351.29160000011</v>
      </c>
      <c r="K19" s="4">
        <v>1003282.4299999999</v>
      </c>
      <c r="L19" s="4">
        <v>486782.60869565303</v>
      </c>
    </row>
    <row r="20" spans="1:12" x14ac:dyDescent="0.25">
      <c r="A20" t="s">
        <v>19</v>
      </c>
      <c r="B20" s="4">
        <v>150610.65</v>
      </c>
      <c r="C20" s="4">
        <v>149475.14000000001</v>
      </c>
      <c r="D20" s="4">
        <v>180988.98</v>
      </c>
      <c r="E20" s="4">
        <v>235866.1</v>
      </c>
      <c r="F20" s="4">
        <v>223653.19</v>
      </c>
      <c r="G20" s="4">
        <v>309016.53000000003</v>
      </c>
      <c r="H20" s="4">
        <v>373438.61923900002</v>
      </c>
      <c r="I20" s="4">
        <v>548363.356103</v>
      </c>
      <c r="J20" s="4">
        <v>521272.01840000006</v>
      </c>
      <c r="K20" s="4">
        <v>574135.55000000005</v>
      </c>
      <c r="L20" s="4">
        <v>297391.30434782628</v>
      </c>
    </row>
    <row r="21" spans="1:12" x14ac:dyDescent="0.25">
      <c r="A21" t="s">
        <v>20</v>
      </c>
      <c r="B21" s="4">
        <v>1152498.94</v>
      </c>
      <c r="C21" s="4">
        <v>1023426.6</v>
      </c>
      <c r="D21" s="4">
        <v>1337314.7</v>
      </c>
      <c r="E21" s="4">
        <v>1313644.23</v>
      </c>
      <c r="F21" s="4">
        <v>1484522.89</v>
      </c>
      <c r="G21" s="4">
        <v>2590465.69</v>
      </c>
      <c r="H21" s="4">
        <v>3407719.6951759998</v>
      </c>
      <c r="I21" s="4">
        <v>3882575.9864719999</v>
      </c>
      <c r="J21" s="4">
        <v>4788982.3972800002</v>
      </c>
      <c r="K21" s="4">
        <v>5109442.0299999993</v>
      </c>
      <c r="L21" s="4">
        <v>2379756.5217391299</v>
      </c>
    </row>
    <row r="22" spans="1:12" x14ac:dyDescent="0.25">
      <c r="A22" t="s">
        <v>21</v>
      </c>
      <c r="B22" s="4">
        <v>732815.84</v>
      </c>
      <c r="C22" s="4">
        <v>657141.67000000004</v>
      </c>
      <c r="D22" s="4">
        <v>752908.69</v>
      </c>
      <c r="E22" s="4">
        <v>805655.73</v>
      </c>
      <c r="F22" s="4">
        <v>788780.94</v>
      </c>
      <c r="G22" s="4">
        <v>1233743.29</v>
      </c>
      <c r="H22" s="4">
        <v>1748910.814088</v>
      </c>
      <c r="I22" s="4">
        <v>1950216.3714979999</v>
      </c>
      <c r="J22" s="4">
        <v>2397776.2492800001</v>
      </c>
      <c r="K22" s="4">
        <v>2346029.02</v>
      </c>
      <c r="L22" s="4">
        <v>1173599.9999999991</v>
      </c>
    </row>
    <row r="23" spans="1:12" x14ac:dyDescent="0.25">
      <c r="A23" t="s">
        <v>22</v>
      </c>
      <c r="B23" s="4">
        <v>209806.49</v>
      </c>
      <c r="C23" s="4">
        <v>203454.19</v>
      </c>
      <c r="D23" s="4">
        <v>252857.77</v>
      </c>
      <c r="E23" s="4">
        <v>301457.09999999998</v>
      </c>
      <c r="F23" s="4">
        <v>331618.28999999998</v>
      </c>
      <c r="G23" s="4">
        <v>414648.32999999996</v>
      </c>
      <c r="H23" s="4">
        <v>595400.22644500004</v>
      </c>
      <c r="I23" s="4">
        <v>742692.36070999992</v>
      </c>
      <c r="J23" s="4">
        <v>995933.77136000001</v>
      </c>
      <c r="K23" s="4">
        <v>1052364.1499999999</v>
      </c>
      <c r="L23" s="4">
        <v>470504.34782608703</v>
      </c>
    </row>
    <row r="24" spans="1:12" x14ac:dyDescent="0.25">
      <c r="A24" t="s">
        <v>23</v>
      </c>
      <c r="B24" s="4">
        <v>260061.24</v>
      </c>
      <c r="C24" s="4">
        <v>226375.54</v>
      </c>
      <c r="D24" s="4">
        <v>188674.8</v>
      </c>
      <c r="E24" s="4">
        <v>191969.04</v>
      </c>
      <c r="F24" s="4">
        <v>204257.3</v>
      </c>
      <c r="G24" s="4">
        <v>483571.56</v>
      </c>
      <c r="H24" s="4">
        <v>667742.08299100003</v>
      </c>
      <c r="I24" s="4">
        <v>682081.84873099998</v>
      </c>
      <c r="J24" s="4">
        <v>830903.18608000001</v>
      </c>
      <c r="K24" s="4">
        <v>852930.24</v>
      </c>
      <c r="L24" s="4">
        <v>411026.08695652196</v>
      </c>
    </row>
    <row r="25" spans="1:12" x14ac:dyDescent="0.25">
      <c r="A25" t="s">
        <v>24</v>
      </c>
      <c r="B25" s="4">
        <v>372379.42</v>
      </c>
      <c r="C25" s="4">
        <v>336922.46</v>
      </c>
      <c r="D25" s="4">
        <v>433637.52</v>
      </c>
      <c r="E25" s="4">
        <v>466977.35</v>
      </c>
      <c r="F25" s="4">
        <v>473056.58</v>
      </c>
      <c r="G25" s="4">
        <v>767124.03</v>
      </c>
      <c r="H25" s="4">
        <v>969874.38956599997</v>
      </c>
      <c r="I25" s="4">
        <v>1049285.6272459999</v>
      </c>
      <c r="J25" s="4">
        <v>1257528.6932000001</v>
      </c>
      <c r="K25" s="4">
        <v>1375640.22</v>
      </c>
      <c r="L25" s="4">
        <v>675547.82608695701</v>
      </c>
    </row>
    <row r="26" spans="1:12" x14ac:dyDescent="0.25">
      <c r="A26" t="s">
        <v>25</v>
      </c>
      <c r="B26" s="4">
        <v>917884.31</v>
      </c>
      <c r="C26" s="4">
        <v>813157.9</v>
      </c>
      <c r="D26" s="4">
        <v>1106990.02</v>
      </c>
      <c r="E26" s="4">
        <v>990708.34</v>
      </c>
      <c r="F26" s="4">
        <v>1211163.99</v>
      </c>
      <c r="G26" s="4">
        <v>2014764.3299999998</v>
      </c>
      <c r="H26" s="4">
        <v>2359302.9189090002</v>
      </c>
      <c r="I26" s="4">
        <v>2615904.2681320002</v>
      </c>
      <c r="J26" s="4">
        <v>3078827.0922400001</v>
      </c>
      <c r="K26" s="4">
        <v>3087519.26</v>
      </c>
      <c r="L26" s="4">
        <v>1512939.1304347832</v>
      </c>
    </row>
    <row r="27" spans="1:12" x14ac:dyDescent="0.25">
      <c r="A27" t="s">
        <v>26</v>
      </c>
      <c r="B27" s="4">
        <v>629641.37</v>
      </c>
      <c r="C27" s="4">
        <v>608027.54</v>
      </c>
      <c r="D27" s="4">
        <v>758493.54</v>
      </c>
      <c r="E27" s="4">
        <v>714449.14</v>
      </c>
      <c r="F27" s="4">
        <v>737253.09</v>
      </c>
      <c r="G27" s="4">
        <v>1536896.07</v>
      </c>
      <c r="H27" s="4">
        <v>2154014.8296020003</v>
      </c>
      <c r="I27" s="4">
        <v>2359342.328466</v>
      </c>
      <c r="J27" s="4">
        <v>2713420.2429599999</v>
      </c>
      <c r="K27" s="4">
        <v>2623179.3200000003</v>
      </c>
      <c r="L27" s="4">
        <v>1297878.260869565</v>
      </c>
    </row>
    <row r="28" spans="1:12" x14ac:dyDescent="0.25">
      <c r="A28" t="s">
        <v>27</v>
      </c>
      <c r="B28" s="4">
        <v>71197.259999999995</v>
      </c>
      <c r="C28" s="4">
        <v>48067.03</v>
      </c>
      <c r="D28" s="4">
        <v>74480.45</v>
      </c>
      <c r="E28" s="4">
        <v>105577.64</v>
      </c>
      <c r="F28" s="4">
        <v>109637.62</v>
      </c>
      <c r="G28" s="4">
        <v>158456.26999999999</v>
      </c>
      <c r="H28" s="4">
        <v>217335.36010400002</v>
      </c>
      <c r="I28" s="4">
        <v>259782.10331500001</v>
      </c>
      <c r="J28" s="4">
        <v>377296.08584000001</v>
      </c>
      <c r="K28" s="4">
        <v>354246.5</v>
      </c>
      <c r="L28" s="4">
        <v>177182.6086956526</v>
      </c>
    </row>
    <row r="29" spans="1:12" x14ac:dyDescent="0.25">
      <c r="A29" t="s">
        <v>28</v>
      </c>
      <c r="B29" s="4">
        <v>674683.49</v>
      </c>
      <c r="C29" s="4">
        <v>667375.67000000004</v>
      </c>
      <c r="D29" s="4">
        <v>907908</v>
      </c>
      <c r="E29" s="4">
        <v>879200.57</v>
      </c>
      <c r="F29" s="4">
        <v>997739.81</v>
      </c>
      <c r="G29" s="4">
        <v>1535527.11</v>
      </c>
      <c r="H29" s="4">
        <v>1919469.9477499998</v>
      </c>
      <c r="I29" s="4">
        <v>2054594.5800399999</v>
      </c>
      <c r="J29" s="4">
        <v>2501483.0081599997</v>
      </c>
      <c r="K29" s="4">
        <v>2476753.4000000004</v>
      </c>
      <c r="L29" s="4">
        <v>1211478.260869565</v>
      </c>
    </row>
    <row r="30" spans="1:12" x14ac:dyDescent="0.25">
      <c r="A30" t="s">
        <v>29</v>
      </c>
      <c r="B30" s="4">
        <v>560386.68000000005</v>
      </c>
      <c r="C30" s="4">
        <v>574388.77</v>
      </c>
      <c r="D30" s="4">
        <v>740660.64</v>
      </c>
      <c r="E30" s="4">
        <v>804209.84</v>
      </c>
      <c r="F30" s="4">
        <v>748464.95</v>
      </c>
      <c r="G30" s="4">
        <v>1215701.52</v>
      </c>
      <c r="H30" s="4">
        <v>1612825.4082570001</v>
      </c>
      <c r="I30" s="4">
        <v>1602882.967436</v>
      </c>
      <c r="J30" s="4">
        <v>1869671.1680000001</v>
      </c>
      <c r="K30" s="4">
        <v>2045858.28</v>
      </c>
      <c r="L30" s="4">
        <v>935060.86956521706</v>
      </c>
    </row>
    <row r="31" spans="1:12" x14ac:dyDescent="0.25">
      <c r="A31" t="s">
        <v>30</v>
      </c>
      <c r="B31" s="4">
        <v>612332.96</v>
      </c>
      <c r="C31" s="4">
        <v>585007.52</v>
      </c>
      <c r="D31" s="4">
        <v>792555.77</v>
      </c>
      <c r="E31" s="4">
        <v>822558.03</v>
      </c>
      <c r="F31" s="4">
        <v>931802.62</v>
      </c>
      <c r="G31" s="4">
        <v>1352229.93</v>
      </c>
      <c r="H31" s="4">
        <v>1790974.70132</v>
      </c>
      <c r="I31" s="4">
        <v>1920325.099168</v>
      </c>
      <c r="J31" s="4">
        <v>2353445.85512</v>
      </c>
      <c r="K31" s="4">
        <v>1987754.44</v>
      </c>
      <c r="L31" s="4">
        <v>981391.30434782594</v>
      </c>
    </row>
    <row r="32" spans="1:12" x14ac:dyDescent="0.25">
      <c r="A32" t="s">
        <v>31</v>
      </c>
      <c r="B32" s="4">
        <v>141290.01</v>
      </c>
      <c r="C32" s="4">
        <v>128083.04</v>
      </c>
      <c r="D32" s="4">
        <v>179115.5</v>
      </c>
      <c r="E32" s="4">
        <v>256980.53</v>
      </c>
      <c r="F32" s="4">
        <v>220857.79</v>
      </c>
      <c r="G32" s="4">
        <v>412568.8</v>
      </c>
      <c r="H32" s="4">
        <v>554659.87470300007</v>
      </c>
      <c r="I32" s="4">
        <v>605629.69758000004</v>
      </c>
      <c r="J32" s="4">
        <v>723406.61568000005</v>
      </c>
      <c r="K32" s="4">
        <v>838113.86</v>
      </c>
      <c r="L32" s="4">
        <v>354052.17391304299</v>
      </c>
    </row>
    <row r="33" spans="1:12" x14ac:dyDescent="0.25">
      <c r="A33" t="s">
        <v>32</v>
      </c>
      <c r="B33" s="4">
        <v>145693.01999999999</v>
      </c>
      <c r="C33" s="4">
        <v>161821.18</v>
      </c>
      <c r="D33" s="4">
        <v>138538.47</v>
      </c>
      <c r="E33" s="4">
        <v>160595.57</v>
      </c>
      <c r="F33" s="4">
        <v>103815.42</v>
      </c>
      <c r="G33" s="4">
        <v>213470</v>
      </c>
      <c r="H33" s="4">
        <v>299629.89890899998</v>
      </c>
      <c r="I33" s="4">
        <v>304263.82188800001</v>
      </c>
      <c r="J33" s="4">
        <v>364674.89607999998</v>
      </c>
      <c r="K33" s="4">
        <v>307816.43</v>
      </c>
      <c r="L33" s="4">
        <v>168730.43478260841</v>
      </c>
    </row>
    <row r="34" spans="1:12" x14ac:dyDescent="0.25">
      <c r="A34" t="s">
        <v>33</v>
      </c>
      <c r="B34" s="4">
        <v>1205672.17</v>
      </c>
      <c r="C34" s="4">
        <v>1179158.8600000001</v>
      </c>
      <c r="D34" s="4">
        <v>1253781.8600000001</v>
      </c>
      <c r="E34" s="4">
        <v>1408159.18</v>
      </c>
      <c r="F34" s="4">
        <v>1451055.68</v>
      </c>
      <c r="G34" s="4">
        <v>2165837.89</v>
      </c>
      <c r="H34" s="4">
        <v>2557988.5983720003</v>
      </c>
      <c r="I34" s="4">
        <v>2828771.8049170002</v>
      </c>
      <c r="J34" s="4">
        <v>3223071.9028000003</v>
      </c>
      <c r="K34" s="4">
        <v>3225035.24</v>
      </c>
      <c r="L34" s="4">
        <v>1558330.4347826089</v>
      </c>
    </row>
    <row r="35" spans="1:12" x14ac:dyDescent="0.25">
      <c r="A35" t="s">
        <v>34</v>
      </c>
      <c r="B35" s="4">
        <v>129457</v>
      </c>
      <c r="C35" s="4">
        <v>99920.91</v>
      </c>
      <c r="D35" s="4">
        <v>78920.84</v>
      </c>
      <c r="E35" s="4">
        <v>86141.2</v>
      </c>
      <c r="F35" s="4">
        <v>81006.83</v>
      </c>
      <c r="G35" s="4">
        <v>79061.11</v>
      </c>
      <c r="H35" s="4">
        <v>215628.66949100001</v>
      </c>
      <c r="I35" s="4">
        <v>233092.32743999999</v>
      </c>
      <c r="J35" s="4">
        <v>280929.06047999999</v>
      </c>
      <c r="K35" s="4">
        <v>352448.49</v>
      </c>
      <c r="L35" s="4">
        <v>139304.347826087</v>
      </c>
    </row>
    <row r="36" spans="1:12" x14ac:dyDescent="0.25">
      <c r="A36" t="s">
        <v>35</v>
      </c>
      <c r="B36" s="4">
        <v>264177.39</v>
      </c>
      <c r="C36" s="4">
        <v>255167.29</v>
      </c>
      <c r="D36" s="4">
        <v>280263</v>
      </c>
      <c r="E36" s="4">
        <v>367071.08</v>
      </c>
      <c r="F36" s="4">
        <v>269497.18</v>
      </c>
      <c r="G36" s="4">
        <v>349479.98000000004</v>
      </c>
      <c r="H36" s="4">
        <v>462891.12116400001</v>
      </c>
      <c r="I36" s="4">
        <v>454137.77804200002</v>
      </c>
      <c r="J36" s="4">
        <v>695020.90384000004</v>
      </c>
      <c r="K36" s="4">
        <v>644932.62</v>
      </c>
      <c r="L36" s="4">
        <v>301147.82608695602</v>
      </c>
    </row>
    <row r="37" spans="1:12" x14ac:dyDescent="0.25">
      <c r="A37" t="s">
        <v>36</v>
      </c>
      <c r="B37" s="4">
        <v>188710.71</v>
      </c>
      <c r="C37" s="4">
        <v>151699.25</v>
      </c>
      <c r="D37" s="4">
        <v>171114.66</v>
      </c>
      <c r="E37" s="4">
        <v>135794.29999999999</v>
      </c>
      <c r="F37" s="4">
        <v>175035.16</v>
      </c>
      <c r="G37" s="4">
        <v>299413.84999999998</v>
      </c>
      <c r="H37" s="4">
        <v>323132.87936299999</v>
      </c>
      <c r="I37" s="4">
        <v>459840.80982199998</v>
      </c>
      <c r="J37" s="4">
        <v>570051.30768000009</v>
      </c>
      <c r="K37" s="4">
        <v>559266.59000000008</v>
      </c>
      <c r="L37" s="4">
        <v>293634.78260869521</v>
      </c>
    </row>
    <row r="38" spans="1:12" x14ac:dyDescent="0.25">
      <c r="A38" t="s">
        <v>37</v>
      </c>
      <c r="B38" s="4">
        <v>908060.79</v>
      </c>
      <c r="C38" s="4">
        <v>897407.37</v>
      </c>
      <c r="D38" s="4">
        <v>1221217.1299999999</v>
      </c>
      <c r="E38" s="4">
        <v>1357445.95</v>
      </c>
      <c r="F38" s="4">
        <v>1530725.69</v>
      </c>
      <c r="G38" s="4">
        <v>2301578.5299999998</v>
      </c>
      <c r="H38" s="4">
        <v>2816197.4815170001</v>
      </c>
      <c r="I38" s="4">
        <v>2840369.1589449998</v>
      </c>
      <c r="J38" s="4">
        <v>3426021.35592</v>
      </c>
      <c r="K38" s="4">
        <v>3570568</v>
      </c>
      <c r="L38" s="4">
        <v>1647547.826086957</v>
      </c>
    </row>
    <row r="39" spans="1:12" x14ac:dyDescent="0.25">
      <c r="A39" t="s">
        <v>38</v>
      </c>
      <c r="B39" s="4">
        <v>44802.59</v>
      </c>
      <c r="C39" s="4">
        <v>52015.57</v>
      </c>
      <c r="D39" s="4">
        <v>121765.97</v>
      </c>
      <c r="E39" s="4">
        <v>158855.75</v>
      </c>
      <c r="F39" s="4">
        <v>217284.34</v>
      </c>
      <c r="G39" s="4">
        <v>350464.71</v>
      </c>
      <c r="H39" s="4">
        <v>353317.322843</v>
      </c>
      <c r="I39" s="4">
        <v>391137.56793900003</v>
      </c>
      <c r="J39" s="4">
        <v>439604.18976000004</v>
      </c>
      <c r="K39" s="4">
        <v>559302.93999999994</v>
      </c>
      <c r="L39" s="4">
        <v>206608.69565217441</v>
      </c>
    </row>
    <row r="40" spans="1:12" x14ac:dyDescent="0.25">
      <c r="A40" t="s">
        <v>39</v>
      </c>
      <c r="B40" s="4">
        <v>296398.31</v>
      </c>
      <c r="C40" s="4">
        <v>400121.32</v>
      </c>
      <c r="D40" s="4">
        <v>369485.41</v>
      </c>
      <c r="E40" s="4">
        <v>332838.21999999997</v>
      </c>
      <c r="F40" s="4">
        <v>293374.02</v>
      </c>
      <c r="G40" s="4">
        <v>588166.73</v>
      </c>
      <c r="H40" s="4">
        <v>811184.70637400006</v>
      </c>
      <c r="I40" s="4">
        <v>946951.72720700002</v>
      </c>
      <c r="J40" s="4">
        <v>1182373.10616</v>
      </c>
      <c r="K40" s="4">
        <v>1212433.3600000001</v>
      </c>
      <c r="L40" s="4">
        <v>590086.95652173902</v>
      </c>
    </row>
    <row r="41" spans="1:12" x14ac:dyDescent="0.25">
      <c r="A41" t="s">
        <v>40</v>
      </c>
      <c r="B41" s="4">
        <v>2664323.35</v>
      </c>
      <c r="C41" s="4">
        <v>2437233.69</v>
      </c>
      <c r="D41" s="4">
        <v>2832600.87</v>
      </c>
      <c r="E41" s="4">
        <v>3352170.23</v>
      </c>
      <c r="F41" s="4">
        <v>3676988.51</v>
      </c>
      <c r="G41" s="4">
        <v>6228386.1100000003</v>
      </c>
      <c r="H41" s="4">
        <v>8077712.4553789999</v>
      </c>
      <c r="I41" s="4">
        <v>8090023.5710639991</v>
      </c>
      <c r="J41" s="4">
        <v>9524568.6148000006</v>
      </c>
      <c r="K41" s="4">
        <v>10011731.99</v>
      </c>
      <c r="L41" s="4">
        <v>4624904.3478260897</v>
      </c>
    </row>
    <row r="42" spans="1:12" x14ac:dyDescent="0.25">
      <c r="A42" t="s">
        <v>41</v>
      </c>
      <c r="B42" s="4">
        <v>1128436.95</v>
      </c>
      <c r="C42" s="4">
        <v>1141384.03</v>
      </c>
      <c r="D42" s="4">
        <v>1626306.15</v>
      </c>
      <c r="E42" s="4">
        <v>1501974.66</v>
      </c>
      <c r="F42" s="4">
        <v>1487474.8</v>
      </c>
      <c r="G42" s="4">
        <v>2686285.51</v>
      </c>
      <c r="H42" s="4">
        <v>3284780.1058999998</v>
      </c>
      <c r="I42" s="4">
        <v>3681958.0103310002</v>
      </c>
      <c r="J42" s="4">
        <v>4092253.0500800004</v>
      </c>
      <c r="K42" s="4">
        <v>4011348.33</v>
      </c>
      <c r="L42" s="4">
        <v>1884208.6956521762</v>
      </c>
    </row>
    <row r="43" spans="1:12" x14ac:dyDescent="0.25">
      <c r="A43" t="s">
        <v>42</v>
      </c>
      <c r="B43" s="4">
        <v>245174.07</v>
      </c>
      <c r="C43" s="4">
        <v>237555.88</v>
      </c>
      <c r="D43" s="4">
        <v>371530.59</v>
      </c>
      <c r="E43" s="4">
        <v>453363.81</v>
      </c>
      <c r="F43" s="4">
        <v>489254.49</v>
      </c>
      <c r="G43" s="4">
        <v>697482.3899999999</v>
      </c>
      <c r="H43" s="4">
        <v>931535.91517299996</v>
      </c>
      <c r="I43" s="4">
        <v>1051923.4705610001</v>
      </c>
      <c r="J43" s="4">
        <v>1301184.7490400001</v>
      </c>
      <c r="K43" s="4">
        <v>1403778.0699999998</v>
      </c>
      <c r="L43" s="4">
        <v>639860.86956521706</v>
      </c>
    </row>
    <row r="44" spans="1:12" x14ac:dyDescent="0.25">
      <c r="A44" t="s">
        <v>43</v>
      </c>
      <c r="B44" s="4">
        <v>475484.82</v>
      </c>
      <c r="C44" s="4">
        <v>413543.52</v>
      </c>
      <c r="D44" s="4">
        <v>391115.32</v>
      </c>
      <c r="E44" s="4">
        <v>537385.92000000004</v>
      </c>
      <c r="F44" s="4">
        <v>493570.45</v>
      </c>
      <c r="G44" s="4">
        <v>1028645.91</v>
      </c>
      <c r="H44" s="4">
        <v>1277677.8136169999</v>
      </c>
      <c r="I44" s="4">
        <v>1451728.409365</v>
      </c>
      <c r="J44" s="4">
        <v>1481581.12512</v>
      </c>
      <c r="K44" s="4">
        <v>1534996.48</v>
      </c>
      <c r="L44" s="4">
        <v>710295.65217391308</v>
      </c>
    </row>
    <row r="45" spans="1:12" x14ac:dyDescent="0.25">
      <c r="A45" t="s">
        <v>44</v>
      </c>
      <c r="B45" s="4">
        <v>907297.69</v>
      </c>
      <c r="C45" s="4">
        <v>949601.45</v>
      </c>
      <c r="D45" s="4">
        <v>1269645.6399999999</v>
      </c>
      <c r="E45" s="4">
        <v>1538069.18</v>
      </c>
      <c r="F45" s="4">
        <v>1672058.71</v>
      </c>
      <c r="G45" s="4">
        <v>2661099.15</v>
      </c>
      <c r="H45" s="4">
        <v>3224201.6359649999</v>
      </c>
      <c r="I45" s="4">
        <v>3250357.860018</v>
      </c>
      <c r="J45" s="4">
        <v>3366301.5795200001</v>
      </c>
      <c r="K45" s="4">
        <v>3392108.84</v>
      </c>
      <c r="L45" s="4">
        <v>1551756.5217391299</v>
      </c>
    </row>
    <row r="46" spans="1:12" x14ac:dyDescent="0.25">
      <c r="A46" t="s">
        <v>45</v>
      </c>
      <c r="B46" s="4">
        <v>58146.42</v>
      </c>
      <c r="C46" s="4">
        <v>63579.06</v>
      </c>
      <c r="D46" s="4">
        <v>75515.899999999994</v>
      </c>
      <c r="E46" s="4">
        <v>86866.2</v>
      </c>
      <c r="F46" s="4">
        <v>68232.95</v>
      </c>
      <c r="G46" s="4">
        <v>175905.17</v>
      </c>
      <c r="H46" s="4">
        <v>231666.74641399999</v>
      </c>
      <c r="I46" s="4">
        <v>177541.08688399999</v>
      </c>
      <c r="J46" s="4">
        <v>274119.98791999999</v>
      </c>
      <c r="K46" s="4">
        <v>303433.11</v>
      </c>
      <c r="L46" s="4">
        <v>147756.5217391304</v>
      </c>
    </row>
    <row r="47" spans="1:12" x14ac:dyDescent="0.25">
      <c r="A47" t="s">
        <v>46</v>
      </c>
      <c r="B47" s="4">
        <v>493037.86</v>
      </c>
      <c r="C47" s="4">
        <v>488382.3</v>
      </c>
      <c r="D47" s="4">
        <v>753917.32</v>
      </c>
      <c r="E47" s="4">
        <v>827107.79</v>
      </c>
      <c r="F47" s="4">
        <v>735603.73</v>
      </c>
      <c r="G47" s="4">
        <v>1114822.6499999999</v>
      </c>
      <c r="H47" s="4">
        <v>1075040.6929329999</v>
      </c>
      <c r="I47" s="4">
        <v>1378915.0647430001</v>
      </c>
      <c r="J47" s="4">
        <v>1446535.9931999999</v>
      </c>
      <c r="K47" s="4">
        <v>1679510.33</v>
      </c>
      <c r="L47" s="4">
        <v>756939.13043478294</v>
      </c>
    </row>
    <row r="48" spans="1:12" x14ac:dyDescent="0.25">
      <c r="A48" t="s">
        <v>47</v>
      </c>
      <c r="B48" s="4">
        <v>29089.599999999999</v>
      </c>
      <c r="C48" s="4">
        <v>64409.71</v>
      </c>
      <c r="D48" s="4">
        <v>89677.98</v>
      </c>
      <c r="E48" s="4">
        <v>75969.37</v>
      </c>
      <c r="F48" s="4">
        <v>50850.52</v>
      </c>
      <c r="G48" s="4">
        <v>57396.41</v>
      </c>
      <c r="H48" s="4">
        <v>193540.24240399999</v>
      </c>
      <c r="I48" s="4">
        <v>195045.99266699998</v>
      </c>
      <c r="J48" s="4">
        <v>268725.63471999997</v>
      </c>
      <c r="K48" s="4">
        <v>218689.1</v>
      </c>
      <c r="L48" s="4">
        <v>126469.5652173913</v>
      </c>
    </row>
    <row r="49" spans="1:12" x14ac:dyDescent="0.25">
      <c r="A49" t="s">
        <v>48</v>
      </c>
      <c r="B49" s="4">
        <v>621144.44999999995</v>
      </c>
      <c r="C49" s="4">
        <v>647149.16</v>
      </c>
      <c r="D49" s="4">
        <v>655027.82999999996</v>
      </c>
      <c r="E49" s="4">
        <v>711980.1</v>
      </c>
      <c r="F49" s="4">
        <v>753618.66</v>
      </c>
      <c r="G49" s="4">
        <v>1115480.07</v>
      </c>
      <c r="H49" s="4">
        <v>1570514.3438349999</v>
      </c>
      <c r="I49" s="4">
        <v>1764774.147255</v>
      </c>
      <c r="J49" s="4">
        <v>2222538.5182400001</v>
      </c>
      <c r="K49" s="4">
        <v>2301580.94</v>
      </c>
      <c r="L49" s="4">
        <v>1078121.739130435</v>
      </c>
    </row>
    <row r="50" spans="1:12" x14ac:dyDescent="0.25">
      <c r="A50" t="s">
        <v>49</v>
      </c>
      <c r="B50" s="4">
        <v>3326571.65</v>
      </c>
      <c r="C50" s="4">
        <v>3080490.55</v>
      </c>
      <c r="D50" s="4">
        <v>3883062.98</v>
      </c>
      <c r="E50" s="4">
        <v>3969411.6</v>
      </c>
      <c r="F50" s="4">
        <v>4200574.3</v>
      </c>
      <c r="G50" s="4">
        <v>7235000.46</v>
      </c>
      <c r="H50" s="4">
        <v>9046189.648035001</v>
      </c>
      <c r="I50" s="4">
        <v>9304051.379753001</v>
      </c>
      <c r="J50" s="4">
        <v>10510204.801039999</v>
      </c>
      <c r="K50" s="4">
        <v>10025626.539999999</v>
      </c>
      <c r="L50" s="4">
        <v>4883478.2608695598</v>
      </c>
    </row>
    <row r="51" spans="1:12" x14ac:dyDescent="0.25">
      <c r="A51" t="s">
        <v>50</v>
      </c>
      <c r="B51" s="4">
        <v>416464.37</v>
      </c>
      <c r="C51" s="4">
        <v>361115.17</v>
      </c>
      <c r="D51" s="4">
        <v>428878.67</v>
      </c>
      <c r="E51" s="4">
        <v>504331.04</v>
      </c>
      <c r="F51" s="4">
        <v>591288.77</v>
      </c>
      <c r="G51" s="4">
        <v>946722.84</v>
      </c>
      <c r="H51" s="4">
        <v>1207696.963189</v>
      </c>
      <c r="I51" s="4">
        <v>1382213.571795</v>
      </c>
      <c r="J51" s="4">
        <v>1489289.37056</v>
      </c>
      <c r="K51" s="4">
        <v>1494398.59</v>
      </c>
      <c r="L51" s="4">
        <v>711234.7826086951</v>
      </c>
    </row>
    <row r="52" spans="1:12" x14ac:dyDescent="0.25">
      <c r="A52" t="s">
        <v>51</v>
      </c>
      <c r="B52" s="4">
        <v>827282.28</v>
      </c>
      <c r="C52" s="4">
        <v>710325.88</v>
      </c>
      <c r="D52" s="4">
        <v>918802.78</v>
      </c>
      <c r="E52" s="4">
        <v>954876.48</v>
      </c>
      <c r="F52" s="4">
        <v>1184179.18</v>
      </c>
      <c r="G52" s="4">
        <v>1910993.13</v>
      </c>
      <c r="H52" s="4">
        <v>2381560.7002579998</v>
      </c>
      <c r="I52" s="4">
        <v>2555242.1178979999</v>
      </c>
      <c r="J52" s="4">
        <v>3238861.4250400001</v>
      </c>
      <c r="K52" s="4">
        <v>3046913.84</v>
      </c>
      <c r="L52" s="4">
        <v>1523269.5652173911</v>
      </c>
    </row>
    <row r="53" spans="1:12" x14ac:dyDescent="0.25">
      <c r="A53" t="s">
        <v>52</v>
      </c>
      <c r="B53" s="4">
        <v>49990.73</v>
      </c>
      <c r="C53" s="4">
        <v>36801.050000000003</v>
      </c>
      <c r="D53" s="4">
        <v>43628.92</v>
      </c>
      <c r="E53" s="4">
        <v>48597.98</v>
      </c>
      <c r="F53" s="4">
        <v>77525.710000000006</v>
      </c>
      <c r="G53" s="4">
        <v>62281.82</v>
      </c>
      <c r="H53" s="4">
        <v>51817.131397999998</v>
      </c>
      <c r="I53" s="4">
        <v>69635.401010000001</v>
      </c>
      <c r="J53" s="4">
        <v>161312.32592</v>
      </c>
      <c r="K53" s="4">
        <v>176903.88</v>
      </c>
      <c r="L53" s="4">
        <v>88591.30434782611</v>
      </c>
    </row>
    <row r="54" spans="1:12" x14ac:dyDescent="0.25">
      <c r="A54" t="s">
        <v>53</v>
      </c>
      <c r="B54" s="4">
        <v>1121337.43</v>
      </c>
      <c r="C54" s="4">
        <v>1044406.43</v>
      </c>
      <c r="D54" s="4">
        <v>1340465.17</v>
      </c>
      <c r="E54" s="4">
        <v>1490430.07</v>
      </c>
      <c r="F54" s="4">
        <v>1450586.83</v>
      </c>
      <c r="G54" s="4">
        <v>2330852.5100000002</v>
      </c>
      <c r="H54" s="4">
        <v>3309843.6077359999</v>
      </c>
      <c r="I54" s="4">
        <v>3498521.4262629999</v>
      </c>
      <c r="J54" s="4">
        <v>4062038.9423200004</v>
      </c>
      <c r="K54" s="4">
        <v>3808015.33</v>
      </c>
      <c r="L54" s="4">
        <v>1862608.6956521762</v>
      </c>
    </row>
    <row r="55" spans="1:12" x14ac:dyDescent="0.25">
      <c r="A55" t="s">
        <v>54</v>
      </c>
      <c r="B55" s="4">
        <v>469635.83</v>
      </c>
      <c r="C55" s="4">
        <v>480260.58</v>
      </c>
      <c r="D55" s="4">
        <v>624424.85</v>
      </c>
      <c r="E55" s="4">
        <v>695958.45</v>
      </c>
      <c r="F55" s="4">
        <v>695615.6</v>
      </c>
      <c r="G55" s="4">
        <v>1058151.78</v>
      </c>
      <c r="H55" s="4">
        <v>1373862.7773440001</v>
      </c>
      <c r="I55" s="4">
        <v>1407421.140044</v>
      </c>
      <c r="J55" s="4">
        <v>1619071.61304</v>
      </c>
      <c r="K55" s="4">
        <v>1396237.8599999999</v>
      </c>
      <c r="L55" s="4">
        <v>743165.21739130397</v>
      </c>
    </row>
    <row r="56" spans="1:12" x14ac:dyDescent="0.25">
      <c r="A56" t="s">
        <v>55</v>
      </c>
      <c r="B56" s="4">
        <v>101356.36</v>
      </c>
      <c r="C56" s="4">
        <v>97066.63</v>
      </c>
      <c r="D56" s="4">
        <v>171974.39</v>
      </c>
      <c r="E56" s="4">
        <v>223501.15</v>
      </c>
      <c r="F56" s="4">
        <v>183810.33</v>
      </c>
      <c r="G56" s="4">
        <v>346052.86</v>
      </c>
      <c r="H56" s="4">
        <v>386474.61033499998</v>
      </c>
      <c r="I56" s="4">
        <v>443200.61708600004</v>
      </c>
      <c r="J56" s="4">
        <v>510135.52600000001</v>
      </c>
      <c r="K56" s="4">
        <v>564920.96</v>
      </c>
      <c r="L56" s="4">
        <v>275478.26086956478</v>
      </c>
    </row>
    <row r="57" spans="1:12" x14ac:dyDescent="0.25">
      <c r="A57" t="s">
        <v>56</v>
      </c>
      <c r="B57" s="4">
        <v>86856.04</v>
      </c>
      <c r="C57" s="4">
        <v>103598.98</v>
      </c>
      <c r="D57" s="4">
        <v>129698.8</v>
      </c>
      <c r="E57" s="4">
        <v>137387.41</v>
      </c>
      <c r="F57" s="4">
        <v>118936.56</v>
      </c>
      <c r="G57" s="4">
        <v>198316.12</v>
      </c>
      <c r="H57" s="4">
        <v>262435.06561300001</v>
      </c>
      <c r="I57" s="4">
        <v>264812.58476900001</v>
      </c>
      <c r="J57" s="4">
        <v>103643.51576000001</v>
      </c>
      <c r="K57" s="4">
        <v>91226.01999999999</v>
      </c>
      <c r="L57" s="4">
        <v>50400</v>
      </c>
    </row>
    <row r="58" spans="1:12" x14ac:dyDescent="0.25">
      <c r="A58" t="s">
        <v>57</v>
      </c>
      <c r="B58" s="4">
        <f>SUM(B8:B57)</f>
        <v>32646704.93</v>
      </c>
      <c r="C58" s="4">
        <f t="shared" ref="C58:L58" si="1">SUM(C8:C57)</f>
        <v>31260789.419999998</v>
      </c>
      <c r="D58" s="4">
        <f t="shared" si="1"/>
        <v>39880999.389999993</v>
      </c>
      <c r="E58" s="4">
        <f t="shared" si="1"/>
        <v>43025171.199999996</v>
      </c>
      <c r="F58" s="4">
        <f t="shared" si="1"/>
        <v>45283999.459999993</v>
      </c>
      <c r="G58" s="4">
        <f t="shared" si="1"/>
        <v>75423377.969999984</v>
      </c>
      <c r="H58" s="4">
        <f t="shared" si="1"/>
        <v>95217554.517656028</v>
      </c>
      <c r="I58" s="4">
        <f t="shared" si="1"/>
        <v>102121833.71500106</v>
      </c>
      <c r="J58" s="4">
        <f t="shared" si="1"/>
        <v>118974948.46480003</v>
      </c>
      <c r="K58" s="4">
        <f t="shared" si="1"/>
        <v>118577486.96999997</v>
      </c>
      <c r="L58" s="4">
        <f t="shared" si="1"/>
        <v>56811443.478260882</v>
      </c>
    </row>
    <row r="60" spans="1:12" x14ac:dyDescent="0.25">
      <c r="A60" t="s">
        <v>58</v>
      </c>
    </row>
    <row r="62" spans="1:12" x14ac:dyDescent="0.25">
      <c r="A62" t="s">
        <v>59</v>
      </c>
    </row>
    <row r="63" spans="1:12" x14ac:dyDescent="0.25">
      <c r="A63" t="s">
        <v>6</v>
      </c>
      <c r="B63">
        <v>2015</v>
      </c>
      <c r="C63">
        <f t="shared" ref="C63:K63" si="2">B63+1</f>
        <v>2016</v>
      </c>
      <c r="D63">
        <f t="shared" si="2"/>
        <v>2017</v>
      </c>
      <c r="E63">
        <f t="shared" si="2"/>
        <v>2018</v>
      </c>
      <c r="F63">
        <f t="shared" si="2"/>
        <v>2019</v>
      </c>
      <c r="G63">
        <f t="shared" si="2"/>
        <v>2020</v>
      </c>
      <c r="H63">
        <f t="shared" si="2"/>
        <v>2021</v>
      </c>
      <c r="I63">
        <f t="shared" si="2"/>
        <v>2022</v>
      </c>
      <c r="J63">
        <f t="shared" si="2"/>
        <v>2023</v>
      </c>
      <c r="K63">
        <f t="shared" si="2"/>
        <v>2024</v>
      </c>
      <c r="L63" t="str">
        <f>L7</f>
        <v>Proj. 4/1/25- 3/31/26</v>
      </c>
    </row>
    <row r="64" spans="1:12" x14ac:dyDescent="0.25">
      <c r="A64" t="s">
        <v>7</v>
      </c>
      <c r="B64" s="4">
        <v>174499.16</v>
      </c>
      <c r="C64" s="4">
        <v>149515.01999999999</v>
      </c>
      <c r="D64" s="4">
        <v>165500.49</v>
      </c>
      <c r="E64" s="4">
        <v>177016.98</v>
      </c>
      <c r="F64" s="4">
        <v>174765.33</v>
      </c>
      <c r="G64" s="4">
        <v>113472.37</v>
      </c>
      <c r="H64" s="4">
        <v>127708.92546</v>
      </c>
      <c r="I64" s="4">
        <v>63476.387663000001</v>
      </c>
      <c r="J64" s="4">
        <v>84712.373120000004</v>
      </c>
      <c r="K64" s="4">
        <v>111801.22</v>
      </c>
      <c r="L64" s="4">
        <v>33495.652173912997</v>
      </c>
    </row>
    <row r="65" spans="1:12" x14ac:dyDescent="0.25">
      <c r="A65" t="s">
        <v>8</v>
      </c>
      <c r="B65" s="4">
        <v>330234.25</v>
      </c>
      <c r="C65" s="4">
        <v>298900.21999999997</v>
      </c>
      <c r="D65" s="4">
        <v>366308.09</v>
      </c>
      <c r="E65" s="4">
        <v>389495.73</v>
      </c>
      <c r="F65" s="4">
        <v>392553.06</v>
      </c>
      <c r="G65" s="4">
        <v>503271.07</v>
      </c>
      <c r="H65" s="4">
        <v>465775.87048799999</v>
      </c>
      <c r="I65" s="4">
        <v>367583.82810500002</v>
      </c>
      <c r="J65" s="4">
        <v>386396.97168000002</v>
      </c>
      <c r="K65" s="4">
        <v>408630.76</v>
      </c>
      <c r="L65" s="4">
        <v>133669.56521739101</v>
      </c>
    </row>
    <row r="66" spans="1:12" x14ac:dyDescent="0.25">
      <c r="A66" t="s">
        <v>9</v>
      </c>
      <c r="B66" s="4">
        <v>88154.57</v>
      </c>
      <c r="C66" s="4">
        <v>144432.03</v>
      </c>
      <c r="D66" s="4">
        <v>200546.76</v>
      </c>
      <c r="E66" s="4">
        <v>176390.05</v>
      </c>
      <c r="F66" s="4">
        <v>191990.39999999999</v>
      </c>
      <c r="G66" s="4">
        <v>416198.15</v>
      </c>
      <c r="H66" s="4">
        <v>413171.23897499999</v>
      </c>
      <c r="I66" s="4">
        <v>321365.181033</v>
      </c>
      <c r="J66" s="4">
        <v>404610.98655999999</v>
      </c>
      <c r="K66" s="4">
        <v>442843.98</v>
      </c>
      <c r="L66" s="4">
        <v>141495.652173913</v>
      </c>
    </row>
    <row r="67" spans="1:12" x14ac:dyDescent="0.25">
      <c r="A67" t="s">
        <v>10</v>
      </c>
      <c r="B67" s="4">
        <v>516312.88</v>
      </c>
      <c r="C67" s="4">
        <v>500923.74</v>
      </c>
      <c r="D67" s="4">
        <v>782261.06</v>
      </c>
      <c r="E67" s="4">
        <v>941062.58</v>
      </c>
      <c r="F67" s="4">
        <v>1095115.75</v>
      </c>
      <c r="G67" s="4">
        <v>1352301.93</v>
      </c>
      <c r="H67" s="4">
        <v>1483021.170804</v>
      </c>
      <c r="I67" s="4">
        <v>1511815.102317</v>
      </c>
      <c r="J67" s="4">
        <v>1687362.7517599999</v>
      </c>
      <c r="K67" s="4">
        <v>1826507.49</v>
      </c>
      <c r="L67" s="4">
        <v>576313.04347826098</v>
      </c>
    </row>
    <row r="68" spans="1:12" x14ac:dyDescent="0.25">
      <c r="A68" t="s">
        <v>11</v>
      </c>
      <c r="B68" s="4">
        <v>4757162.63</v>
      </c>
      <c r="C68" s="4">
        <v>42974631</v>
      </c>
      <c r="D68" s="4">
        <v>6427005.4500000002</v>
      </c>
      <c r="E68" s="4">
        <v>6687595.8499999996</v>
      </c>
      <c r="F68" s="4">
        <v>7276359.79</v>
      </c>
      <c r="G68" s="4">
        <v>9390488.7300000004</v>
      </c>
      <c r="H68" s="4">
        <v>9359343.6856919993</v>
      </c>
      <c r="I68" s="4">
        <v>8829503.7959310003</v>
      </c>
      <c r="J68" s="4">
        <v>10782581.01544</v>
      </c>
      <c r="K68" s="4">
        <v>10244164.6</v>
      </c>
      <c r="L68" s="4">
        <v>3551165.2173913</v>
      </c>
    </row>
    <row r="69" spans="1:12" x14ac:dyDescent="0.25">
      <c r="A69" t="s">
        <v>12</v>
      </c>
      <c r="B69" s="4">
        <v>537467.28</v>
      </c>
      <c r="C69" s="4">
        <v>633920.28</v>
      </c>
      <c r="D69" s="4">
        <v>731576.44</v>
      </c>
      <c r="E69" s="4">
        <v>819183.18</v>
      </c>
      <c r="F69" s="4">
        <v>910972.22</v>
      </c>
      <c r="G69" s="4">
        <v>1287202.8500000001</v>
      </c>
      <c r="H69" s="4">
        <v>1327977.139767</v>
      </c>
      <c r="I69" s="4">
        <v>1312029.7475350001</v>
      </c>
      <c r="J69" s="4">
        <v>1488569.75336</v>
      </c>
      <c r="K69" s="4">
        <v>1409599.28</v>
      </c>
      <c r="L69" s="4">
        <v>479582.60869565199</v>
      </c>
    </row>
    <row r="70" spans="1:12" x14ac:dyDescent="0.25">
      <c r="A70" t="s">
        <v>13</v>
      </c>
      <c r="B70" s="4">
        <v>350032.48</v>
      </c>
      <c r="C70" s="4">
        <v>324355.63</v>
      </c>
      <c r="D70" s="4">
        <v>435006.95</v>
      </c>
      <c r="E70" s="4">
        <v>479178.15</v>
      </c>
      <c r="F70" s="4">
        <v>636440.68999999994</v>
      </c>
      <c r="G70" s="4">
        <v>778852.9</v>
      </c>
      <c r="H70" s="4">
        <v>930856.64721299999</v>
      </c>
      <c r="I70" s="4">
        <v>965681.92848400003</v>
      </c>
      <c r="J70" s="4">
        <v>1154804.4569600001</v>
      </c>
      <c r="K70" s="4">
        <v>955969.59</v>
      </c>
      <c r="L70" s="4">
        <v>359373.91304347798</v>
      </c>
    </row>
    <row r="71" spans="1:12" x14ac:dyDescent="0.25">
      <c r="A71" t="s">
        <v>14</v>
      </c>
      <c r="B71" s="4">
        <v>113736.58</v>
      </c>
      <c r="C71" s="4">
        <v>45433.63</v>
      </c>
      <c r="D71" s="4">
        <v>124268.19</v>
      </c>
      <c r="E71" s="4">
        <v>124137.33</v>
      </c>
      <c r="F71" s="4">
        <v>126487.56</v>
      </c>
      <c r="G71" s="4">
        <v>95529.94</v>
      </c>
      <c r="H71" s="4">
        <v>118707.47474400001</v>
      </c>
      <c r="I71" s="4">
        <v>154140.96786400001</v>
      </c>
      <c r="J71" s="4">
        <v>150220.54792000001</v>
      </c>
      <c r="K71" s="4">
        <v>145741.18</v>
      </c>
      <c r="L71" s="4">
        <v>49460.869565217399</v>
      </c>
    </row>
    <row r="72" spans="1:12" x14ac:dyDescent="0.25">
      <c r="A72" t="s">
        <v>15</v>
      </c>
      <c r="B72" s="4">
        <v>72072.05</v>
      </c>
      <c r="C72" s="4">
        <v>96188.42</v>
      </c>
      <c r="D72" s="4">
        <v>147985.78</v>
      </c>
      <c r="E72" s="4">
        <v>103739.82</v>
      </c>
      <c r="F72" s="4">
        <v>74415.77</v>
      </c>
      <c r="G72" s="4">
        <v>153520.60999999999</v>
      </c>
      <c r="H72" s="4">
        <v>234178.48328700001</v>
      </c>
      <c r="I72" s="4">
        <v>327329.26253299997</v>
      </c>
      <c r="J72" s="4">
        <v>340600.26367999997</v>
      </c>
      <c r="K72" s="4">
        <v>380474.71</v>
      </c>
      <c r="L72" s="4">
        <v>121460.869565217</v>
      </c>
    </row>
    <row r="73" spans="1:12" x14ac:dyDescent="0.25">
      <c r="A73" t="s">
        <v>16</v>
      </c>
      <c r="B73" s="4">
        <v>1651382.56</v>
      </c>
      <c r="C73" s="4">
        <v>1544385.02</v>
      </c>
      <c r="D73" s="4">
        <v>1876206.65</v>
      </c>
      <c r="E73" s="4">
        <v>2220156.9700000002</v>
      </c>
      <c r="F73" s="4">
        <v>2088281.3</v>
      </c>
      <c r="G73" s="4">
        <v>2919685.23</v>
      </c>
      <c r="H73" s="4">
        <v>2911909.5910109999</v>
      </c>
      <c r="I73" s="4">
        <v>2782996.6898500002</v>
      </c>
      <c r="J73" s="4">
        <v>3452926.2716799998</v>
      </c>
      <c r="K73" s="4">
        <v>3686697.97</v>
      </c>
      <c r="L73" s="4">
        <v>1196452.17391304</v>
      </c>
    </row>
    <row r="74" spans="1:12" x14ac:dyDescent="0.25">
      <c r="A74" t="s">
        <v>17</v>
      </c>
      <c r="B74" s="4">
        <v>1051859.5</v>
      </c>
      <c r="C74" s="4">
        <v>958020.72</v>
      </c>
      <c r="D74" s="4">
        <v>1318955.55</v>
      </c>
      <c r="E74" s="4">
        <v>1461936.58</v>
      </c>
      <c r="F74" s="4">
        <v>1409492.53</v>
      </c>
      <c r="G74" s="4">
        <v>1779483.39</v>
      </c>
      <c r="H74" s="4">
        <v>1753533.5074140001</v>
      </c>
      <c r="I74" s="4">
        <v>1744703.0287830001</v>
      </c>
      <c r="J74" s="4">
        <v>2016716.73872</v>
      </c>
      <c r="K74" s="4">
        <v>1964407.74</v>
      </c>
      <c r="L74" s="4">
        <v>662713.04347826098</v>
      </c>
    </row>
    <row r="75" spans="1:12" x14ac:dyDescent="0.25">
      <c r="A75" t="s">
        <v>18</v>
      </c>
      <c r="B75" s="4">
        <v>313600.45</v>
      </c>
      <c r="C75" s="4">
        <v>359852.72</v>
      </c>
      <c r="D75" s="4">
        <v>357430.1</v>
      </c>
      <c r="E75" s="4">
        <v>439741.65</v>
      </c>
      <c r="F75" s="4">
        <v>392351.58</v>
      </c>
      <c r="G75" s="4">
        <v>495241.49</v>
      </c>
      <c r="H75" s="4">
        <v>494034.74109000002</v>
      </c>
      <c r="I75" s="4">
        <v>511119.27230000001</v>
      </c>
      <c r="J75" s="4">
        <v>565118.77832000004</v>
      </c>
      <c r="K75" s="4">
        <v>590886.63</v>
      </c>
      <c r="L75" s="4">
        <v>193147.82608695701</v>
      </c>
    </row>
    <row r="76" spans="1:12" x14ac:dyDescent="0.25">
      <c r="A76" t="s">
        <v>19</v>
      </c>
      <c r="B76" s="4">
        <v>150610.65</v>
      </c>
      <c r="C76" s="4">
        <v>149475.14000000001</v>
      </c>
      <c r="D76" s="4">
        <v>180988.98</v>
      </c>
      <c r="E76" s="4">
        <v>235866.1</v>
      </c>
      <c r="F76" s="4">
        <v>223653.19</v>
      </c>
      <c r="G76" s="4">
        <v>229581.73</v>
      </c>
      <c r="H76" s="4">
        <v>215454.22923900001</v>
      </c>
      <c r="I76" s="4">
        <v>227873.606103</v>
      </c>
      <c r="J76" s="4">
        <v>210476.084</v>
      </c>
      <c r="K76" s="4">
        <v>208970.42</v>
      </c>
      <c r="L76" s="4">
        <v>68869.565217391297</v>
      </c>
    </row>
    <row r="77" spans="1:12" x14ac:dyDescent="0.25">
      <c r="A77" t="s">
        <v>20</v>
      </c>
      <c r="B77" s="4">
        <v>1152498.94</v>
      </c>
      <c r="C77" s="4">
        <v>1023426.6</v>
      </c>
      <c r="D77" s="4">
        <v>1337314.7</v>
      </c>
      <c r="E77" s="4">
        <v>1313644.23</v>
      </c>
      <c r="F77" s="4">
        <v>1484522.89</v>
      </c>
      <c r="G77" s="4">
        <v>2021625.53</v>
      </c>
      <c r="H77" s="4">
        <v>2036087.395176</v>
      </c>
      <c r="I77" s="4">
        <v>2025375.2264719999</v>
      </c>
      <c r="J77" s="4">
        <v>2684696.5660799998</v>
      </c>
      <c r="K77" s="4">
        <v>2776278.02</v>
      </c>
      <c r="L77" s="4">
        <v>903443.47826086998</v>
      </c>
    </row>
    <row r="78" spans="1:12" x14ac:dyDescent="0.25">
      <c r="A78" t="s">
        <v>21</v>
      </c>
      <c r="B78" s="4">
        <v>732815.84</v>
      </c>
      <c r="C78" s="4">
        <v>657141.67000000004</v>
      </c>
      <c r="D78" s="4">
        <v>752908.69</v>
      </c>
      <c r="E78" s="4">
        <v>805655.73</v>
      </c>
      <c r="F78" s="4">
        <v>788780.94</v>
      </c>
      <c r="G78" s="4">
        <v>898305.57</v>
      </c>
      <c r="H78" s="4">
        <v>923855.204088</v>
      </c>
      <c r="I78" s="4">
        <v>910927.80149800004</v>
      </c>
      <c r="J78" s="4">
        <v>1285102.5758400001</v>
      </c>
      <c r="K78" s="4">
        <v>1329237.19</v>
      </c>
      <c r="L78" s="4">
        <v>437947.82608695602</v>
      </c>
    </row>
    <row r="79" spans="1:12" x14ac:dyDescent="0.25">
      <c r="A79" t="s">
        <v>22</v>
      </c>
      <c r="B79" s="4">
        <v>209806.49</v>
      </c>
      <c r="C79" s="4">
        <v>203454.19</v>
      </c>
      <c r="D79" s="4">
        <v>252857.77</v>
      </c>
      <c r="E79" s="4">
        <v>301457.09999999998</v>
      </c>
      <c r="F79" s="4">
        <v>331618.28999999998</v>
      </c>
      <c r="G79" s="4">
        <v>348942.48</v>
      </c>
      <c r="H79" s="4">
        <v>459920.30644499999</v>
      </c>
      <c r="I79" s="4">
        <v>425562.99070999998</v>
      </c>
      <c r="J79" s="4">
        <v>594163.87135999999</v>
      </c>
      <c r="K79" s="4">
        <v>694864.2</v>
      </c>
      <c r="L79" s="4">
        <v>215686.95652173899</v>
      </c>
    </row>
    <row r="80" spans="1:12" x14ac:dyDescent="0.25">
      <c r="A80" t="s">
        <v>23</v>
      </c>
      <c r="B80" s="4">
        <v>260061.24</v>
      </c>
      <c r="C80" s="4">
        <v>226375.54</v>
      </c>
      <c r="D80" s="4">
        <v>188674.8</v>
      </c>
      <c r="E80" s="4">
        <v>191969.04</v>
      </c>
      <c r="F80" s="4">
        <v>204257.3</v>
      </c>
      <c r="G80" s="4">
        <v>298504.92</v>
      </c>
      <c r="H80" s="4">
        <v>413366.01299100003</v>
      </c>
      <c r="I80" s="4">
        <v>376156.368731</v>
      </c>
      <c r="J80" s="4">
        <v>405045.99712000001</v>
      </c>
      <c r="K80" s="4">
        <v>491937.75</v>
      </c>
      <c r="L80" s="4">
        <v>149321.73913043499</v>
      </c>
    </row>
    <row r="81" spans="1:12" x14ac:dyDescent="0.25">
      <c r="A81" t="s">
        <v>24</v>
      </c>
      <c r="B81" s="4">
        <v>372379.42</v>
      </c>
      <c r="C81" s="4">
        <v>336922.46</v>
      </c>
      <c r="D81" s="4">
        <v>433637.52</v>
      </c>
      <c r="E81" s="4">
        <v>466977.35</v>
      </c>
      <c r="F81" s="4">
        <v>473056.58</v>
      </c>
      <c r="G81" s="4">
        <v>560049.96</v>
      </c>
      <c r="H81" s="4">
        <v>582184.75956599996</v>
      </c>
      <c r="I81" s="4">
        <v>519286.637246</v>
      </c>
      <c r="J81" s="4">
        <v>621198.50360000005</v>
      </c>
      <c r="K81" s="4">
        <v>594822.69999999995</v>
      </c>
      <c r="L81" s="4">
        <v>204104.347826087</v>
      </c>
    </row>
    <row r="82" spans="1:12" x14ac:dyDescent="0.25">
      <c r="A82" t="s">
        <v>25</v>
      </c>
      <c r="B82" s="4">
        <v>917884.31</v>
      </c>
      <c r="C82" s="4">
        <v>813157.9</v>
      </c>
      <c r="D82" s="4">
        <v>1106990.02</v>
      </c>
      <c r="E82" s="4">
        <v>990708.34</v>
      </c>
      <c r="F82" s="4">
        <v>1211163.99</v>
      </c>
      <c r="G82" s="4">
        <v>1237768.6299999999</v>
      </c>
      <c r="H82" s="4">
        <v>1204941.168909</v>
      </c>
      <c r="I82" s="4">
        <v>1160611.9481319999</v>
      </c>
      <c r="J82" s="4">
        <v>1560892.2503200001</v>
      </c>
      <c r="K82" s="4">
        <v>1722832.13</v>
      </c>
      <c r="L82" s="4">
        <v>538747.82608695701</v>
      </c>
    </row>
    <row r="83" spans="1:12" x14ac:dyDescent="0.25">
      <c r="A83" t="s">
        <v>26</v>
      </c>
      <c r="B83" s="4">
        <v>629641.37</v>
      </c>
      <c r="C83" s="4">
        <v>608027.54</v>
      </c>
      <c r="D83" s="4">
        <v>758493.54</v>
      </c>
      <c r="E83" s="4">
        <v>714449.14</v>
      </c>
      <c r="F83" s="4">
        <v>737253.09</v>
      </c>
      <c r="G83" s="4">
        <v>1065252.05</v>
      </c>
      <c r="H83" s="4">
        <v>1102529.269602</v>
      </c>
      <c r="I83" s="4">
        <v>1125420.008466</v>
      </c>
      <c r="J83" s="4">
        <v>1443806.9066399999</v>
      </c>
      <c r="K83" s="4">
        <v>1468800.45</v>
      </c>
      <c r="L83" s="4">
        <v>478956.52173913002</v>
      </c>
    </row>
    <row r="84" spans="1:12" x14ac:dyDescent="0.25">
      <c r="A84" t="s">
        <v>27</v>
      </c>
      <c r="B84" s="4">
        <v>71197.259999999995</v>
      </c>
      <c r="C84" s="4">
        <v>48067.03</v>
      </c>
      <c r="D84" s="4">
        <v>74480.45</v>
      </c>
      <c r="E84" s="4">
        <v>105577.64</v>
      </c>
      <c r="F84" s="4">
        <v>109637.62</v>
      </c>
      <c r="G84" s="4">
        <v>107606.64</v>
      </c>
      <c r="H84" s="4">
        <v>102767.560104</v>
      </c>
      <c r="I84" s="4">
        <v>129415.39331499999</v>
      </c>
      <c r="J84" s="4">
        <v>209458.81400000001</v>
      </c>
      <c r="K84" s="4">
        <v>198475.55</v>
      </c>
      <c r="L84" s="4">
        <v>68243.478260869597</v>
      </c>
    </row>
    <row r="85" spans="1:12" x14ac:dyDescent="0.25">
      <c r="A85" t="s">
        <v>28</v>
      </c>
      <c r="B85" s="4">
        <v>674683.49</v>
      </c>
      <c r="C85" s="4">
        <v>667375.67000000004</v>
      </c>
      <c r="D85" s="4">
        <v>907908</v>
      </c>
      <c r="E85" s="4">
        <v>879200.57</v>
      </c>
      <c r="F85" s="4">
        <v>997739.81</v>
      </c>
      <c r="G85" s="4">
        <v>1190977.32</v>
      </c>
      <c r="H85" s="4">
        <v>1102664.09775</v>
      </c>
      <c r="I85" s="4">
        <v>1114112.13004</v>
      </c>
      <c r="J85" s="4">
        <v>1356349.7993600001</v>
      </c>
      <c r="K85" s="4">
        <v>1302305.81</v>
      </c>
      <c r="L85" s="4">
        <v>439513.04347826098</v>
      </c>
    </row>
    <row r="86" spans="1:12" x14ac:dyDescent="0.25">
      <c r="A86" t="s">
        <v>29</v>
      </c>
      <c r="B86" s="4">
        <v>560386.68000000005</v>
      </c>
      <c r="C86" s="4">
        <v>574388.77</v>
      </c>
      <c r="D86" s="4">
        <v>740660.64</v>
      </c>
      <c r="E86" s="4">
        <v>804209.84</v>
      </c>
      <c r="F86" s="4">
        <v>748464.95</v>
      </c>
      <c r="G86" s="4">
        <v>900520.37</v>
      </c>
      <c r="H86" s="4">
        <v>996338.63825700001</v>
      </c>
      <c r="I86" s="4">
        <v>827743.80743599997</v>
      </c>
      <c r="J86" s="4">
        <v>1026962.01008</v>
      </c>
      <c r="K86" s="4">
        <v>1128072.26</v>
      </c>
      <c r="L86" s="4">
        <v>356556.52173913002</v>
      </c>
    </row>
    <row r="87" spans="1:12" x14ac:dyDescent="0.25">
      <c r="A87" t="s">
        <v>30</v>
      </c>
      <c r="B87" s="4">
        <v>612332.96</v>
      </c>
      <c r="C87" s="4">
        <v>585007.52</v>
      </c>
      <c r="D87" s="4">
        <v>792555.77</v>
      </c>
      <c r="E87" s="4">
        <v>822558.03</v>
      </c>
      <c r="F87" s="4">
        <v>931802.62</v>
      </c>
      <c r="G87" s="4">
        <v>1107668.74</v>
      </c>
      <c r="H87" s="4">
        <v>1149264.00132</v>
      </c>
      <c r="I87" s="4">
        <v>1038789.569168</v>
      </c>
      <c r="J87" s="4">
        <v>1378590.65912</v>
      </c>
      <c r="K87" s="4">
        <v>1401595.6</v>
      </c>
      <c r="L87" s="4">
        <v>470504.34782608697</v>
      </c>
    </row>
    <row r="88" spans="1:12" x14ac:dyDescent="0.25">
      <c r="A88" t="s">
        <v>31</v>
      </c>
      <c r="B88" s="4">
        <v>141290.01</v>
      </c>
      <c r="C88" s="4">
        <v>128083.04</v>
      </c>
      <c r="D88" s="4">
        <v>179115.5</v>
      </c>
      <c r="E88" s="4">
        <v>256980.53</v>
      </c>
      <c r="F88" s="4">
        <v>220857.79</v>
      </c>
      <c r="G88" s="4">
        <v>309771.86</v>
      </c>
      <c r="H88" s="4">
        <v>349934.23470299999</v>
      </c>
      <c r="I88" s="4">
        <v>368129.23758000002</v>
      </c>
      <c r="J88" s="4">
        <v>453023.44751999999</v>
      </c>
      <c r="K88" s="4">
        <v>569735.24</v>
      </c>
      <c r="L88" s="4">
        <v>171860.869565217</v>
      </c>
    </row>
    <row r="89" spans="1:12" x14ac:dyDescent="0.25">
      <c r="A89" t="s">
        <v>32</v>
      </c>
      <c r="B89" s="4">
        <v>145693.01999999999</v>
      </c>
      <c r="C89" s="4">
        <v>161821.18</v>
      </c>
      <c r="D89" s="4">
        <v>138538.47</v>
      </c>
      <c r="E89" s="4">
        <v>160595.57</v>
      </c>
      <c r="F89" s="4">
        <v>103815.42</v>
      </c>
      <c r="G89" s="4">
        <v>192691.37</v>
      </c>
      <c r="H89" s="4">
        <v>236276.80890900001</v>
      </c>
      <c r="I89" s="4">
        <v>178608.031888</v>
      </c>
      <c r="J89" s="4">
        <v>206068.74712000001</v>
      </c>
      <c r="K89" s="4">
        <v>121554.73</v>
      </c>
      <c r="L89" s="4">
        <v>54156.521739130403</v>
      </c>
    </row>
    <row r="90" spans="1:12" x14ac:dyDescent="0.25">
      <c r="A90" t="s">
        <v>33</v>
      </c>
      <c r="B90" s="4">
        <v>1205672.17</v>
      </c>
      <c r="C90" s="4">
        <v>1179158.8600000001</v>
      </c>
      <c r="D90" s="4">
        <v>1253781.8600000001</v>
      </c>
      <c r="E90" s="4">
        <v>1408159.18</v>
      </c>
      <c r="F90" s="4">
        <v>1451055.68</v>
      </c>
      <c r="G90" s="4">
        <v>1742452.46</v>
      </c>
      <c r="H90" s="4">
        <v>1632091.848372</v>
      </c>
      <c r="I90" s="4">
        <v>1655489.6749170001</v>
      </c>
      <c r="J90" s="4">
        <v>1941346.9021600001</v>
      </c>
      <c r="K90" s="4">
        <v>1762142.64</v>
      </c>
      <c r="L90" s="4">
        <v>617321.73913043505</v>
      </c>
    </row>
    <row r="91" spans="1:12" x14ac:dyDescent="0.25">
      <c r="A91" t="s">
        <v>34</v>
      </c>
      <c r="B91" s="4">
        <v>129457</v>
      </c>
      <c r="C91" s="4">
        <v>99920.91</v>
      </c>
      <c r="D91" s="4">
        <v>78920.84</v>
      </c>
      <c r="E91" s="4">
        <v>86141.2</v>
      </c>
      <c r="F91" s="4">
        <v>81006.83</v>
      </c>
      <c r="G91" s="4">
        <v>73113.55</v>
      </c>
      <c r="H91" s="4">
        <v>117255.649491</v>
      </c>
      <c r="I91" s="4">
        <v>114765.20744</v>
      </c>
      <c r="J91" s="4">
        <v>182196.82128</v>
      </c>
      <c r="K91" s="4">
        <v>254479.3</v>
      </c>
      <c r="L91" s="4">
        <v>74191.304347826095</v>
      </c>
    </row>
    <row r="92" spans="1:12" x14ac:dyDescent="0.25">
      <c r="A92" t="s">
        <v>35</v>
      </c>
      <c r="B92" s="4">
        <v>264177.39</v>
      </c>
      <c r="C92" s="4">
        <v>255167.29</v>
      </c>
      <c r="D92" s="4">
        <v>280263</v>
      </c>
      <c r="E92" s="4">
        <v>367071.08</v>
      </c>
      <c r="F92" s="4">
        <v>269497.18</v>
      </c>
      <c r="G92" s="4">
        <v>293084.83</v>
      </c>
      <c r="H92" s="4">
        <v>313263.45116400003</v>
      </c>
      <c r="I92" s="4">
        <v>286143.84804200003</v>
      </c>
      <c r="J92" s="4">
        <v>482477.57199999999</v>
      </c>
      <c r="K92" s="4">
        <v>376755.96</v>
      </c>
      <c r="L92" s="4">
        <v>140869.56521739101</v>
      </c>
    </row>
    <row r="93" spans="1:12" x14ac:dyDescent="0.25">
      <c r="A93" t="s">
        <v>36</v>
      </c>
      <c r="B93" s="4">
        <v>188710.71</v>
      </c>
      <c r="C93" s="4">
        <v>151699.25</v>
      </c>
      <c r="D93" s="4">
        <v>171114.66</v>
      </c>
      <c r="E93" s="4">
        <v>135794.29999999999</v>
      </c>
      <c r="F93" s="4">
        <v>175035.16</v>
      </c>
      <c r="G93" s="4">
        <v>257442.21</v>
      </c>
      <c r="H93" s="4">
        <v>268084.899363</v>
      </c>
      <c r="I93" s="4">
        <v>261515.959822</v>
      </c>
      <c r="J93" s="4">
        <v>275202.51792000001</v>
      </c>
      <c r="K93" s="4">
        <v>269370.14</v>
      </c>
      <c r="L93" s="4">
        <v>90782.608695652205</v>
      </c>
    </row>
    <row r="94" spans="1:12" x14ac:dyDescent="0.25">
      <c r="A94" t="s">
        <v>37</v>
      </c>
      <c r="B94" s="4">
        <v>908060.79</v>
      </c>
      <c r="C94" s="4">
        <v>897407.37</v>
      </c>
      <c r="D94" s="4">
        <v>1221217.1299999999</v>
      </c>
      <c r="E94" s="4">
        <v>1357445.95</v>
      </c>
      <c r="F94" s="4">
        <v>1530725.69</v>
      </c>
      <c r="G94" s="4">
        <v>1815525.98</v>
      </c>
      <c r="H94" s="4">
        <v>1885582.331517</v>
      </c>
      <c r="I94" s="4">
        <v>1665484.128945</v>
      </c>
      <c r="J94" s="4">
        <v>2123832.8363999999</v>
      </c>
      <c r="K94" s="4">
        <v>2165150.5299999998</v>
      </c>
      <c r="L94" s="4">
        <v>720313.04347826098</v>
      </c>
    </row>
    <row r="95" spans="1:12" x14ac:dyDescent="0.25">
      <c r="A95" t="s">
        <v>38</v>
      </c>
      <c r="B95" s="4">
        <v>44802.59</v>
      </c>
      <c r="C95" s="4">
        <v>52015.57</v>
      </c>
      <c r="D95" s="4">
        <v>121765.97</v>
      </c>
      <c r="E95" s="4">
        <v>158855.75</v>
      </c>
      <c r="F95" s="4">
        <v>217284.34</v>
      </c>
      <c r="G95" s="4">
        <v>255286.67</v>
      </c>
      <c r="H95" s="4">
        <v>235215.58284300001</v>
      </c>
      <c r="I95" s="4">
        <v>273760.99793900002</v>
      </c>
      <c r="J95" s="4">
        <v>341171.29632000002</v>
      </c>
      <c r="K95" s="4">
        <v>418760.38</v>
      </c>
      <c r="L95" s="4">
        <v>125843.47826087</v>
      </c>
    </row>
    <row r="96" spans="1:12" x14ac:dyDescent="0.25">
      <c r="A96" t="s">
        <v>39</v>
      </c>
      <c r="B96" s="4">
        <v>296398.31</v>
      </c>
      <c r="C96" s="4">
        <v>400121.32</v>
      </c>
      <c r="D96" s="4">
        <v>369485.41</v>
      </c>
      <c r="E96" s="4">
        <v>332838.21999999997</v>
      </c>
      <c r="F96" s="4">
        <v>293374.02</v>
      </c>
      <c r="G96" s="4">
        <v>449262.09</v>
      </c>
      <c r="H96" s="4">
        <v>467173.66637400002</v>
      </c>
      <c r="I96" s="4">
        <v>432508.38720699999</v>
      </c>
      <c r="J96" s="4">
        <v>552632.60568000004</v>
      </c>
      <c r="K96" s="4">
        <v>706986.79</v>
      </c>
      <c r="L96" s="4">
        <v>208800</v>
      </c>
    </row>
    <row r="97" spans="1:12" x14ac:dyDescent="0.25">
      <c r="A97" t="s">
        <v>40</v>
      </c>
      <c r="B97" s="4">
        <v>2664323.35</v>
      </c>
      <c r="C97" s="4">
        <v>2437233.69</v>
      </c>
      <c r="D97" s="4">
        <v>2832600.87</v>
      </c>
      <c r="E97" s="4">
        <v>3352170.23</v>
      </c>
      <c r="F97" s="4">
        <v>3676988.51</v>
      </c>
      <c r="G97" s="4">
        <v>4893082.75</v>
      </c>
      <c r="H97" s="4">
        <v>5003903.1353789996</v>
      </c>
      <c r="I97" s="4">
        <v>4386948.5910639996</v>
      </c>
      <c r="J97" s="4">
        <v>5582941.6712800004</v>
      </c>
      <c r="K97" s="4">
        <v>5707689.3600000003</v>
      </c>
      <c r="L97" s="4">
        <v>1885147.82608696</v>
      </c>
    </row>
    <row r="98" spans="1:12" x14ac:dyDescent="0.25">
      <c r="A98" t="s">
        <v>41</v>
      </c>
      <c r="B98" s="4">
        <v>1128436.95</v>
      </c>
      <c r="C98" s="4">
        <v>1141384.03</v>
      </c>
      <c r="D98" s="4">
        <v>1626306.15</v>
      </c>
      <c r="E98" s="4">
        <v>1501974.66</v>
      </c>
      <c r="F98" s="4">
        <v>1487474.8</v>
      </c>
      <c r="G98" s="4">
        <v>1977200.6399999999</v>
      </c>
      <c r="H98" s="4">
        <v>1999666.2159</v>
      </c>
      <c r="I98" s="4">
        <v>1956144.560331</v>
      </c>
      <c r="J98" s="4">
        <v>2459242.5694400002</v>
      </c>
      <c r="K98" s="4">
        <v>2355550.63</v>
      </c>
      <c r="L98" s="4">
        <v>808591.30434782605</v>
      </c>
    </row>
    <row r="99" spans="1:12" x14ac:dyDescent="0.25">
      <c r="A99" t="s">
        <v>42</v>
      </c>
      <c r="B99" s="4">
        <v>245174.07</v>
      </c>
      <c r="C99" s="4">
        <v>237555.88</v>
      </c>
      <c r="D99" s="4">
        <v>371530.59</v>
      </c>
      <c r="E99" s="4">
        <v>453363.81</v>
      </c>
      <c r="F99" s="4">
        <v>489254.49</v>
      </c>
      <c r="G99" s="4">
        <v>591571.31999999995</v>
      </c>
      <c r="H99" s="4">
        <v>616855.22517300001</v>
      </c>
      <c r="I99" s="4">
        <v>548011.05056100001</v>
      </c>
      <c r="J99" s="4">
        <v>782211.80616000004</v>
      </c>
      <c r="K99" s="4">
        <v>757924.72</v>
      </c>
      <c r="L99" s="4">
        <v>258573.91304347801</v>
      </c>
    </row>
    <row r="100" spans="1:12" x14ac:dyDescent="0.25">
      <c r="A100" t="s">
        <v>43</v>
      </c>
      <c r="B100" s="4">
        <v>475484.82</v>
      </c>
      <c r="C100" s="4">
        <v>413543.52</v>
      </c>
      <c r="D100" s="4">
        <v>391115.32</v>
      </c>
      <c r="E100" s="4">
        <v>537385.92000000004</v>
      </c>
      <c r="F100" s="4">
        <v>493570.45</v>
      </c>
      <c r="G100" s="4">
        <v>717249.51</v>
      </c>
      <c r="H100" s="4">
        <v>671759.59361700004</v>
      </c>
      <c r="I100" s="4">
        <v>800552.42936499999</v>
      </c>
      <c r="J100" s="4">
        <v>891879.12048000004</v>
      </c>
      <c r="K100" s="4">
        <v>902680.81</v>
      </c>
      <c r="L100" s="4">
        <v>306469.56521739101</v>
      </c>
    </row>
    <row r="101" spans="1:12" x14ac:dyDescent="0.25">
      <c r="A101" t="s">
        <v>44</v>
      </c>
      <c r="B101" s="4">
        <v>907297.69</v>
      </c>
      <c r="C101" s="4">
        <v>949601.45</v>
      </c>
      <c r="D101" s="4">
        <v>1269645.6399999999</v>
      </c>
      <c r="E101" s="4">
        <v>1538069.18</v>
      </c>
      <c r="F101" s="4">
        <v>1672058.71</v>
      </c>
      <c r="G101" s="4">
        <v>2185769.08</v>
      </c>
      <c r="H101" s="4">
        <v>2288993.275965</v>
      </c>
      <c r="I101" s="4">
        <v>2053152.2100180001</v>
      </c>
      <c r="J101" s="4">
        <v>2059081.0736</v>
      </c>
      <c r="K101" s="4">
        <v>2157562.3199999998</v>
      </c>
      <c r="L101" s="4">
        <v>695895.65217391297</v>
      </c>
    </row>
    <row r="102" spans="1:12" x14ac:dyDescent="0.25">
      <c r="A102" t="s">
        <v>45</v>
      </c>
      <c r="B102" s="4">
        <v>58146.42</v>
      </c>
      <c r="C102" s="4">
        <v>63579.06</v>
      </c>
      <c r="D102" s="4">
        <v>75515.899999999994</v>
      </c>
      <c r="E102" s="4">
        <v>86866.2</v>
      </c>
      <c r="F102" s="4">
        <v>68232.95</v>
      </c>
      <c r="G102" s="4">
        <v>112843.19</v>
      </c>
      <c r="H102" s="4">
        <v>142853.70641399999</v>
      </c>
      <c r="I102" s="4">
        <v>114748.686884</v>
      </c>
      <c r="J102" s="4">
        <v>139594.08199999999</v>
      </c>
      <c r="K102" s="4">
        <v>151595.97</v>
      </c>
      <c r="L102" s="4">
        <v>49460.869565217399</v>
      </c>
    </row>
    <row r="103" spans="1:12" x14ac:dyDescent="0.25">
      <c r="A103" t="s">
        <v>46</v>
      </c>
      <c r="B103" s="4">
        <v>493037.86</v>
      </c>
      <c r="C103" s="4">
        <v>488382.3</v>
      </c>
      <c r="D103" s="4">
        <v>753917.32</v>
      </c>
      <c r="E103" s="4">
        <v>827107.79</v>
      </c>
      <c r="F103" s="4">
        <v>735603.73</v>
      </c>
      <c r="G103" s="4">
        <v>815610.63</v>
      </c>
      <c r="H103" s="4">
        <v>683890.48293299996</v>
      </c>
      <c r="I103" s="4">
        <v>784280.30474299996</v>
      </c>
      <c r="J103" s="4">
        <v>885691.34519999998</v>
      </c>
      <c r="K103" s="4">
        <v>927470.64</v>
      </c>
      <c r="L103" s="4">
        <v>310539.130434783</v>
      </c>
    </row>
    <row r="104" spans="1:12" x14ac:dyDescent="0.25">
      <c r="A104" t="s">
        <v>47</v>
      </c>
      <c r="B104" s="4">
        <v>29089.599999999999</v>
      </c>
      <c r="C104" s="4">
        <v>64409.71</v>
      </c>
      <c r="D104" s="4">
        <v>89677.98</v>
      </c>
      <c r="E104" s="4">
        <v>75969.37</v>
      </c>
      <c r="F104" s="4">
        <v>50850.52</v>
      </c>
      <c r="G104" s="4">
        <v>47590.75</v>
      </c>
      <c r="H104" s="4">
        <v>94351.312403999997</v>
      </c>
      <c r="I104" s="4">
        <v>99500.002666999993</v>
      </c>
      <c r="J104" s="4">
        <v>146118.94576</v>
      </c>
      <c r="K104" s="4">
        <v>84377.88</v>
      </c>
      <c r="L104" s="4">
        <v>38817.391304347802</v>
      </c>
    </row>
    <row r="105" spans="1:12" x14ac:dyDescent="0.25">
      <c r="A105" t="s">
        <v>48</v>
      </c>
      <c r="B105" s="4">
        <v>621144.44999999995</v>
      </c>
      <c r="C105" s="4">
        <v>647149.16</v>
      </c>
      <c r="D105" s="4">
        <v>655027.82999999996</v>
      </c>
      <c r="E105" s="4">
        <v>711980.1</v>
      </c>
      <c r="F105" s="4">
        <v>753618.66</v>
      </c>
      <c r="G105" s="4">
        <v>876887.85</v>
      </c>
      <c r="H105" s="4">
        <v>898126.70383500005</v>
      </c>
      <c r="I105" s="4">
        <v>906897.07725500001</v>
      </c>
      <c r="J105" s="4">
        <v>1199167.3044799999</v>
      </c>
      <c r="K105" s="4">
        <v>1369270.87</v>
      </c>
      <c r="L105" s="4">
        <v>432000</v>
      </c>
    </row>
    <row r="106" spans="1:12" x14ac:dyDescent="0.25">
      <c r="A106" t="s">
        <v>49</v>
      </c>
      <c r="B106" s="4">
        <v>3326571.65</v>
      </c>
      <c r="C106" s="4">
        <v>3080490.55</v>
      </c>
      <c r="D106" s="4">
        <v>3883062.98</v>
      </c>
      <c r="E106" s="4">
        <v>3969411.6</v>
      </c>
      <c r="F106" s="4">
        <v>4200574.3</v>
      </c>
      <c r="G106" s="4">
        <v>5476085.4199999999</v>
      </c>
      <c r="H106" s="4">
        <v>5790724.6480350001</v>
      </c>
      <c r="I106" s="4">
        <v>5240303.2497530002</v>
      </c>
      <c r="J106" s="4">
        <v>6413687.0151199996</v>
      </c>
      <c r="K106" s="4">
        <v>5681823.9800000004</v>
      </c>
      <c r="L106" s="4">
        <v>2038539.1304347799</v>
      </c>
    </row>
    <row r="107" spans="1:12" x14ac:dyDescent="0.25">
      <c r="A107" t="s">
        <v>50</v>
      </c>
      <c r="B107" s="4">
        <v>416464.37</v>
      </c>
      <c r="C107" s="4">
        <v>361115.17</v>
      </c>
      <c r="D107" s="4">
        <v>428878.67</v>
      </c>
      <c r="E107" s="4">
        <v>504331.04</v>
      </c>
      <c r="F107" s="4">
        <v>591288.77</v>
      </c>
      <c r="G107" s="4">
        <v>788775.37</v>
      </c>
      <c r="H107" s="4">
        <v>803695.08318900003</v>
      </c>
      <c r="I107" s="4">
        <v>840960.16179499996</v>
      </c>
      <c r="J107" s="4">
        <v>911846.91391999996</v>
      </c>
      <c r="K107" s="4">
        <v>819787.81</v>
      </c>
      <c r="L107" s="4">
        <v>291756.52173913002</v>
      </c>
    </row>
    <row r="108" spans="1:12" x14ac:dyDescent="0.25">
      <c r="A108" t="s">
        <v>51</v>
      </c>
      <c r="B108" s="4">
        <v>827282.28</v>
      </c>
      <c r="C108" s="4">
        <v>710325.88</v>
      </c>
      <c r="D108" s="4">
        <v>918802.78</v>
      </c>
      <c r="E108" s="4">
        <v>954876.48</v>
      </c>
      <c r="F108" s="4">
        <v>1184179.18</v>
      </c>
      <c r="G108" s="4">
        <v>1461900.92</v>
      </c>
      <c r="H108" s="4">
        <v>1384776.360258</v>
      </c>
      <c r="I108" s="4">
        <v>1318953.3778979999</v>
      </c>
      <c r="J108" s="4">
        <v>1840598.1272799999</v>
      </c>
      <c r="K108" s="4">
        <v>1706867.29</v>
      </c>
      <c r="L108" s="4">
        <v>606052.17391304299</v>
      </c>
    </row>
    <row r="109" spans="1:12" x14ac:dyDescent="0.25">
      <c r="A109" t="s">
        <v>52</v>
      </c>
      <c r="B109" s="4">
        <v>49990.73</v>
      </c>
      <c r="C109" s="4">
        <v>36801.050000000003</v>
      </c>
      <c r="D109" s="4">
        <v>43628.92</v>
      </c>
      <c r="E109" s="4">
        <v>48597.98</v>
      </c>
      <c r="F109" s="4">
        <v>77525.710000000006</v>
      </c>
      <c r="G109" s="4">
        <v>57246.95</v>
      </c>
      <c r="H109" s="4">
        <v>41137.381397999998</v>
      </c>
      <c r="I109" s="4">
        <v>37216.371010000003</v>
      </c>
      <c r="J109" s="4">
        <v>79534.979359999998</v>
      </c>
      <c r="K109" s="4">
        <v>82441.289999999994</v>
      </c>
      <c r="L109" s="4">
        <v>27234.782608695699</v>
      </c>
    </row>
    <row r="110" spans="1:12" x14ac:dyDescent="0.25">
      <c r="A110" t="s">
        <v>53</v>
      </c>
      <c r="B110" s="4">
        <v>1121337.43</v>
      </c>
      <c r="C110" s="4">
        <v>1044406.43</v>
      </c>
      <c r="D110" s="4">
        <v>1340465.17</v>
      </c>
      <c r="E110" s="4">
        <v>1490430.07</v>
      </c>
      <c r="F110" s="4">
        <v>1450586.83</v>
      </c>
      <c r="G110" s="4">
        <v>1912980.35</v>
      </c>
      <c r="H110" s="4">
        <v>2096283.1377359999</v>
      </c>
      <c r="I110" s="4">
        <v>1902658.4362629999</v>
      </c>
      <c r="J110" s="4">
        <v>2452057.8949600002</v>
      </c>
      <c r="K110" s="4">
        <v>2224324.87</v>
      </c>
      <c r="L110" s="4">
        <v>776347.82608695596</v>
      </c>
    </row>
    <row r="111" spans="1:12" x14ac:dyDescent="0.25">
      <c r="A111" t="s">
        <v>54</v>
      </c>
      <c r="B111" s="4">
        <v>469635.83</v>
      </c>
      <c r="C111" s="4">
        <v>480260.58</v>
      </c>
      <c r="D111" s="4">
        <v>624424.85</v>
      </c>
      <c r="E111" s="4">
        <v>695958.45</v>
      </c>
      <c r="F111" s="4">
        <v>695615.6</v>
      </c>
      <c r="G111" s="4">
        <v>839012.05</v>
      </c>
      <c r="H111" s="4">
        <v>823247.61734400003</v>
      </c>
      <c r="I111" s="4">
        <v>763500.47004399996</v>
      </c>
      <c r="J111" s="4">
        <v>954483.24216000002</v>
      </c>
      <c r="K111" s="4">
        <v>651017.66</v>
      </c>
      <c r="L111" s="4">
        <v>267965.21739130397</v>
      </c>
    </row>
    <row r="112" spans="1:12" x14ac:dyDescent="0.25">
      <c r="A112" t="s">
        <v>55</v>
      </c>
      <c r="B112" s="4">
        <v>101356.36</v>
      </c>
      <c r="C112" s="4">
        <v>97066.63</v>
      </c>
      <c r="D112" s="4">
        <v>171974.39</v>
      </c>
      <c r="E112" s="4">
        <v>223501.15</v>
      </c>
      <c r="F112" s="4">
        <v>183810.33</v>
      </c>
      <c r="G112" s="4">
        <v>252964.88</v>
      </c>
      <c r="H112" s="4">
        <v>222899.77033500001</v>
      </c>
      <c r="I112" s="4">
        <v>167251.67708600001</v>
      </c>
      <c r="J112" s="4">
        <v>234736.71111999999</v>
      </c>
      <c r="K112" s="4">
        <v>272745.09000000003</v>
      </c>
      <c r="L112" s="4">
        <v>84521.739130434798</v>
      </c>
    </row>
    <row r="113" spans="1:12" x14ac:dyDescent="0.25">
      <c r="A113" t="s">
        <v>56</v>
      </c>
      <c r="B113" s="4">
        <v>86856.04</v>
      </c>
      <c r="C113" s="4">
        <v>103598.98</v>
      </c>
      <c r="D113" s="4">
        <v>129698.8</v>
      </c>
      <c r="E113" s="4">
        <v>137387.41</v>
      </c>
      <c r="F113" s="4">
        <v>118936.56</v>
      </c>
      <c r="G113" s="4">
        <v>150452.07999999999</v>
      </c>
      <c r="H113" s="4">
        <v>164758.865613</v>
      </c>
      <c r="I113" s="4">
        <v>153139.53476899999</v>
      </c>
      <c r="J113" s="4">
        <v>59764.035920000002</v>
      </c>
      <c r="K113" s="4">
        <v>34604.85</v>
      </c>
      <c r="L113" s="4">
        <v>15339.130434782601</v>
      </c>
    </row>
    <row r="114" spans="1:12" x14ac:dyDescent="0.25">
      <c r="A114" t="s">
        <v>57</v>
      </c>
      <c r="B114" s="4">
        <f>SUM(B64:B113)</f>
        <v>32646704.93</v>
      </c>
      <c r="C114" s="4">
        <f t="shared" ref="C114:L114" si="3">SUM(C64:C113)</f>
        <v>69605677.320000008</v>
      </c>
      <c r="D114" s="4">
        <f t="shared" si="3"/>
        <v>39880999.389999993</v>
      </c>
      <c r="E114" s="4">
        <f t="shared" si="3"/>
        <v>43025171.199999996</v>
      </c>
      <c r="F114" s="4">
        <f t="shared" si="3"/>
        <v>45283999.459999993</v>
      </c>
      <c r="G114" s="4">
        <f t="shared" si="3"/>
        <v>57797907.360000007</v>
      </c>
      <c r="H114" s="4">
        <f t="shared" si="3"/>
        <v>59142392.107655987</v>
      </c>
      <c r="I114" s="4">
        <f t="shared" si="3"/>
        <v>56083644.345001027</v>
      </c>
      <c r="J114" s="4">
        <f t="shared" si="3"/>
        <v>68941954.53136</v>
      </c>
      <c r="K114" s="4">
        <f t="shared" si="3"/>
        <v>68018588.980000004</v>
      </c>
      <c r="L114" s="4">
        <f t="shared" si="3"/>
        <v>22927617.39130434</v>
      </c>
    </row>
    <row r="115" spans="1:12" x14ac:dyDescent="0.25">
      <c r="A115" t="s">
        <v>58</v>
      </c>
    </row>
    <row r="117" spans="1:12" x14ac:dyDescent="0.25">
      <c r="A117" t="s">
        <v>60</v>
      </c>
    </row>
    <row r="118" spans="1:12" x14ac:dyDescent="0.25">
      <c r="A118" t="s">
        <v>6</v>
      </c>
      <c r="B118">
        <v>2020</v>
      </c>
      <c r="C118">
        <v>2021</v>
      </c>
      <c r="D118">
        <v>2022</v>
      </c>
      <c r="E118">
        <f t="shared" ref="E118:F118" si="4">D118+1</f>
        <v>2023</v>
      </c>
      <c r="F118">
        <f t="shared" si="4"/>
        <v>2024</v>
      </c>
      <c r="G118" t="str">
        <f>L63</f>
        <v>Proj. 4/1/25- 3/31/26</v>
      </c>
    </row>
    <row r="119" spans="1:12" x14ac:dyDescent="0.25">
      <c r="A119" t="s">
        <v>7</v>
      </c>
      <c r="B119" s="4">
        <v>66358.58</v>
      </c>
      <c r="C119" s="4">
        <v>105374.07</v>
      </c>
      <c r="D119" s="4">
        <v>111545.60000000001</v>
      </c>
      <c r="E119" s="4">
        <v>115327.21536</v>
      </c>
      <c r="F119" s="4">
        <v>100247.11</v>
      </c>
      <c r="G119" s="4">
        <v>74504.347826086901</v>
      </c>
      <c r="H119" s="4"/>
      <c r="I119" s="4"/>
      <c r="J119" s="4"/>
      <c r="K119" s="4"/>
      <c r="L119" s="4"/>
    </row>
    <row r="120" spans="1:12" x14ac:dyDescent="0.25">
      <c r="A120" t="s">
        <v>8</v>
      </c>
      <c r="B120" s="4">
        <v>165455.06</v>
      </c>
      <c r="C120" s="4">
        <v>404674.39</v>
      </c>
      <c r="D120" s="4">
        <v>577913.92000000004</v>
      </c>
      <c r="E120" s="4">
        <v>630957.97296000004</v>
      </c>
      <c r="F120" s="4">
        <v>522327.23</v>
      </c>
      <c r="G120" s="4">
        <v>399443.47826086998</v>
      </c>
      <c r="H120" s="4"/>
      <c r="I120" s="4"/>
      <c r="J120" s="4"/>
      <c r="K120" s="4"/>
      <c r="L120" s="4"/>
    </row>
    <row r="121" spans="1:12" x14ac:dyDescent="0.25">
      <c r="A121" t="s">
        <v>9</v>
      </c>
      <c r="B121" s="4">
        <v>84657.89</v>
      </c>
      <c r="C121" s="4">
        <v>261671.79</v>
      </c>
      <c r="D121" s="4">
        <v>336994.97</v>
      </c>
      <c r="E121" s="4">
        <v>376612.31663999998</v>
      </c>
      <c r="F121" s="4">
        <v>362304.83</v>
      </c>
      <c r="G121" s="4">
        <v>251686.95652173899</v>
      </c>
      <c r="H121" s="4"/>
      <c r="I121" s="4"/>
      <c r="J121" s="4"/>
      <c r="K121" s="4"/>
      <c r="L121" s="4"/>
    </row>
    <row r="122" spans="1:12" x14ac:dyDescent="0.25">
      <c r="A122" t="s">
        <v>10</v>
      </c>
      <c r="B122" s="4">
        <v>521637.59</v>
      </c>
      <c r="C122" s="4">
        <v>830925.44</v>
      </c>
      <c r="D122" s="4">
        <v>961233.41</v>
      </c>
      <c r="E122" s="4">
        <v>1036794.39696</v>
      </c>
      <c r="F122" s="4">
        <v>932195.3</v>
      </c>
      <c r="G122" s="4">
        <v>670539.13043478201</v>
      </c>
      <c r="H122" s="4"/>
      <c r="I122" s="4"/>
      <c r="J122" s="4"/>
      <c r="K122" s="4"/>
      <c r="L122" s="4"/>
    </row>
    <row r="123" spans="1:12" x14ac:dyDescent="0.25">
      <c r="A123" t="s">
        <v>11</v>
      </c>
      <c r="B123" s="4">
        <v>2440056.16</v>
      </c>
      <c r="C123" s="4">
        <v>4821245.24</v>
      </c>
      <c r="D123" s="4">
        <v>6152899.71</v>
      </c>
      <c r="E123" s="4">
        <v>7081349.2747200001</v>
      </c>
      <c r="F123" s="4">
        <v>7005874.3099999996</v>
      </c>
      <c r="G123" s="4">
        <v>4785182.6086956495</v>
      </c>
      <c r="H123" s="4"/>
      <c r="I123" s="4"/>
      <c r="J123" s="4"/>
      <c r="K123" s="4"/>
      <c r="L123" s="4"/>
    </row>
    <row r="124" spans="1:12" x14ac:dyDescent="0.25">
      <c r="A124" t="s">
        <v>12</v>
      </c>
      <c r="B124" s="4">
        <v>358855.4</v>
      </c>
      <c r="C124" s="4">
        <v>746829.36</v>
      </c>
      <c r="D124" s="4">
        <v>877368.09</v>
      </c>
      <c r="E124" s="4">
        <v>915474.03696000006</v>
      </c>
      <c r="F124" s="4">
        <v>972885.19</v>
      </c>
      <c r="G124" s="4">
        <v>636104.34782608703</v>
      </c>
      <c r="H124" s="4"/>
      <c r="I124" s="4"/>
      <c r="J124" s="4"/>
      <c r="K124" s="4"/>
      <c r="L124" s="4"/>
    </row>
    <row r="125" spans="1:12" x14ac:dyDescent="0.25">
      <c r="A125" t="s">
        <v>13</v>
      </c>
      <c r="B125" s="4">
        <v>235305.79</v>
      </c>
      <c r="C125" s="4">
        <v>608816.35</v>
      </c>
      <c r="D125" s="4">
        <v>712036.26</v>
      </c>
      <c r="E125" s="4">
        <v>883958.43311999994</v>
      </c>
      <c r="F125" s="4">
        <v>869638.33</v>
      </c>
      <c r="G125" s="4">
        <v>595408.69565217395</v>
      </c>
      <c r="H125" s="4"/>
      <c r="I125" s="4"/>
      <c r="J125" s="4"/>
      <c r="K125" s="4"/>
      <c r="L125" s="4"/>
    </row>
    <row r="126" spans="1:12" x14ac:dyDescent="0.25">
      <c r="A126" t="s">
        <v>14</v>
      </c>
      <c r="B126" s="4">
        <v>14009.93</v>
      </c>
      <c r="C126" s="4">
        <v>24211.19</v>
      </c>
      <c r="D126" s="4">
        <v>36543.18</v>
      </c>
      <c r="E126" s="4">
        <v>52666.477919999998</v>
      </c>
      <c r="F126" s="4">
        <v>37287.339999999997</v>
      </c>
      <c r="G126" s="4">
        <v>29426.0869565217</v>
      </c>
      <c r="H126" s="4"/>
      <c r="I126" s="4"/>
      <c r="J126" s="4"/>
      <c r="K126" s="4"/>
      <c r="L126" s="4"/>
    </row>
    <row r="127" spans="1:12" x14ac:dyDescent="0.25">
      <c r="A127" t="s">
        <v>15</v>
      </c>
      <c r="B127" s="4">
        <v>37500.78</v>
      </c>
      <c r="C127" s="4">
        <v>96299.42</v>
      </c>
      <c r="D127" s="4">
        <v>63678.06</v>
      </c>
      <c r="E127" s="4">
        <v>86849.915040000007</v>
      </c>
      <c r="F127" s="4">
        <v>112369.53</v>
      </c>
      <c r="G127" s="4">
        <v>69495.652173912997</v>
      </c>
      <c r="H127" s="4"/>
      <c r="I127" s="4"/>
      <c r="J127" s="4"/>
      <c r="K127" s="4"/>
      <c r="L127" s="4"/>
    </row>
    <row r="128" spans="1:12" x14ac:dyDescent="0.25">
      <c r="A128" t="s">
        <v>16</v>
      </c>
      <c r="B128" s="4">
        <v>1086603.97</v>
      </c>
      <c r="C128" s="4">
        <v>1792422.35</v>
      </c>
      <c r="D128" s="4">
        <v>2243886.36</v>
      </c>
      <c r="E128" s="4">
        <v>2440566.5759999999</v>
      </c>
      <c r="F128" s="4">
        <v>2481492.98</v>
      </c>
      <c r="G128" s="4">
        <v>1636591.3043478299</v>
      </c>
      <c r="H128" s="4"/>
      <c r="I128" s="4"/>
      <c r="J128" s="4"/>
      <c r="K128" s="4"/>
      <c r="L128" s="4"/>
    </row>
    <row r="129" spans="1:12" x14ac:dyDescent="0.25">
      <c r="A129" t="s">
        <v>17</v>
      </c>
      <c r="B129" s="4">
        <v>719724.81</v>
      </c>
      <c r="C129" s="4">
        <v>1410445.99</v>
      </c>
      <c r="D129" s="4">
        <v>2008608.98</v>
      </c>
      <c r="E129" s="4">
        <v>2142478.548</v>
      </c>
      <c r="F129" s="4">
        <v>1983553.72</v>
      </c>
      <c r="G129" s="4">
        <v>1429356.5217391299</v>
      </c>
      <c r="H129" s="4"/>
      <c r="I129" s="4"/>
      <c r="J129" s="4"/>
      <c r="K129" s="4"/>
      <c r="L129" s="4"/>
    </row>
    <row r="130" spans="1:12" x14ac:dyDescent="0.25">
      <c r="A130" t="s">
        <v>18</v>
      </c>
      <c r="B130" s="4">
        <v>181902.2</v>
      </c>
      <c r="C130" s="4">
        <v>396230.45</v>
      </c>
      <c r="D130" s="4">
        <v>447772.54</v>
      </c>
      <c r="E130" s="4">
        <v>433232.51328000001</v>
      </c>
      <c r="F130" s="4">
        <v>412395.8</v>
      </c>
      <c r="G130" s="4">
        <v>293634.78260869603</v>
      </c>
      <c r="H130" s="4"/>
      <c r="I130" s="4"/>
      <c r="J130" s="4"/>
      <c r="K130" s="4"/>
      <c r="L130" s="4"/>
    </row>
    <row r="131" spans="1:12" x14ac:dyDescent="0.25">
      <c r="A131" t="s">
        <v>19</v>
      </c>
      <c r="B131" s="4">
        <v>79434.8</v>
      </c>
      <c r="C131" s="4">
        <v>157984.39000000001</v>
      </c>
      <c r="D131" s="4">
        <v>320489.75</v>
      </c>
      <c r="E131" s="4">
        <v>310795.93440000003</v>
      </c>
      <c r="F131" s="4">
        <v>365165.13</v>
      </c>
      <c r="G131" s="4">
        <v>228521.73913043499</v>
      </c>
      <c r="H131" s="4"/>
      <c r="I131" s="4"/>
      <c r="J131" s="4"/>
      <c r="K131" s="4"/>
      <c r="L131" s="4"/>
    </row>
    <row r="132" spans="1:12" x14ac:dyDescent="0.25">
      <c r="A132" t="s">
        <v>20</v>
      </c>
      <c r="B132" s="4">
        <v>568840.16</v>
      </c>
      <c r="C132" s="4">
        <v>1371632.3</v>
      </c>
      <c r="D132" s="4">
        <v>1857200.76</v>
      </c>
      <c r="E132" s="4">
        <v>2104285.8311999999</v>
      </c>
      <c r="F132" s="4">
        <v>2333164.0099999998</v>
      </c>
      <c r="G132" s="4">
        <v>1476313.04347826</v>
      </c>
      <c r="H132" s="4"/>
      <c r="I132" s="4"/>
      <c r="J132" s="4"/>
      <c r="K132" s="4"/>
      <c r="L132" s="4"/>
    </row>
    <row r="133" spans="1:12" x14ac:dyDescent="0.25">
      <c r="A133" t="s">
        <v>21</v>
      </c>
      <c r="B133" s="4">
        <v>335437.71999999997</v>
      </c>
      <c r="C133" s="4">
        <v>825055.61</v>
      </c>
      <c r="D133" s="4">
        <v>1039288.57</v>
      </c>
      <c r="E133" s="4">
        <v>1112673.67344</v>
      </c>
      <c r="F133" s="4">
        <v>1016791.83</v>
      </c>
      <c r="G133" s="4">
        <v>735652.17391304299</v>
      </c>
      <c r="H133" s="4"/>
      <c r="I133" s="4"/>
      <c r="J133" s="4"/>
      <c r="K133" s="4"/>
      <c r="L133" s="4"/>
    </row>
    <row r="134" spans="1:12" x14ac:dyDescent="0.25">
      <c r="A134" t="s">
        <v>22</v>
      </c>
      <c r="B134" s="4">
        <v>65705.850000000006</v>
      </c>
      <c r="C134" s="4">
        <v>135479.92000000001</v>
      </c>
      <c r="D134" s="4">
        <v>317129.37</v>
      </c>
      <c r="E134" s="4">
        <v>401769.9</v>
      </c>
      <c r="F134" s="4">
        <v>357499.95</v>
      </c>
      <c r="G134" s="4">
        <v>254817.39130434801</v>
      </c>
      <c r="H134" s="4"/>
      <c r="I134" s="4"/>
      <c r="J134" s="4"/>
      <c r="K134" s="4"/>
      <c r="L134" s="4"/>
    </row>
    <row r="135" spans="1:12" x14ac:dyDescent="0.25">
      <c r="A135" t="s">
        <v>23</v>
      </c>
      <c r="B135" s="4">
        <v>185066.64</v>
      </c>
      <c r="C135" s="4">
        <v>254376.07</v>
      </c>
      <c r="D135" s="4">
        <v>305925.48</v>
      </c>
      <c r="E135" s="4">
        <v>425857.18896</v>
      </c>
      <c r="F135" s="4">
        <v>360992.49</v>
      </c>
      <c r="G135" s="4">
        <v>261704.347826087</v>
      </c>
      <c r="H135" s="4"/>
      <c r="I135" s="4"/>
      <c r="J135" s="4"/>
      <c r="K135" s="4"/>
      <c r="L135" s="4"/>
    </row>
    <row r="136" spans="1:12" x14ac:dyDescent="0.25">
      <c r="A136" t="s">
        <v>24</v>
      </c>
      <c r="B136" s="4">
        <v>207074.07</v>
      </c>
      <c r="C136" s="4">
        <v>387689.63</v>
      </c>
      <c r="D136" s="4">
        <v>529998.99</v>
      </c>
      <c r="E136" s="4">
        <v>636330.18960000004</v>
      </c>
      <c r="F136" s="4">
        <v>780817.52</v>
      </c>
      <c r="G136" s="4">
        <v>471443.47826086998</v>
      </c>
      <c r="H136" s="4"/>
      <c r="I136" s="4"/>
      <c r="J136" s="4"/>
      <c r="K136" s="4"/>
      <c r="L136" s="4"/>
    </row>
    <row r="137" spans="1:12" x14ac:dyDescent="0.25">
      <c r="A137" t="s">
        <v>25</v>
      </c>
      <c r="B137" s="4">
        <v>776995.7</v>
      </c>
      <c r="C137" s="4">
        <v>1154361.75</v>
      </c>
      <c r="D137" s="4">
        <v>1455292.32</v>
      </c>
      <c r="E137" s="4">
        <v>1517934.84192</v>
      </c>
      <c r="F137" s="4">
        <v>1364687.13</v>
      </c>
      <c r="G137" s="4">
        <v>974191.30434782605</v>
      </c>
      <c r="H137" s="4"/>
      <c r="I137" s="4"/>
      <c r="J137" s="4"/>
      <c r="K137" s="4"/>
      <c r="L137" s="4"/>
    </row>
    <row r="138" spans="1:12" x14ac:dyDescent="0.25">
      <c r="A138" t="s">
        <v>26</v>
      </c>
      <c r="B138" s="4">
        <v>471644.02</v>
      </c>
      <c r="C138" s="4">
        <v>1051485.56</v>
      </c>
      <c r="D138" s="4">
        <v>1233922.32</v>
      </c>
      <c r="E138" s="4">
        <v>1269613.33632</v>
      </c>
      <c r="F138" s="4">
        <v>1154378.8700000001</v>
      </c>
      <c r="G138" s="4">
        <v>818921.73913043505</v>
      </c>
      <c r="H138" s="4"/>
      <c r="I138" s="4"/>
      <c r="J138" s="4"/>
      <c r="K138" s="4"/>
      <c r="L138" s="4"/>
    </row>
    <row r="139" spans="1:12" x14ac:dyDescent="0.25">
      <c r="A139" t="s">
        <v>27</v>
      </c>
      <c r="B139" s="4">
        <v>50849.63</v>
      </c>
      <c r="C139" s="4">
        <v>114567.8</v>
      </c>
      <c r="D139" s="4">
        <v>130366.71</v>
      </c>
      <c r="E139" s="4">
        <v>167837.27184</v>
      </c>
      <c r="F139" s="4">
        <v>155770.95000000001</v>
      </c>
      <c r="G139" s="4">
        <v>108939.130434783</v>
      </c>
      <c r="H139" s="4"/>
      <c r="I139" s="4"/>
      <c r="J139" s="4"/>
      <c r="K139" s="4"/>
      <c r="L139" s="4"/>
    </row>
    <row r="140" spans="1:12" x14ac:dyDescent="0.25">
      <c r="A140" t="s">
        <v>28</v>
      </c>
      <c r="B140" s="4">
        <v>344549.79</v>
      </c>
      <c r="C140" s="4">
        <v>816805.85</v>
      </c>
      <c r="D140" s="4">
        <v>940482.45</v>
      </c>
      <c r="E140" s="4">
        <v>1145133.2087999999</v>
      </c>
      <c r="F140" s="4">
        <v>1174447.5900000001</v>
      </c>
      <c r="G140" s="4">
        <v>771965.21739130397</v>
      </c>
      <c r="H140" s="4"/>
      <c r="I140" s="4"/>
      <c r="J140" s="4"/>
      <c r="K140" s="4"/>
      <c r="L140" s="4"/>
    </row>
    <row r="141" spans="1:12" x14ac:dyDescent="0.25">
      <c r="A141" t="s">
        <v>29</v>
      </c>
      <c r="B141" s="4">
        <v>315181.15000000002</v>
      </c>
      <c r="C141" s="4">
        <v>616486.77</v>
      </c>
      <c r="D141" s="4">
        <v>775139.16</v>
      </c>
      <c r="E141" s="4">
        <v>842709.15792000003</v>
      </c>
      <c r="F141" s="4">
        <v>917786.02</v>
      </c>
      <c r="G141" s="4">
        <v>578504.34782608703</v>
      </c>
      <c r="H141" s="4"/>
      <c r="I141" s="4"/>
      <c r="J141" s="4"/>
      <c r="K141" s="4"/>
      <c r="L141" s="4"/>
    </row>
    <row r="142" spans="1:12" x14ac:dyDescent="0.25">
      <c r="A142" t="s">
        <v>30</v>
      </c>
      <c r="B142" s="4">
        <v>244561.19</v>
      </c>
      <c r="C142" s="4">
        <v>641710.69999999995</v>
      </c>
      <c r="D142" s="4">
        <v>881535.53</v>
      </c>
      <c r="E142" s="4">
        <v>974855.196</v>
      </c>
      <c r="F142" s="4">
        <v>586158.84</v>
      </c>
      <c r="G142" s="4">
        <v>510886.95652173902</v>
      </c>
      <c r="H142" s="4"/>
      <c r="I142" s="4"/>
      <c r="J142" s="4"/>
      <c r="K142" s="4"/>
      <c r="L142" s="4"/>
    </row>
    <row r="143" spans="1:12" x14ac:dyDescent="0.25">
      <c r="A143" t="s">
        <v>31</v>
      </c>
      <c r="B143" s="4">
        <v>102796.94</v>
      </c>
      <c r="C143" s="4">
        <v>204725.64</v>
      </c>
      <c r="D143" s="4">
        <v>237500.46</v>
      </c>
      <c r="E143" s="4">
        <v>270383.16816</v>
      </c>
      <c r="F143" s="4">
        <v>268378.62</v>
      </c>
      <c r="G143" s="4">
        <v>182191.30434782599</v>
      </c>
      <c r="H143" s="4"/>
      <c r="I143" s="4"/>
      <c r="J143" s="4"/>
      <c r="K143" s="4"/>
      <c r="L143" s="4"/>
    </row>
    <row r="144" spans="1:12" x14ac:dyDescent="0.25">
      <c r="A144" t="s">
        <v>32</v>
      </c>
      <c r="B144" s="4">
        <v>20778.63</v>
      </c>
      <c r="C144" s="4">
        <v>63353.09</v>
      </c>
      <c r="D144" s="4">
        <v>125655.79</v>
      </c>
      <c r="E144" s="4">
        <v>158606.14895999999</v>
      </c>
      <c r="F144" s="4">
        <v>186261.7</v>
      </c>
      <c r="G144" s="4">
        <v>114573.91304347799</v>
      </c>
      <c r="H144" s="4"/>
      <c r="I144" s="4"/>
      <c r="J144" s="4"/>
      <c r="K144" s="4"/>
      <c r="L144" s="4"/>
    </row>
    <row r="145" spans="1:12" x14ac:dyDescent="0.25">
      <c r="A145" t="s">
        <v>33</v>
      </c>
      <c r="B145" s="4">
        <v>423385.43</v>
      </c>
      <c r="C145" s="4">
        <v>925896.75</v>
      </c>
      <c r="D145" s="4">
        <v>1173282.1299999999</v>
      </c>
      <c r="E145" s="4">
        <v>1281725.00064</v>
      </c>
      <c r="F145" s="4">
        <v>1462892.6</v>
      </c>
      <c r="G145" s="4">
        <v>941008.69565217395</v>
      </c>
      <c r="H145" s="4"/>
      <c r="I145" s="4"/>
      <c r="J145" s="4"/>
      <c r="K145" s="4"/>
      <c r="L145" s="4"/>
    </row>
    <row r="146" spans="1:12" x14ac:dyDescent="0.25">
      <c r="A146" t="s">
        <v>34</v>
      </c>
      <c r="B146" s="4">
        <v>5947.56</v>
      </c>
      <c r="C146" s="4">
        <v>98373.02</v>
      </c>
      <c r="D146" s="4">
        <v>118327.12</v>
      </c>
      <c r="E146" s="4">
        <v>98732.239199999996</v>
      </c>
      <c r="F146" s="4">
        <v>97969.19</v>
      </c>
      <c r="G146" s="4">
        <v>65113.043478260901</v>
      </c>
      <c r="H146" s="4"/>
      <c r="I146" s="4"/>
      <c r="J146" s="4"/>
      <c r="K146" s="4"/>
      <c r="L146" s="4"/>
    </row>
    <row r="147" spans="1:12" x14ac:dyDescent="0.25">
      <c r="A147" t="s">
        <v>35</v>
      </c>
      <c r="B147" s="4">
        <v>56395.15</v>
      </c>
      <c r="C147" s="4">
        <v>149627.67000000001</v>
      </c>
      <c r="D147" s="4">
        <v>167993.93</v>
      </c>
      <c r="E147" s="4">
        <v>212543.33184</v>
      </c>
      <c r="F147" s="4">
        <v>268176.65999999997</v>
      </c>
      <c r="G147" s="4">
        <v>160278.26086956501</v>
      </c>
      <c r="H147" s="4"/>
      <c r="I147" s="4"/>
      <c r="J147" s="4"/>
      <c r="K147" s="4"/>
      <c r="L147" s="4"/>
    </row>
    <row r="148" spans="1:12" x14ac:dyDescent="0.25">
      <c r="A148" t="s">
        <v>36</v>
      </c>
      <c r="B148" s="4">
        <v>41971.64</v>
      </c>
      <c r="C148" s="4">
        <v>55047.98</v>
      </c>
      <c r="D148" s="4">
        <v>198324.85</v>
      </c>
      <c r="E148" s="4">
        <v>294848.78976000001</v>
      </c>
      <c r="F148" s="4">
        <v>289896.45</v>
      </c>
      <c r="G148" s="4">
        <v>202852.17391304299</v>
      </c>
      <c r="H148" s="4"/>
      <c r="I148" s="4"/>
      <c r="J148" s="4"/>
      <c r="K148" s="4"/>
      <c r="L148" s="4"/>
    </row>
    <row r="149" spans="1:12" x14ac:dyDescent="0.25">
      <c r="A149" t="s">
        <v>37</v>
      </c>
      <c r="B149" s="4">
        <v>486052.55</v>
      </c>
      <c r="C149" s="4">
        <v>930615.15</v>
      </c>
      <c r="D149" s="4">
        <v>1174885.03</v>
      </c>
      <c r="E149" s="4">
        <v>1302188.5195200001</v>
      </c>
      <c r="F149" s="4">
        <v>1405417.47</v>
      </c>
      <c r="G149" s="4">
        <v>927234.78260869603</v>
      </c>
      <c r="H149" s="4"/>
      <c r="I149" s="4"/>
      <c r="J149" s="4"/>
      <c r="K149" s="4"/>
      <c r="L149" s="4"/>
    </row>
    <row r="150" spans="1:12" x14ac:dyDescent="0.25">
      <c r="A150" t="s">
        <v>38</v>
      </c>
      <c r="B150" s="4">
        <v>95178.04</v>
      </c>
      <c r="C150" s="4">
        <v>118101.74</v>
      </c>
      <c r="D150" s="4">
        <v>117376.57</v>
      </c>
      <c r="E150" s="4">
        <v>98432.89344</v>
      </c>
      <c r="F150" s="4">
        <v>140542.56</v>
      </c>
      <c r="G150" s="4">
        <v>80765.217391304395</v>
      </c>
      <c r="H150" s="4"/>
      <c r="I150" s="4"/>
      <c r="J150" s="4"/>
      <c r="K150" s="4"/>
      <c r="L150" s="4"/>
    </row>
    <row r="151" spans="1:12" x14ac:dyDescent="0.25">
      <c r="A151" t="s">
        <v>39</v>
      </c>
      <c r="B151" s="4">
        <v>138904.64000000001</v>
      </c>
      <c r="C151" s="4">
        <v>344011.04</v>
      </c>
      <c r="D151" s="4">
        <v>514443.34</v>
      </c>
      <c r="E151" s="4">
        <v>629740.50048000005</v>
      </c>
      <c r="F151" s="4">
        <v>505446.57</v>
      </c>
      <c r="G151" s="4">
        <v>381286.95652173902</v>
      </c>
      <c r="H151" s="4"/>
      <c r="I151" s="4"/>
      <c r="J151" s="4"/>
      <c r="K151" s="4"/>
      <c r="L151" s="4"/>
    </row>
    <row r="152" spans="1:12" x14ac:dyDescent="0.25">
      <c r="A152" t="s">
        <v>40</v>
      </c>
      <c r="B152" s="4">
        <v>1335303.3600000001</v>
      </c>
      <c r="C152" s="4">
        <v>3073809.32</v>
      </c>
      <c r="D152" s="4">
        <v>3703074.98</v>
      </c>
      <c r="E152" s="4">
        <v>3941626.9435200002</v>
      </c>
      <c r="F152" s="4">
        <v>4304042.63</v>
      </c>
      <c r="G152" s="4">
        <v>2739756.5217391299</v>
      </c>
      <c r="H152" s="4"/>
      <c r="I152" s="4"/>
      <c r="J152" s="4"/>
      <c r="K152" s="4"/>
      <c r="L152" s="4"/>
    </row>
    <row r="153" spans="1:12" x14ac:dyDescent="0.25">
      <c r="A153" t="s">
        <v>41</v>
      </c>
      <c r="B153" s="4">
        <v>709084.87</v>
      </c>
      <c r="C153" s="4">
        <v>1285113.8899999999</v>
      </c>
      <c r="D153" s="4">
        <v>1725813.45</v>
      </c>
      <c r="E153" s="4">
        <v>1633010.48064</v>
      </c>
      <c r="F153" s="4">
        <v>1655797.7</v>
      </c>
      <c r="G153" s="4">
        <v>1075617.39130435</v>
      </c>
      <c r="H153" s="4"/>
      <c r="I153" s="4"/>
      <c r="J153" s="4"/>
      <c r="K153" s="4"/>
      <c r="L153" s="4"/>
    </row>
    <row r="154" spans="1:12" x14ac:dyDescent="0.25">
      <c r="A154" t="s">
        <v>42</v>
      </c>
      <c r="B154" s="4">
        <v>105911.07</v>
      </c>
      <c r="C154" s="4">
        <v>314680.69</v>
      </c>
      <c r="D154" s="4">
        <v>503912.42</v>
      </c>
      <c r="E154" s="4">
        <v>518972.94287999999</v>
      </c>
      <c r="F154" s="4">
        <v>645853.35</v>
      </c>
      <c r="G154" s="4">
        <v>381286.95652173902</v>
      </c>
      <c r="H154" s="4"/>
      <c r="I154" s="4"/>
      <c r="J154" s="4"/>
      <c r="K154" s="4"/>
      <c r="L154" s="4"/>
    </row>
    <row r="155" spans="1:12" x14ac:dyDescent="0.25">
      <c r="A155" t="s">
        <v>43</v>
      </c>
      <c r="B155" s="4">
        <v>311396.40000000002</v>
      </c>
      <c r="C155" s="4">
        <v>605918.22</v>
      </c>
      <c r="D155" s="4">
        <v>651175.98</v>
      </c>
      <c r="E155" s="4">
        <v>589702.00464000006</v>
      </c>
      <c r="F155" s="4">
        <v>632315.67000000004</v>
      </c>
      <c r="G155" s="4">
        <v>403826.08695652202</v>
      </c>
      <c r="H155" s="4"/>
      <c r="I155" s="4"/>
      <c r="J155" s="4"/>
      <c r="K155" s="4"/>
      <c r="L155" s="4"/>
    </row>
    <row r="156" spans="1:12" x14ac:dyDescent="0.25">
      <c r="A156" t="s">
        <v>44</v>
      </c>
      <c r="B156" s="4">
        <v>475330.07</v>
      </c>
      <c r="C156" s="4">
        <v>935208.36</v>
      </c>
      <c r="D156" s="4">
        <v>1197205.6499999999</v>
      </c>
      <c r="E156" s="4">
        <v>1307220.5059199999</v>
      </c>
      <c r="F156" s="4">
        <v>1234546.52</v>
      </c>
      <c r="G156" s="4">
        <v>855860.86956521706</v>
      </c>
      <c r="H156" s="4"/>
      <c r="I156" s="4"/>
      <c r="J156" s="4"/>
      <c r="K156" s="4"/>
      <c r="L156" s="4"/>
    </row>
    <row r="157" spans="1:12" x14ac:dyDescent="0.25">
      <c r="A157" t="s">
        <v>45</v>
      </c>
      <c r="B157" s="4">
        <v>63061.98</v>
      </c>
      <c r="C157" s="4">
        <v>88813.04</v>
      </c>
      <c r="D157" s="4">
        <v>62792.4</v>
      </c>
      <c r="E157" s="4">
        <v>134525.90591999999</v>
      </c>
      <c r="F157" s="4">
        <v>151837.14000000001</v>
      </c>
      <c r="G157" s="4">
        <v>98295.652173912997</v>
      </c>
      <c r="H157" s="4"/>
      <c r="I157" s="4"/>
      <c r="J157" s="4"/>
      <c r="K157" s="4"/>
      <c r="L157" s="4"/>
    </row>
    <row r="158" spans="1:12" x14ac:dyDescent="0.25">
      <c r="A158" t="s">
        <v>46</v>
      </c>
      <c r="B158" s="4">
        <v>299212.02</v>
      </c>
      <c r="C158" s="4">
        <v>391150.21</v>
      </c>
      <c r="D158" s="4">
        <v>594634.76</v>
      </c>
      <c r="E158" s="4">
        <v>560844.64800000004</v>
      </c>
      <c r="F158" s="4">
        <v>752039.69</v>
      </c>
      <c r="G158" s="4">
        <v>446400</v>
      </c>
      <c r="H158" s="4"/>
      <c r="I158" s="4"/>
      <c r="J158" s="4"/>
      <c r="K158" s="4"/>
      <c r="L158" s="4"/>
    </row>
    <row r="159" spans="1:12" x14ac:dyDescent="0.25">
      <c r="A159" t="s">
        <v>47</v>
      </c>
      <c r="B159" s="4">
        <v>9805.66</v>
      </c>
      <c r="C159" s="4">
        <v>99188.93</v>
      </c>
      <c r="D159" s="4">
        <v>95545.99</v>
      </c>
      <c r="E159" s="4">
        <v>122606.68896</v>
      </c>
      <c r="F159" s="4">
        <v>134311.22</v>
      </c>
      <c r="G159" s="4">
        <v>87652.173913043502</v>
      </c>
      <c r="H159" s="4"/>
      <c r="I159" s="4"/>
      <c r="J159" s="4"/>
      <c r="K159" s="4"/>
      <c r="L159" s="4"/>
    </row>
    <row r="160" spans="1:12" x14ac:dyDescent="0.25">
      <c r="A160" t="s">
        <v>48</v>
      </c>
      <c r="B160" s="4">
        <v>238592.22</v>
      </c>
      <c r="C160" s="4">
        <v>672387.64</v>
      </c>
      <c r="D160" s="4">
        <v>857877.07</v>
      </c>
      <c r="E160" s="4">
        <v>1023371.21376</v>
      </c>
      <c r="F160" s="4">
        <v>932310.07</v>
      </c>
      <c r="G160" s="4">
        <v>646121.73913043505</v>
      </c>
      <c r="H160" s="4"/>
      <c r="I160" s="4"/>
      <c r="J160" s="4"/>
      <c r="K160" s="4"/>
      <c r="L160" s="4"/>
    </row>
    <row r="161" spans="1:12" x14ac:dyDescent="0.25">
      <c r="A161" t="s">
        <v>49</v>
      </c>
      <c r="B161" s="4">
        <v>1758915.04</v>
      </c>
      <c r="C161" s="4">
        <v>3255465</v>
      </c>
      <c r="D161" s="4">
        <v>4063748.13</v>
      </c>
      <c r="E161" s="4">
        <v>4096517.7859200002</v>
      </c>
      <c r="F161" s="4">
        <v>4343802.5599999996</v>
      </c>
      <c r="G161" s="4">
        <v>2844939.1304347799</v>
      </c>
      <c r="H161" s="4"/>
      <c r="I161" s="4"/>
      <c r="J161" s="4"/>
      <c r="K161" s="4"/>
      <c r="L161" s="4"/>
    </row>
    <row r="162" spans="1:12" x14ac:dyDescent="0.25">
      <c r="A162" t="s">
        <v>50</v>
      </c>
      <c r="B162" s="4">
        <v>157947.47</v>
      </c>
      <c r="C162" s="4">
        <v>404001.88</v>
      </c>
      <c r="D162" s="4">
        <v>541253.41</v>
      </c>
      <c r="E162" s="4">
        <v>577442.45663999999</v>
      </c>
      <c r="F162" s="4">
        <v>674610.78</v>
      </c>
      <c r="G162" s="4">
        <v>419478.26086956501</v>
      </c>
      <c r="H162" s="4"/>
      <c r="I162" s="4"/>
      <c r="J162" s="4"/>
      <c r="K162" s="4"/>
      <c r="L162" s="4"/>
    </row>
    <row r="163" spans="1:12" x14ac:dyDescent="0.25">
      <c r="A163" t="s">
        <v>51</v>
      </c>
      <c r="B163" s="4">
        <v>449092.21</v>
      </c>
      <c r="C163" s="4">
        <v>996784.34</v>
      </c>
      <c r="D163" s="4">
        <v>1236288.74</v>
      </c>
      <c r="E163" s="4">
        <v>1398263.29776</v>
      </c>
      <c r="F163" s="4">
        <v>1340046.55</v>
      </c>
      <c r="G163" s="4">
        <v>917217.39130434801</v>
      </c>
      <c r="H163" s="4"/>
      <c r="I163" s="4"/>
      <c r="J163" s="4"/>
      <c r="K163" s="4"/>
      <c r="L163" s="4"/>
    </row>
    <row r="164" spans="1:12" x14ac:dyDescent="0.25">
      <c r="A164" t="s">
        <v>52</v>
      </c>
      <c r="B164" s="4">
        <v>5034.87</v>
      </c>
      <c r="C164" s="4">
        <v>10679.75</v>
      </c>
      <c r="D164" s="4">
        <v>32419.03</v>
      </c>
      <c r="E164" s="4">
        <v>81777.346560000005</v>
      </c>
      <c r="F164" s="4">
        <v>94462.59</v>
      </c>
      <c r="G164" s="4">
        <v>61356.521739130403</v>
      </c>
      <c r="H164" s="4"/>
      <c r="I164" s="4"/>
      <c r="J164" s="4"/>
      <c r="K164" s="4"/>
      <c r="L164" s="4"/>
    </row>
    <row r="165" spans="1:12" x14ac:dyDescent="0.25">
      <c r="A165" t="s">
        <v>53</v>
      </c>
      <c r="B165" s="4">
        <v>417872.16</v>
      </c>
      <c r="C165" s="4">
        <v>1213560.47</v>
      </c>
      <c r="D165" s="4">
        <v>1595862.99</v>
      </c>
      <c r="E165" s="4">
        <v>1609981.04736</v>
      </c>
      <c r="F165" s="4">
        <v>1583690.46</v>
      </c>
      <c r="G165" s="4">
        <v>1086260.8695652201</v>
      </c>
      <c r="H165" s="4"/>
      <c r="I165" s="4"/>
      <c r="J165" s="4"/>
      <c r="K165" s="4"/>
      <c r="L165" s="4"/>
    </row>
    <row r="166" spans="1:12" x14ac:dyDescent="0.25">
      <c r="A166" t="s">
        <v>54</v>
      </c>
      <c r="B166" s="4">
        <v>219139.73</v>
      </c>
      <c r="C166" s="4">
        <v>550615.16</v>
      </c>
      <c r="D166" s="4">
        <v>643920.67000000004</v>
      </c>
      <c r="E166" s="4">
        <v>664588.37087999994</v>
      </c>
      <c r="F166" s="4">
        <v>745220.2</v>
      </c>
      <c r="G166" s="4">
        <v>475200</v>
      </c>
      <c r="H166" s="4"/>
      <c r="I166" s="4"/>
      <c r="J166" s="4"/>
      <c r="K166" s="4"/>
      <c r="L166" s="4"/>
    </row>
    <row r="167" spans="1:12" x14ac:dyDescent="0.25">
      <c r="A167" t="s">
        <v>55</v>
      </c>
      <c r="B167" s="4">
        <v>93087.98</v>
      </c>
      <c r="C167" s="4">
        <v>163574.84</v>
      </c>
      <c r="D167" s="4">
        <v>275948.94</v>
      </c>
      <c r="E167" s="4">
        <v>275398.81488000002</v>
      </c>
      <c r="F167" s="4">
        <v>292175.87</v>
      </c>
      <c r="G167" s="4">
        <v>190956.52173913</v>
      </c>
      <c r="H167" s="4"/>
      <c r="I167" s="4"/>
      <c r="J167" s="4"/>
      <c r="K167" s="4"/>
      <c r="L167" s="4"/>
    </row>
    <row r="168" spans="1:12" x14ac:dyDescent="0.25">
      <c r="A168" t="s">
        <v>56</v>
      </c>
      <c r="B168" s="4">
        <v>47864.04</v>
      </c>
      <c r="C168" s="4">
        <v>97676.2</v>
      </c>
      <c r="D168" s="4">
        <v>111673.05</v>
      </c>
      <c r="E168" s="4">
        <v>43879.47984</v>
      </c>
      <c r="F168" s="4">
        <v>56621.17</v>
      </c>
      <c r="G168" s="4">
        <v>35060.869565217399</v>
      </c>
      <c r="H168" s="4"/>
      <c r="I168" s="4"/>
      <c r="J168" s="4"/>
      <c r="K168" s="4"/>
      <c r="L168" s="4"/>
    </row>
    <row r="169" spans="1:12" x14ac:dyDescent="0.25">
      <c r="A169" t="s">
        <v>57</v>
      </c>
      <c r="B169" s="4">
        <f t="shared" ref="B169:G169" si="5">SUM(B119:B168)</f>
        <v>17625470.610000003</v>
      </c>
      <c r="C169" s="4">
        <f t="shared" si="5"/>
        <v>36075162.410000004</v>
      </c>
      <c r="D169" s="4">
        <f t="shared" si="5"/>
        <v>46038189.369999997</v>
      </c>
      <c r="E169" s="4">
        <f t="shared" si="5"/>
        <v>50032993.933440007</v>
      </c>
      <c r="F169" s="4">
        <f t="shared" si="5"/>
        <v>50558897.99000001</v>
      </c>
      <c r="G169" s="4">
        <f t="shared" si="5"/>
        <v>33883826.086956523</v>
      </c>
      <c r="H169" s="4"/>
      <c r="I169" s="4"/>
      <c r="J169" s="4"/>
      <c r="K169" s="4"/>
      <c r="L169" s="4"/>
    </row>
    <row r="170" spans="1:12" x14ac:dyDescent="0.25">
      <c r="A170" t="s">
        <v>58</v>
      </c>
    </row>
    <row r="174" spans="1:12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2:12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2:12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2:12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2:12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2:12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2:12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2:12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2:12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2:12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2:12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2:12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2:12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2:12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2:12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2:12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2:12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2:12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2:12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2:12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2:12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2:12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2:12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2:12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2:12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2:12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2:12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2:12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2:12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2:12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2:12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2:12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2:12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2:12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2:12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2:12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2:12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2:12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2:12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2:12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2:12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2:12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2:12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2:12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2:12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2:12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2:12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2:12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2:12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2117-53D4-4103-867F-D209ED63DB4A}">
  <dimension ref="A1:M1200"/>
  <sheetViews>
    <sheetView topLeftCell="A422" workbookViewId="0">
      <selection activeCell="M427" sqref="M427"/>
    </sheetView>
  </sheetViews>
  <sheetFormatPr defaultRowHeight="15" x14ac:dyDescent="0.25"/>
  <cols>
    <col min="1" max="1" width="41.42578125" bestFit="1" customWidth="1"/>
    <col min="2" max="2" width="14.140625" bestFit="1" customWidth="1"/>
    <col min="3" max="3" width="15.140625" bestFit="1" customWidth="1"/>
    <col min="4" max="4" width="11.85546875" bestFit="1" customWidth="1"/>
    <col min="5" max="5" width="13.85546875" bestFit="1" customWidth="1"/>
    <col min="6" max="6" width="14.140625" bestFit="1" customWidth="1"/>
    <col min="7" max="7" width="13.42578125" bestFit="1" customWidth="1"/>
    <col min="8" max="8" width="13.140625" bestFit="1" customWidth="1"/>
    <col min="9" max="9" width="12" bestFit="1" customWidth="1"/>
    <col min="10" max="10" width="11" bestFit="1" customWidth="1"/>
    <col min="11" max="11" width="15.28515625" bestFit="1" customWidth="1"/>
    <col min="12" max="12" width="13.42578125" bestFit="1" customWidth="1"/>
    <col min="13" max="13" width="56.28515625" bestFit="1" customWidth="1"/>
  </cols>
  <sheetData>
    <row r="1" spans="1:13" x14ac:dyDescent="0.25">
      <c r="A1" t="str">
        <f>'WP by State &amp; Segment'!A1</f>
        <v>Insurer NJ Umbrella</v>
      </c>
    </row>
    <row r="2" spans="1:13" x14ac:dyDescent="0.25">
      <c r="A2" t="str">
        <f>'WP by State &amp; Segment'!A2</f>
        <v>Umbrella Excess of Loss reinsurance program</v>
      </c>
    </row>
    <row r="3" spans="1:13" x14ac:dyDescent="0.25">
      <c r="A3" t="str">
        <f>'WP by State &amp; Segment'!A3</f>
        <v>Effective: 04/01/2025</v>
      </c>
    </row>
    <row r="4" spans="1:13" x14ac:dyDescent="0.25">
      <c r="A4" t="str">
        <f>'WP by State &amp; Segment'!A4</f>
        <v>Data as of: 11/30/2024</v>
      </c>
    </row>
    <row r="6" spans="1:13" x14ac:dyDescent="0.25">
      <c r="A6" t="s">
        <v>86</v>
      </c>
    </row>
    <row r="7" spans="1:13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67</v>
      </c>
      <c r="G7" t="s">
        <v>68</v>
      </c>
      <c r="H7" t="s">
        <v>69</v>
      </c>
      <c r="I7" t="s">
        <v>2199</v>
      </c>
      <c r="J7" t="s">
        <v>72</v>
      </c>
      <c r="K7" t="s">
        <v>73</v>
      </c>
      <c r="L7" t="s">
        <v>74</v>
      </c>
      <c r="M7" t="s">
        <v>75</v>
      </c>
    </row>
    <row r="8" spans="1:13" x14ac:dyDescent="0.25">
      <c r="A8" t="s">
        <v>96</v>
      </c>
      <c r="B8" t="s">
        <v>97</v>
      </c>
      <c r="C8" t="s">
        <v>98</v>
      </c>
      <c r="D8" t="s">
        <v>99</v>
      </c>
      <c r="E8" s="2">
        <v>43562</v>
      </c>
      <c r="F8">
        <v>5000000</v>
      </c>
      <c r="G8" s="2">
        <v>43840</v>
      </c>
      <c r="H8">
        <v>2020</v>
      </c>
      <c r="I8">
        <v>27424.579999999991</v>
      </c>
      <c r="J8">
        <v>179283.28</v>
      </c>
      <c r="K8">
        <v>0</v>
      </c>
      <c r="L8">
        <v>206707.86</v>
      </c>
      <c r="M8" t="s">
        <v>100</v>
      </c>
    </row>
    <row r="9" spans="1:13" x14ac:dyDescent="0.25">
      <c r="A9" t="s">
        <v>101</v>
      </c>
      <c r="B9" t="s">
        <v>102</v>
      </c>
      <c r="C9" t="s">
        <v>103</v>
      </c>
      <c r="D9" t="s">
        <v>99</v>
      </c>
      <c r="E9" s="2">
        <v>43839</v>
      </c>
      <c r="F9">
        <v>5000000</v>
      </c>
      <c r="G9" s="2">
        <v>43874</v>
      </c>
      <c r="H9">
        <v>2020</v>
      </c>
      <c r="I9">
        <v>28369.810000000012</v>
      </c>
      <c r="J9">
        <v>125820.34</v>
      </c>
      <c r="K9">
        <v>0</v>
      </c>
      <c r="L9">
        <v>154190.15</v>
      </c>
      <c r="M9" t="s">
        <v>104</v>
      </c>
    </row>
    <row r="10" spans="1:13" x14ac:dyDescent="0.25">
      <c r="A10" t="s">
        <v>105</v>
      </c>
      <c r="B10" t="s">
        <v>106</v>
      </c>
      <c r="C10" t="s">
        <v>107</v>
      </c>
      <c r="D10" t="s">
        <v>99</v>
      </c>
      <c r="E10" s="2">
        <v>43551</v>
      </c>
      <c r="F10">
        <v>1000000</v>
      </c>
      <c r="G10" s="2">
        <v>43873</v>
      </c>
      <c r="H10">
        <v>2020</v>
      </c>
      <c r="I10">
        <v>22660.409999999967</v>
      </c>
      <c r="J10">
        <v>119970.39</v>
      </c>
      <c r="K10">
        <v>0</v>
      </c>
      <c r="L10">
        <v>142630.79999999999</v>
      </c>
      <c r="M10" t="s">
        <v>104</v>
      </c>
    </row>
    <row r="11" spans="1:13" x14ac:dyDescent="0.25">
      <c r="A11" t="s">
        <v>108</v>
      </c>
      <c r="B11" t="s">
        <v>109</v>
      </c>
      <c r="C11" t="s">
        <v>110</v>
      </c>
      <c r="D11" t="s">
        <v>99</v>
      </c>
      <c r="E11" s="2">
        <v>43710</v>
      </c>
      <c r="F11">
        <v>3000000</v>
      </c>
      <c r="G11" s="2">
        <v>43836</v>
      </c>
      <c r="H11">
        <v>2020</v>
      </c>
      <c r="I11">
        <v>34739.530000000021</v>
      </c>
      <c r="J11">
        <v>227058.35</v>
      </c>
      <c r="K11">
        <v>0</v>
      </c>
      <c r="L11">
        <v>261797.88</v>
      </c>
      <c r="M11" t="s">
        <v>111</v>
      </c>
    </row>
    <row r="12" spans="1:13" x14ac:dyDescent="0.25">
      <c r="A12" t="s">
        <v>112</v>
      </c>
      <c r="B12" t="s">
        <v>113</v>
      </c>
      <c r="C12" t="s">
        <v>114</v>
      </c>
      <c r="D12" t="s">
        <v>99</v>
      </c>
      <c r="E12" s="2">
        <v>43586</v>
      </c>
      <c r="F12">
        <v>5000000</v>
      </c>
      <c r="G12" s="2">
        <v>43881</v>
      </c>
      <c r="H12">
        <v>2020</v>
      </c>
      <c r="I12">
        <v>20526.189999999959</v>
      </c>
      <c r="J12">
        <v>144044.09</v>
      </c>
      <c r="K12">
        <v>0</v>
      </c>
      <c r="L12">
        <v>164570.28</v>
      </c>
      <c r="M12" t="s">
        <v>115</v>
      </c>
    </row>
    <row r="13" spans="1:13" x14ac:dyDescent="0.25">
      <c r="A13" t="s">
        <v>116</v>
      </c>
      <c r="B13" t="s">
        <v>117</v>
      </c>
      <c r="C13" t="s">
        <v>118</v>
      </c>
      <c r="D13" t="s">
        <v>99</v>
      </c>
      <c r="E13" s="2">
        <v>43822</v>
      </c>
      <c r="F13">
        <v>3000000</v>
      </c>
      <c r="G13" s="2">
        <v>43867</v>
      </c>
      <c r="H13">
        <v>2020</v>
      </c>
      <c r="I13">
        <v>248726.7900000005</v>
      </c>
      <c r="J13">
        <v>1517646.21</v>
      </c>
      <c r="K13">
        <v>0</v>
      </c>
      <c r="L13">
        <v>1766373</v>
      </c>
      <c r="M13" t="s">
        <v>119</v>
      </c>
    </row>
    <row r="14" spans="1:13" x14ac:dyDescent="0.25">
      <c r="A14" t="s">
        <v>120</v>
      </c>
      <c r="B14" t="s">
        <v>121</v>
      </c>
      <c r="C14" t="s">
        <v>122</v>
      </c>
      <c r="D14" t="s">
        <v>99</v>
      </c>
      <c r="E14" s="2">
        <v>43616</v>
      </c>
      <c r="F14">
        <v>1000000</v>
      </c>
      <c r="G14" s="2">
        <v>43877</v>
      </c>
      <c r="H14">
        <v>2020</v>
      </c>
      <c r="I14">
        <v>436317.71</v>
      </c>
      <c r="J14">
        <v>1727502.17</v>
      </c>
      <c r="K14">
        <v>0</v>
      </c>
      <c r="L14">
        <v>2163819.88</v>
      </c>
      <c r="M14" t="s">
        <v>119</v>
      </c>
    </row>
    <row r="15" spans="1:13" x14ac:dyDescent="0.25">
      <c r="A15" t="s">
        <v>123</v>
      </c>
      <c r="B15" t="s">
        <v>124</v>
      </c>
      <c r="C15" t="s">
        <v>125</v>
      </c>
      <c r="D15" t="s">
        <v>99</v>
      </c>
      <c r="E15" s="2">
        <v>43750</v>
      </c>
      <c r="F15">
        <v>1000000</v>
      </c>
      <c r="G15" s="2">
        <v>43880</v>
      </c>
      <c r="H15">
        <v>2020</v>
      </c>
      <c r="I15">
        <v>12646.38</v>
      </c>
      <c r="J15">
        <v>80518.899999999994</v>
      </c>
      <c r="K15">
        <v>0</v>
      </c>
      <c r="L15">
        <v>93165.28</v>
      </c>
      <c r="M15" t="s">
        <v>126</v>
      </c>
    </row>
    <row r="16" spans="1:13" x14ac:dyDescent="0.25">
      <c r="A16" t="s">
        <v>127</v>
      </c>
      <c r="B16" t="s">
        <v>128</v>
      </c>
      <c r="C16" t="s">
        <v>129</v>
      </c>
      <c r="D16" t="s">
        <v>99</v>
      </c>
      <c r="E16" s="2">
        <v>43740</v>
      </c>
      <c r="F16">
        <v>5000000</v>
      </c>
      <c r="G16" s="2">
        <v>43872</v>
      </c>
      <c r="H16">
        <v>2020</v>
      </c>
      <c r="I16">
        <v>39214.78</v>
      </c>
      <c r="J16">
        <v>262385.62</v>
      </c>
      <c r="K16">
        <v>0</v>
      </c>
      <c r="L16">
        <v>301600.40000000002</v>
      </c>
      <c r="M16" t="s">
        <v>130</v>
      </c>
    </row>
    <row r="17" spans="1:13" x14ac:dyDescent="0.25">
      <c r="A17" t="s">
        <v>131</v>
      </c>
      <c r="B17" t="s">
        <v>132</v>
      </c>
      <c r="C17" t="s">
        <v>133</v>
      </c>
      <c r="D17" t="s">
        <v>99</v>
      </c>
      <c r="E17" s="2">
        <v>43655</v>
      </c>
      <c r="F17">
        <v>3000000</v>
      </c>
      <c r="G17" s="2">
        <v>43869</v>
      </c>
      <c r="H17">
        <v>2020</v>
      </c>
      <c r="I17">
        <v>14965.33000000004</v>
      </c>
      <c r="J17">
        <v>69557.399999999994</v>
      </c>
      <c r="K17">
        <v>0</v>
      </c>
      <c r="L17">
        <v>84522.73</v>
      </c>
      <c r="M17" t="s">
        <v>134</v>
      </c>
    </row>
    <row r="18" spans="1:13" x14ac:dyDescent="0.25">
      <c r="A18" t="s">
        <v>135</v>
      </c>
      <c r="B18" t="s">
        <v>136</v>
      </c>
      <c r="C18" t="s">
        <v>137</v>
      </c>
      <c r="D18" t="s">
        <v>99</v>
      </c>
      <c r="E18" s="2">
        <v>43509</v>
      </c>
      <c r="F18">
        <v>5000000</v>
      </c>
      <c r="G18" s="2">
        <v>43839</v>
      </c>
      <c r="H18">
        <v>2020</v>
      </c>
      <c r="I18">
        <v>51892.12</v>
      </c>
      <c r="J18">
        <v>175291.88</v>
      </c>
      <c r="K18">
        <v>0</v>
      </c>
      <c r="L18">
        <v>227184</v>
      </c>
      <c r="M18" t="s">
        <v>100</v>
      </c>
    </row>
    <row r="19" spans="1:13" x14ac:dyDescent="0.25">
      <c r="A19" t="s">
        <v>138</v>
      </c>
      <c r="B19" t="s">
        <v>139</v>
      </c>
      <c r="C19" t="s">
        <v>140</v>
      </c>
      <c r="D19" t="s">
        <v>99</v>
      </c>
      <c r="E19" s="2">
        <v>43861</v>
      </c>
      <c r="F19">
        <v>4000000</v>
      </c>
      <c r="G19" s="2">
        <v>43924</v>
      </c>
      <c r="H19">
        <v>2020</v>
      </c>
      <c r="I19">
        <v>9844.7299999999905</v>
      </c>
      <c r="J19">
        <v>66556.12</v>
      </c>
      <c r="K19">
        <v>0</v>
      </c>
      <c r="L19">
        <v>76400.850000000006</v>
      </c>
      <c r="M19" t="s">
        <v>134</v>
      </c>
    </row>
    <row r="20" spans="1:13" x14ac:dyDescent="0.25">
      <c r="A20" t="s">
        <v>141</v>
      </c>
      <c r="B20" t="s">
        <v>142</v>
      </c>
      <c r="C20" t="s">
        <v>143</v>
      </c>
      <c r="D20" t="s">
        <v>99</v>
      </c>
      <c r="E20" s="2">
        <v>43631</v>
      </c>
      <c r="F20">
        <v>4000000</v>
      </c>
      <c r="G20" s="2">
        <v>43914</v>
      </c>
      <c r="H20">
        <v>2020</v>
      </c>
      <c r="I20">
        <v>37468.469999999994</v>
      </c>
      <c r="J20">
        <v>322879.01</v>
      </c>
      <c r="K20">
        <v>0</v>
      </c>
      <c r="L20">
        <v>360347.48</v>
      </c>
      <c r="M20" t="s">
        <v>144</v>
      </c>
    </row>
    <row r="21" spans="1:13" x14ac:dyDescent="0.25">
      <c r="A21" t="s">
        <v>145</v>
      </c>
      <c r="B21" t="s">
        <v>132</v>
      </c>
      <c r="C21" t="s">
        <v>133</v>
      </c>
      <c r="D21" t="s">
        <v>99</v>
      </c>
      <c r="E21" s="2">
        <v>43655</v>
      </c>
      <c r="F21">
        <v>3000000</v>
      </c>
      <c r="G21" s="2">
        <v>43891</v>
      </c>
      <c r="H21">
        <v>2020</v>
      </c>
      <c r="I21">
        <v>35155.68</v>
      </c>
      <c r="J21">
        <v>121978.94</v>
      </c>
      <c r="K21">
        <v>0</v>
      </c>
      <c r="L21">
        <v>157134.62</v>
      </c>
      <c r="M21" t="s">
        <v>104</v>
      </c>
    </row>
    <row r="22" spans="1:13" x14ac:dyDescent="0.25">
      <c r="A22" t="s">
        <v>146</v>
      </c>
      <c r="B22" t="s">
        <v>147</v>
      </c>
      <c r="C22" t="s">
        <v>148</v>
      </c>
      <c r="D22" t="s">
        <v>99</v>
      </c>
      <c r="E22" s="2">
        <v>43538</v>
      </c>
      <c r="F22">
        <v>3000000</v>
      </c>
      <c r="G22" s="2">
        <v>43898</v>
      </c>
      <c r="H22">
        <v>2020</v>
      </c>
      <c r="I22">
        <v>33568.299999999967</v>
      </c>
      <c r="J22">
        <v>148442.06</v>
      </c>
      <c r="K22">
        <v>0</v>
      </c>
      <c r="L22">
        <v>182010.36</v>
      </c>
      <c r="M22" t="s">
        <v>115</v>
      </c>
    </row>
    <row r="23" spans="1:13" x14ac:dyDescent="0.25">
      <c r="A23" t="s">
        <v>149</v>
      </c>
      <c r="B23" t="s">
        <v>150</v>
      </c>
      <c r="C23" t="s">
        <v>151</v>
      </c>
      <c r="D23" t="s">
        <v>99</v>
      </c>
      <c r="E23" s="2">
        <v>43768</v>
      </c>
      <c r="F23">
        <v>5000000</v>
      </c>
      <c r="G23" s="2">
        <v>43899</v>
      </c>
      <c r="H23">
        <v>2020</v>
      </c>
      <c r="I23">
        <v>40585.040000000008</v>
      </c>
      <c r="J23">
        <v>391361.31</v>
      </c>
      <c r="K23">
        <v>0</v>
      </c>
      <c r="L23">
        <v>431946.35</v>
      </c>
      <c r="M23" t="s">
        <v>152</v>
      </c>
    </row>
    <row r="24" spans="1:13" x14ac:dyDescent="0.25">
      <c r="A24" t="s">
        <v>153</v>
      </c>
      <c r="B24" t="s">
        <v>154</v>
      </c>
      <c r="C24" t="s">
        <v>155</v>
      </c>
      <c r="D24" t="s">
        <v>99</v>
      </c>
      <c r="E24" s="2">
        <v>43597</v>
      </c>
      <c r="F24">
        <v>5000000</v>
      </c>
      <c r="G24" s="2">
        <v>43925</v>
      </c>
      <c r="H24">
        <v>2020</v>
      </c>
      <c r="I24">
        <v>33206.369999999988</v>
      </c>
      <c r="J24">
        <v>287503.12</v>
      </c>
      <c r="K24">
        <v>0</v>
      </c>
      <c r="L24">
        <v>320709.49</v>
      </c>
      <c r="M24" t="s">
        <v>130</v>
      </c>
    </row>
    <row r="25" spans="1:13" x14ac:dyDescent="0.25">
      <c r="A25" t="s">
        <v>156</v>
      </c>
      <c r="B25" t="s">
        <v>157</v>
      </c>
      <c r="C25" t="s">
        <v>158</v>
      </c>
      <c r="D25" t="s">
        <v>99</v>
      </c>
      <c r="E25" s="2">
        <v>43692</v>
      </c>
      <c r="F25">
        <v>5000000</v>
      </c>
      <c r="G25" s="2">
        <v>43897</v>
      </c>
      <c r="H25">
        <v>2020</v>
      </c>
      <c r="I25">
        <v>149609.63999999981</v>
      </c>
      <c r="J25">
        <v>554254.39</v>
      </c>
      <c r="K25">
        <v>0</v>
      </c>
      <c r="L25">
        <v>703864.03</v>
      </c>
      <c r="M25" t="s">
        <v>159</v>
      </c>
    </row>
    <row r="26" spans="1:13" x14ac:dyDescent="0.25">
      <c r="A26" t="s">
        <v>160</v>
      </c>
      <c r="B26" t="s">
        <v>161</v>
      </c>
      <c r="C26" t="s">
        <v>162</v>
      </c>
      <c r="D26" t="s">
        <v>99</v>
      </c>
      <c r="E26" s="2">
        <v>43757</v>
      </c>
      <c r="F26">
        <v>5000000</v>
      </c>
      <c r="G26" s="2">
        <v>43922</v>
      </c>
      <c r="H26">
        <v>2020</v>
      </c>
      <c r="I26">
        <v>89563.61</v>
      </c>
      <c r="J26">
        <v>436418.53</v>
      </c>
      <c r="K26">
        <v>0</v>
      </c>
      <c r="L26">
        <v>525982.14</v>
      </c>
      <c r="M26" t="s">
        <v>163</v>
      </c>
    </row>
    <row r="27" spans="1:13" x14ac:dyDescent="0.25">
      <c r="A27" t="s">
        <v>164</v>
      </c>
      <c r="B27" t="s">
        <v>165</v>
      </c>
      <c r="C27" t="s">
        <v>166</v>
      </c>
      <c r="D27" t="s">
        <v>99</v>
      </c>
      <c r="E27" s="2">
        <v>43852</v>
      </c>
      <c r="F27">
        <v>1000000</v>
      </c>
      <c r="G27" s="2">
        <v>43921</v>
      </c>
      <c r="H27">
        <v>2020</v>
      </c>
      <c r="I27">
        <v>27797.95</v>
      </c>
      <c r="J27">
        <v>169025.59</v>
      </c>
      <c r="K27">
        <v>0</v>
      </c>
      <c r="L27">
        <v>196823.54</v>
      </c>
      <c r="M27" t="s">
        <v>100</v>
      </c>
    </row>
    <row r="28" spans="1:13" x14ac:dyDescent="0.25">
      <c r="A28" t="s">
        <v>167</v>
      </c>
      <c r="B28" t="s">
        <v>168</v>
      </c>
      <c r="C28" t="s">
        <v>169</v>
      </c>
      <c r="D28" t="s">
        <v>99</v>
      </c>
      <c r="E28" s="2">
        <v>43783</v>
      </c>
      <c r="F28">
        <v>1000000</v>
      </c>
      <c r="G28" s="2">
        <v>43865</v>
      </c>
      <c r="H28">
        <v>2020</v>
      </c>
      <c r="I28">
        <v>12166.09</v>
      </c>
      <c r="J28">
        <v>99266.44</v>
      </c>
      <c r="K28">
        <v>0</v>
      </c>
      <c r="L28">
        <v>111432.53</v>
      </c>
      <c r="M28" t="s">
        <v>170</v>
      </c>
    </row>
    <row r="29" spans="1:13" x14ac:dyDescent="0.25">
      <c r="A29" t="s">
        <v>171</v>
      </c>
      <c r="B29" t="s">
        <v>172</v>
      </c>
      <c r="C29" t="s">
        <v>173</v>
      </c>
      <c r="D29" t="s">
        <v>99</v>
      </c>
      <c r="E29" s="2">
        <v>43893</v>
      </c>
      <c r="F29">
        <v>3000000</v>
      </c>
      <c r="G29" s="2">
        <v>43898</v>
      </c>
      <c r="H29">
        <v>2020</v>
      </c>
      <c r="I29">
        <v>20703.84999999998</v>
      </c>
      <c r="J29">
        <v>96415.71</v>
      </c>
      <c r="K29">
        <v>0</v>
      </c>
      <c r="L29">
        <v>117119.56</v>
      </c>
      <c r="M29" t="s">
        <v>174</v>
      </c>
    </row>
    <row r="30" spans="1:13" x14ac:dyDescent="0.25">
      <c r="A30" t="s">
        <v>175</v>
      </c>
      <c r="B30" t="s">
        <v>176</v>
      </c>
      <c r="C30" t="s">
        <v>177</v>
      </c>
      <c r="D30" t="s">
        <v>99</v>
      </c>
      <c r="E30" s="2">
        <v>43717</v>
      </c>
      <c r="F30">
        <v>5000000</v>
      </c>
      <c r="G30" s="2">
        <v>43968</v>
      </c>
      <c r="H30">
        <v>2020</v>
      </c>
      <c r="I30">
        <v>41496.449999999997</v>
      </c>
      <c r="J30">
        <v>195702.74</v>
      </c>
      <c r="K30">
        <v>0</v>
      </c>
      <c r="L30">
        <v>237199.19</v>
      </c>
      <c r="M30" t="s">
        <v>178</v>
      </c>
    </row>
    <row r="31" spans="1:13" x14ac:dyDescent="0.25">
      <c r="A31" t="s">
        <v>179</v>
      </c>
      <c r="B31" t="s">
        <v>180</v>
      </c>
      <c r="C31" t="s">
        <v>181</v>
      </c>
      <c r="D31" t="s">
        <v>99</v>
      </c>
      <c r="E31" s="2">
        <v>43897</v>
      </c>
      <c r="F31">
        <v>3000000</v>
      </c>
      <c r="G31" s="2">
        <v>43898</v>
      </c>
      <c r="H31">
        <v>2020</v>
      </c>
      <c r="I31">
        <v>7046.7199999999993</v>
      </c>
      <c r="J31">
        <v>55541.81</v>
      </c>
      <c r="K31">
        <v>0</v>
      </c>
      <c r="L31">
        <v>62588.53</v>
      </c>
      <c r="M31" t="s">
        <v>182</v>
      </c>
    </row>
    <row r="32" spans="1:13" x14ac:dyDescent="0.25">
      <c r="A32" t="s">
        <v>183</v>
      </c>
      <c r="B32" t="s">
        <v>184</v>
      </c>
      <c r="C32" t="s">
        <v>185</v>
      </c>
      <c r="D32" t="s">
        <v>99</v>
      </c>
      <c r="E32" s="2">
        <v>43731</v>
      </c>
      <c r="F32">
        <v>5000000</v>
      </c>
      <c r="G32" s="2">
        <v>43987</v>
      </c>
      <c r="H32">
        <v>2020</v>
      </c>
      <c r="I32">
        <v>86783.789999999892</v>
      </c>
      <c r="J32">
        <v>671330.07</v>
      </c>
      <c r="K32">
        <v>0</v>
      </c>
      <c r="L32">
        <v>758113.86</v>
      </c>
      <c r="M32" t="s">
        <v>186</v>
      </c>
    </row>
    <row r="33" spans="1:13" x14ac:dyDescent="0.25">
      <c r="A33" t="s">
        <v>187</v>
      </c>
      <c r="B33" t="s">
        <v>188</v>
      </c>
      <c r="C33" t="s">
        <v>189</v>
      </c>
      <c r="D33" t="s">
        <v>99</v>
      </c>
      <c r="E33" s="2">
        <v>43653</v>
      </c>
      <c r="F33">
        <v>1000000</v>
      </c>
      <c r="G33" s="2">
        <v>43895</v>
      </c>
      <c r="H33">
        <v>2020</v>
      </c>
      <c r="I33">
        <v>32552.880000000037</v>
      </c>
      <c r="J33">
        <v>121597.45</v>
      </c>
      <c r="K33">
        <v>0</v>
      </c>
      <c r="L33">
        <v>154150.32999999999</v>
      </c>
      <c r="M33" t="s">
        <v>104</v>
      </c>
    </row>
    <row r="34" spans="1:13" x14ac:dyDescent="0.25">
      <c r="A34" t="s">
        <v>190</v>
      </c>
      <c r="B34" t="s">
        <v>191</v>
      </c>
      <c r="C34" t="s">
        <v>192</v>
      </c>
      <c r="D34" t="s">
        <v>99</v>
      </c>
      <c r="E34" s="2">
        <v>43792</v>
      </c>
      <c r="F34">
        <v>1000000</v>
      </c>
      <c r="G34" s="2">
        <v>43948</v>
      </c>
      <c r="H34">
        <v>2020</v>
      </c>
      <c r="I34">
        <v>19141.41999999998</v>
      </c>
      <c r="J34">
        <v>130562.62</v>
      </c>
      <c r="K34">
        <v>0</v>
      </c>
      <c r="L34">
        <v>149704.04</v>
      </c>
      <c r="M34" t="s">
        <v>193</v>
      </c>
    </row>
    <row r="35" spans="1:13" x14ac:dyDescent="0.25">
      <c r="A35" t="s">
        <v>194</v>
      </c>
      <c r="B35" t="s">
        <v>195</v>
      </c>
      <c r="C35" t="s">
        <v>196</v>
      </c>
      <c r="D35" t="s">
        <v>99</v>
      </c>
      <c r="E35" s="2">
        <v>43621</v>
      </c>
      <c r="F35">
        <v>3000000</v>
      </c>
      <c r="G35" s="2">
        <v>43924</v>
      </c>
      <c r="H35">
        <v>2020</v>
      </c>
      <c r="I35">
        <v>31259.459999999988</v>
      </c>
      <c r="J35">
        <v>224615.51</v>
      </c>
      <c r="K35">
        <v>0</v>
      </c>
      <c r="L35">
        <v>255874.97</v>
      </c>
      <c r="M35" t="s">
        <v>111</v>
      </c>
    </row>
    <row r="36" spans="1:13" x14ac:dyDescent="0.25">
      <c r="A36" t="s">
        <v>197</v>
      </c>
      <c r="B36" t="s">
        <v>198</v>
      </c>
      <c r="C36" t="s">
        <v>199</v>
      </c>
      <c r="D36" t="s">
        <v>99</v>
      </c>
      <c r="E36" s="2">
        <v>43827</v>
      </c>
      <c r="F36">
        <v>5000000</v>
      </c>
      <c r="G36" s="2">
        <v>43891</v>
      </c>
      <c r="H36">
        <v>2020</v>
      </c>
      <c r="I36">
        <v>17407.73999999998</v>
      </c>
      <c r="J36">
        <v>63949.08</v>
      </c>
      <c r="K36">
        <v>0</v>
      </c>
      <c r="L36">
        <v>81356.820000000007</v>
      </c>
      <c r="M36" t="s">
        <v>200</v>
      </c>
    </row>
    <row r="37" spans="1:13" x14ac:dyDescent="0.25">
      <c r="A37" t="s">
        <v>201</v>
      </c>
      <c r="B37" t="s">
        <v>202</v>
      </c>
      <c r="C37" t="s">
        <v>203</v>
      </c>
      <c r="D37" t="s">
        <v>99</v>
      </c>
      <c r="E37" s="2">
        <v>43734</v>
      </c>
      <c r="F37">
        <v>2000000</v>
      </c>
      <c r="G37" s="2">
        <v>43958</v>
      </c>
      <c r="H37">
        <v>2020</v>
      </c>
      <c r="I37">
        <v>16727.919999999998</v>
      </c>
      <c r="J37">
        <v>100114.61</v>
      </c>
      <c r="K37">
        <v>0</v>
      </c>
      <c r="L37">
        <v>116842.53</v>
      </c>
      <c r="M37" t="s">
        <v>170</v>
      </c>
    </row>
    <row r="38" spans="1:13" x14ac:dyDescent="0.25">
      <c r="A38" t="s">
        <v>204</v>
      </c>
      <c r="B38" t="s">
        <v>205</v>
      </c>
      <c r="C38" t="s">
        <v>206</v>
      </c>
      <c r="D38" t="s">
        <v>99</v>
      </c>
      <c r="E38" s="2">
        <v>43597</v>
      </c>
      <c r="F38">
        <v>2000000</v>
      </c>
      <c r="G38" s="2">
        <v>43889</v>
      </c>
      <c r="H38">
        <v>2020</v>
      </c>
      <c r="I38">
        <v>27936.599999999962</v>
      </c>
      <c r="J38">
        <v>162975.65</v>
      </c>
      <c r="K38">
        <v>0</v>
      </c>
      <c r="L38">
        <v>190912.25</v>
      </c>
      <c r="M38" t="s">
        <v>100</v>
      </c>
    </row>
    <row r="39" spans="1:13" x14ac:dyDescent="0.25">
      <c r="A39" t="s">
        <v>207</v>
      </c>
      <c r="B39" t="s">
        <v>208</v>
      </c>
      <c r="C39" t="s">
        <v>209</v>
      </c>
      <c r="D39" t="s">
        <v>99</v>
      </c>
      <c r="E39" s="2">
        <v>43907</v>
      </c>
      <c r="F39">
        <v>10000000</v>
      </c>
      <c r="G39" s="2">
        <v>43927</v>
      </c>
      <c r="H39">
        <v>2020</v>
      </c>
      <c r="I39">
        <v>39680.740000000027</v>
      </c>
      <c r="J39">
        <v>259451.59</v>
      </c>
      <c r="K39">
        <v>0</v>
      </c>
      <c r="L39">
        <v>299132.33</v>
      </c>
      <c r="M39" t="s">
        <v>210</v>
      </c>
    </row>
    <row r="40" spans="1:13" x14ac:dyDescent="0.25">
      <c r="A40" t="s">
        <v>211</v>
      </c>
      <c r="B40" t="s">
        <v>212</v>
      </c>
      <c r="C40" t="s">
        <v>213</v>
      </c>
      <c r="D40" t="s">
        <v>99</v>
      </c>
      <c r="E40" s="2">
        <v>43821</v>
      </c>
      <c r="F40">
        <v>3000000</v>
      </c>
      <c r="G40" s="2">
        <v>44006</v>
      </c>
      <c r="H40">
        <v>2020</v>
      </c>
      <c r="I40">
        <v>22712.289999999979</v>
      </c>
      <c r="J40">
        <v>102559.64</v>
      </c>
      <c r="K40">
        <v>0</v>
      </c>
      <c r="L40">
        <v>125271.93</v>
      </c>
      <c r="M40" t="s">
        <v>170</v>
      </c>
    </row>
    <row r="41" spans="1:13" x14ac:dyDescent="0.25">
      <c r="A41" t="s">
        <v>214</v>
      </c>
      <c r="B41" t="s">
        <v>215</v>
      </c>
      <c r="C41" t="s">
        <v>216</v>
      </c>
      <c r="D41" t="s">
        <v>99</v>
      </c>
      <c r="E41" s="2">
        <v>43742</v>
      </c>
      <c r="F41">
        <v>5000000</v>
      </c>
      <c r="G41" s="2">
        <v>44036</v>
      </c>
      <c r="H41">
        <v>2020</v>
      </c>
      <c r="I41">
        <v>41365.1</v>
      </c>
      <c r="J41">
        <v>179901.66</v>
      </c>
      <c r="K41">
        <v>0</v>
      </c>
      <c r="L41">
        <v>221266.76</v>
      </c>
      <c r="M41" t="s">
        <v>178</v>
      </c>
    </row>
    <row r="42" spans="1:13" x14ac:dyDescent="0.25">
      <c r="A42" t="s">
        <v>217</v>
      </c>
      <c r="B42" t="s">
        <v>218</v>
      </c>
      <c r="C42" t="s">
        <v>219</v>
      </c>
      <c r="D42" t="s">
        <v>99</v>
      </c>
      <c r="E42" s="2">
        <v>43599</v>
      </c>
      <c r="F42">
        <v>1000000</v>
      </c>
      <c r="G42" s="2">
        <v>43895</v>
      </c>
      <c r="H42">
        <v>2020</v>
      </c>
      <c r="I42">
        <v>377338.72</v>
      </c>
      <c r="J42">
        <v>1318779.1299999999</v>
      </c>
      <c r="K42">
        <v>0</v>
      </c>
      <c r="L42">
        <v>1696117.85</v>
      </c>
      <c r="M42" t="s">
        <v>119</v>
      </c>
    </row>
    <row r="43" spans="1:13" x14ac:dyDescent="0.25">
      <c r="A43" t="s">
        <v>220</v>
      </c>
      <c r="B43" t="s">
        <v>221</v>
      </c>
      <c r="C43" t="s">
        <v>222</v>
      </c>
      <c r="D43" t="s">
        <v>99</v>
      </c>
      <c r="E43" s="2">
        <v>43714</v>
      </c>
      <c r="F43">
        <v>5000000</v>
      </c>
      <c r="G43" s="2">
        <v>44015</v>
      </c>
      <c r="H43">
        <v>2020</v>
      </c>
      <c r="I43">
        <v>42768.99</v>
      </c>
      <c r="J43">
        <v>171337.59</v>
      </c>
      <c r="K43">
        <v>0</v>
      </c>
      <c r="L43">
        <v>214106.58</v>
      </c>
      <c r="M43" t="s">
        <v>100</v>
      </c>
    </row>
    <row r="44" spans="1:13" x14ac:dyDescent="0.25">
      <c r="A44" t="s">
        <v>223</v>
      </c>
      <c r="B44" t="s">
        <v>224</v>
      </c>
      <c r="C44" t="s">
        <v>225</v>
      </c>
      <c r="D44" t="s">
        <v>99</v>
      </c>
      <c r="E44" s="2">
        <v>43682</v>
      </c>
      <c r="F44">
        <v>5000000</v>
      </c>
      <c r="G44" s="2">
        <v>44024</v>
      </c>
      <c r="H44">
        <v>2020</v>
      </c>
      <c r="I44">
        <v>32531.899999999972</v>
      </c>
      <c r="J44">
        <v>189119.4</v>
      </c>
      <c r="K44">
        <v>0</v>
      </c>
      <c r="L44">
        <v>221651.3</v>
      </c>
      <c r="M44" t="s">
        <v>178</v>
      </c>
    </row>
    <row r="45" spans="1:13" x14ac:dyDescent="0.25">
      <c r="A45" t="s">
        <v>226</v>
      </c>
      <c r="B45" t="s">
        <v>227</v>
      </c>
      <c r="C45" t="s">
        <v>228</v>
      </c>
      <c r="D45" t="s">
        <v>99</v>
      </c>
      <c r="E45" s="2">
        <v>43961</v>
      </c>
      <c r="F45">
        <v>2000000</v>
      </c>
      <c r="G45" s="2">
        <v>44027</v>
      </c>
      <c r="H45">
        <v>2020</v>
      </c>
      <c r="I45">
        <v>22517.659999999971</v>
      </c>
      <c r="J45">
        <v>85712.61</v>
      </c>
      <c r="K45">
        <v>0</v>
      </c>
      <c r="L45">
        <v>108230.27</v>
      </c>
      <c r="M45" t="s">
        <v>229</v>
      </c>
    </row>
    <row r="46" spans="1:13" x14ac:dyDescent="0.25">
      <c r="A46" t="s">
        <v>230</v>
      </c>
      <c r="B46" t="s">
        <v>231</v>
      </c>
      <c r="C46" t="s">
        <v>232</v>
      </c>
      <c r="D46" t="s">
        <v>99</v>
      </c>
      <c r="E46" s="2">
        <v>43682</v>
      </c>
      <c r="F46">
        <v>5000000</v>
      </c>
      <c r="G46" s="2">
        <v>44040</v>
      </c>
      <c r="H46">
        <v>2020</v>
      </c>
      <c r="I46">
        <v>67590.38</v>
      </c>
      <c r="J46">
        <v>242516.77</v>
      </c>
      <c r="K46">
        <v>0</v>
      </c>
      <c r="L46">
        <v>310107.15000000002</v>
      </c>
      <c r="M46" t="s">
        <v>210</v>
      </c>
    </row>
    <row r="47" spans="1:13" x14ac:dyDescent="0.25">
      <c r="A47" t="s">
        <v>233</v>
      </c>
      <c r="B47" t="s">
        <v>234</v>
      </c>
      <c r="C47" t="s">
        <v>235</v>
      </c>
      <c r="D47" t="s">
        <v>99</v>
      </c>
      <c r="E47" s="2">
        <v>43673</v>
      </c>
      <c r="F47">
        <v>5000000</v>
      </c>
      <c r="G47" s="2">
        <v>44022</v>
      </c>
      <c r="H47">
        <v>2020</v>
      </c>
      <c r="I47">
        <v>16645.740000000009</v>
      </c>
      <c r="J47">
        <v>106174.71</v>
      </c>
      <c r="K47">
        <v>0</v>
      </c>
      <c r="L47">
        <v>122820.45</v>
      </c>
      <c r="M47" t="s">
        <v>236</v>
      </c>
    </row>
    <row r="48" spans="1:13" x14ac:dyDescent="0.25">
      <c r="A48" t="s">
        <v>237</v>
      </c>
      <c r="B48" t="s">
        <v>238</v>
      </c>
      <c r="C48" t="s">
        <v>239</v>
      </c>
      <c r="D48" t="s">
        <v>99</v>
      </c>
      <c r="E48" s="2">
        <v>43889</v>
      </c>
      <c r="F48">
        <v>3000000</v>
      </c>
      <c r="G48" s="2">
        <v>44043</v>
      </c>
      <c r="H48">
        <v>2020</v>
      </c>
      <c r="I48">
        <v>160424.83999999971</v>
      </c>
      <c r="J48">
        <v>564856.87</v>
      </c>
      <c r="K48">
        <v>0</v>
      </c>
      <c r="L48">
        <v>725281.71</v>
      </c>
      <c r="M48" t="s">
        <v>159</v>
      </c>
    </row>
    <row r="49" spans="1:13" x14ac:dyDescent="0.25">
      <c r="A49" t="s">
        <v>240</v>
      </c>
      <c r="B49" t="s">
        <v>241</v>
      </c>
      <c r="C49" t="s">
        <v>242</v>
      </c>
      <c r="D49" t="s">
        <v>99</v>
      </c>
      <c r="E49" s="2">
        <v>43980</v>
      </c>
      <c r="F49">
        <v>1000000</v>
      </c>
      <c r="G49" s="2">
        <v>44001</v>
      </c>
      <c r="H49">
        <v>2020</v>
      </c>
      <c r="I49">
        <v>23811.040000000019</v>
      </c>
      <c r="J49">
        <v>81328.38</v>
      </c>
      <c r="K49">
        <v>0</v>
      </c>
      <c r="L49">
        <v>105139.42</v>
      </c>
      <c r="M49" t="s">
        <v>126</v>
      </c>
    </row>
    <row r="50" spans="1:13" x14ac:dyDescent="0.25">
      <c r="A50" t="s">
        <v>243</v>
      </c>
      <c r="B50" t="s">
        <v>244</v>
      </c>
      <c r="C50" t="s">
        <v>245</v>
      </c>
      <c r="D50" t="s">
        <v>99</v>
      </c>
      <c r="E50" s="2">
        <v>43783</v>
      </c>
      <c r="F50">
        <v>1000000</v>
      </c>
      <c r="G50" s="2">
        <v>44041</v>
      </c>
      <c r="H50">
        <v>2020</v>
      </c>
      <c r="I50">
        <v>14131.250000000029</v>
      </c>
      <c r="J50">
        <v>70714.73</v>
      </c>
      <c r="K50">
        <v>0</v>
      </c>
      <c r="L50">
        <v>84845.98</v>
      </c>
      <c r="M50" t="s">
        <v>246</v>
      </c>
    </row>
    <row r="51" spans="1:13" x14ac:dyDescent="0.25">
      <c r="A51" t="s">
        <v>247</v>
      </c>
      <c r="B51" t="s">
        <v>248</v>
      </c>
      <c r="C51" t="s">
        <v>249</v>
      </c>
      <c r="D51" t="s">
        <v>99</v>
      </c>
      <c r="E51" s="2">
        <v>44026</v>
      </c>
      <c r="F51">
        <v>2000000</v>
      </c>
      <c r="G51" s="2">
        <v>44045</v>
      </c>
      <c r="H51">
        <v>2020</v>
      </c>
      <c r="I51">
        <v>72651.19</v>
      </c>
      <c r="J51">
        <v>344710.49</v>
      </c>
      <c r="K51">
        <v>0</v>
      </c>
      <c r="L51">
        <v>417361.68</v>
      </c>
      <c r="M51" t="s">
        <v>144</v>
      </c>
    </row>
    <row r="52" spans="1:13" x14ac:dyDescent="0.25">
      <c r="A52" t="s">
        <v>250</v>
      </c>
      <c r="B52" t="s">
        <v>251</v>
      </c>
      <c r="C52" t="s">
        <v>252</v>
      </c>
      <c r="D52" t="s">
        <v>99</v>
      </c>
      <c r="E52" s="2">
        <v>43637</v>
      </c>
      <c r="F52">
        <v>2000000</v>
      </c>
      <c r="G52" s="2">
        <v>43997</v>
      </c>
      <c r="H52">
        <v>2020</v>
      </c>
      <c r="I52">
        <v>162576.8600000001</v>
      </c>
      <c r="J52">
        <v>1335374.44</v>
      </c>
      <c r="K52">
        <v>0</v>
      </c>
      <c r="L52">
        <v>1497951.3</v>
      </c>
      <c r="M52" t="s">
        <v>119</v>
      </c>
    </row>
    <row r="53" spans="1:13" x14ac:dyDescent="0.25">
      <c r="A53" t="s">
        <v>253</v>
      </c>
      <c r="B53" t="s">
        <v>254</v>
      </c>
      <c r="C53" t="s">
        <v>255</v>
      </c>
      <c r="D53" t="s">
        <v>99</v>
      </c>
      <c r="E53" s="2">
        <v>43719</v>
      </c>
      <c r="F53">
        <v>10000000</v>
      </c>
      <c r="G53" s="2">
        <v>44072</v>
      </c>
      <c r="H53">
        <v>2020</v>
      </c>
      <c r="I53">
        <v>37805.57</v>
      </c>
      <c r="J53">
        <v>224807.98</v>
      </c>
      <c r="K53">
        <v>0</v>
      </c>
      <c r="L53">
        <v>262613.55</v>
      </c>
      <c r="M53" t="s">
        <v>111</v>
      </c>
    </row>
    <row r="54" spans="1:13" x14ac:dyDescent="0.25">
      <c r="A54" t="s">
        <v>256</v>
      </c>
      <c r="B54" t="s">
        <v>257</v>
      </c>
      <c r="C54" t="s">
        <v>258</v>
      </c>
      <c r="D54" t="s">
        <v>99</v>
      </c>
      <c r="E54" s="2">
        <v>43805</v>
      </c>
      <c r="F54">
        <v>5000000</v>
      </c>
      <c r="G54" s="2">
        <v>43996</v>
      </c>
      <c r="H54">
        <v>2020</v>
      </c>
      <c r="I54">
        <v>106764.73</v>
      </c>
      <c r="J54">
        <v>376866.45</v>
      </c>
      <c r="K54">
        <v>0</v>
      </c>
      <c r="L54">
        <v>483631.18</v>
      </c>
      <c r="M54" t="s">
        <v>152</v>
      </c>
    </row>
    <row r="55" spans="1:13" x14ac:dyDescent="0.25">
      <c r="A55" t="s">
        <v>259</v>
      </c>
      <c r="B55" t="s">
        <v>260</v>
      </c>
      <c r="C55" t="s">
        <v>261</v>
      </c>
      <c r="D55" t="s">
        <v>99</v>
      </c>
      <c r="E55" s="2">
        <v>44003</v>
      </c>
      <c r="F55">
        <v>3000000</v>
      </c>
      <c r="G55" s="2">
        <v>44070</v>
      </c>
      <c r="H55">
        <v>2020</v>
      </c>
      <c r="I55">
        <v>12974.509999999998</v>
      </c>
      <c r="J55">
        <v>64179.28</v>
      </c>
      <c r="K55">
        <v>0</v>
      </c>
      <c r="L55">
        <v>77153.789999999994</v>
      </c>
      <c r="M55" t="s">
        <v>134</v>
      </c>
    </row>
    <row r="56" spans="1:13" x14ac:dyDescent="0.25">
      <c r="A56" t="s">
        <v>262</v>
      </c>
      <c r="B56" t="s">
        <v>263</v>
      </c>
      <c r="C56" t="s">
        <v>264</v>
      </c>
      <c r="D56" t="s">
        <v>99</v>
      </c>
      <c r="E56" s="2">
        <v>43767</v>
      </c>
      <c r="F56">
        <v>5000000</v>
      </c>
      <c r="G56" s="2">
        <v>44071</v>
      </c>
      <c r="H56">
        <v>2020</v>
      </c>
      <c r="I56">
        <v>170900.93999999971</v>
      </c>
      <c r="J56">
        <v>634226.39</v>
      </c>
      <c r="K56">
        <v>0</v>
      </c>
      <c r="L56">
        <v>805127.33</v>
      </c>
      <c r="M56" t="s">
        <v>159</v>
      </c>
    </row>
    <row r="57" spans="1:13" x14ac:dyDescent="0.25">
      <c r="A57" t="s">
        <v>265</v>
      </c>
      <c r="B57" t="s">
        <v>266</v>
      </c>
      <c r="C57" t="s">
        <v>267</v>
      </c>
      <c r="D57" t="s">
        <v>99</v>
      </c>
      <c r="E57" s="2">
        <v>43936</v>
      </c>
      <c r="F57">
        <v>4000000</v>
      </c>
      <c r="G57" s="2">
        <v>44070</v>
      </c>
      <c r="H57">
        <v>2020</v>
      </c>
      <c r="I57">
        <v>42309.54</v>
      </c>
      <c r="J57">
        <v>245788.57</v>
      </c>
      <c r="K57">
        <v>0</v>
      </c>
      <c r="L57">
        <v>288098.11</v>
      </c>
      <c r="M57" t="s">
        <v>210</v>
      </c>
    </row>
    <row r="58" spans="1:13" x14ac:dyDescent="0.25">
      <c r="A58" t="s">
        <v>268</v>
      </c>
      <c r="B58" t="s">
        <v>269</v>
      </c>
      <c r="C58" t="s">
        <v>270</v>
      </c>
      <c r="D58" t="s">
        <v>99</v>
      </c>
      <c r="E58" s="2">
        <v>44067</v>
      </c>
      <c r="F58">
        <v>1000000</v>
      </c>
      <c r="G58" s="2">
        <v>44080</v>
      </c>
      <c r="H58">
        <v>2020</v>
      </c>
      <c r="I58">
        <v>17466.75000000004</v>
      </c>
      <c r="J58">
        <v>118903.83</v>
      </c>
      <c r="K58">
        <v>0</v>
      </c>
      <c r="L58">
        <v>136370.57999999999</v>
      </c>
      <c r="M58" t="s">
        <v>104</v>
      </c>
    </row>
    <row r="59" spans="1:13" x14ac:dyDescent="0.25">
      <c r="A59" t="s">
        <v>271</v>
      </c>
      <c r="B59" t="s">
        <v>272</v>
      </c>
      <c r="C59" t="s">
        <v>273</v>
      </c>
      <c r="D59" t="s">
        <v>99</v>
      </c>
      <c r="E59" s="2">
        <v>43910</v>
      </c>
      <c r="F59">
        <v>1000000</v>
      </c>
      <c r="G59" s="2">
        <v>44084</v>
      </c>
      <c r="H59">
        <v>2020</v>
      </c>
      <c r="I59">
        <v>8968.4700000000012</v>
      </c>
      <c r="J59">
        <v>60172.26</v>
      </c>
      <c r="K59">
        <v>0</v>
      </c>
      <c r="L59">
        <v>69140.73</v>
      </c>
      <c r="M59" t="s">
        <v>200</v>
      </c>
    </row>
    <row r="60" spans="1:13" x14ac:dyDescent="0.25">
      <c r="A60" t="s">
        <v>274</v>
      </c>
      <c r="B60" t="s">
        <v>275</v>
      </c>
      <c r="C60" t="s">
        <v>276</v>
      </c>
      <c r="D60" t="s">
        <v>99</v>
      </c>
      <c r="E60" s="2">
        <v>43923</v>
      </c>
      <c r="F60">
        <v>5000000</v>
      </c>
      <c r="G60" s="2">
        <v>44008</v>
      </c>
      <c r="H60">
        <v>2020</v>
      </c>
      <c r="I60">
        <v>11438.74</v>
      </c>
      <c r="J60">
        <v>62205.56</v>
      </c>
      <c r="K60">
        <v>0</v>
      </c>
      <c r="L60">
        <v>73644.3</v>
      </c>
      <c r="M60" t="s">
        <v>200</v>
      </c>
    </row>
    <row r="61" spans="1:13" x14ac:dyDescent="0.25">
      <c r="A61" t="s">
        <v>277</v>
      </c>
      <c r="B61" t="s">
        <v>278</v>
      </c>
      <c r="C61" t="s">
        <v>279</v>
      </c>
      <c r="D61" t="s">
        <v>99</v>
      </c>
      <c r="E61" s="2">
        <v>44084</v>
      </c>
      <c r="F61">
        <v>2000000</v>
      </c>
      <c r="G61" s="2">
        <v>44109</v>
      </c>
      <c r="H61">
        <v>2020</v>
      </c>
      <c r="I61">
        <v>15399.679999999969</v>
      </c>
      <c r="J61">
        <v>133893.93</v>
      </c>
      <c r="K61">
        <v>0</v>
      </c>
      <c r="L61">
        <v>149293.60999999999</v>
      </c>
      <c r="M61" t="s">
        <v>193</v>
      </c>
    </row>
    <row r="62" spans="1:13" x14ac:dyDescent="0.25">
      <c r="A62" t="s">
        <v>280</v>
      </c>
      <c r="B62" t="s">
        <v>281</v>
      </c>
      <c r="C62" t="s">
        <v>282</v>
      </c>
      <c r="D62" t="s">
        <v>99</v>
      </c>
      <c r="E62" s="2">
        <v>43887</v>
      </c>
      <c r="F62">
        <v>3000000</v>
      </c>
      <c r="G62" s="2">
        <v>44110</v>
      </c>
      <c r="H62">
        <v>2020</v>
      </c>
      <c r="I62">
        <v>12582.43</v>
      </c>
      <c r="J62">
        <v>54755.09</v>
      </c>
      <c r="K62">
        <v>0</v>
      </c>
      <c r="L62">
        <v>67337.52</v>
      </c>
      <c r="M62" t="s">
        <v>283</v>
      </c>
    </row>
    <row r="63" spans="1:13" x14ac:dyDescent="0.25">
      <c r="A63" t="s">
        <v>284</v>
      </c>
      <c r="B63" t="s">
        <v>285</v>
      </c>
      <c r="C63" t="s">
        <v>286</v>
      </c>
      <c r="D63" t="s">
        <v>99</v>
      </c>
      <c r="E63" s="2">
        <v>43799</v>
      </c>
      <c r="F63">
        <v>1000000</v>
      </c>
      <c r="G63" s="2">
        <v>44118</v>
      </c>
      <c r="H63">
        <v>2020</v>
      </c>
      <c r="I63">
        <v>41656.800000000003</v>
      </c>
      <c r="J63">
        <v>334920.93</v>
      </c>
      <c r="K63">
        <v>0</v>
      </c>
      <c r="L63">
        <v>376577.73</v>
      </c>
      <c r="M63" t="s">
        <v>144</v>
      </c>
    </row>
    <row r="64" spans="1:13" x14ac:dyDescent="0.25">
      <c r="A64" t="s">
        <v>287</v>
      </c>
      <c r="B64" t="s">
        <v>288</v>
      </c>
      <c r="C64" t="s">
        <v>289</v>
      </c>
      <c r="D64" t="s">
        <v>99</v>
      </c>
      <c r="E64" s="2">
        <v>43961</v>
      </c>
      <c r="F64">
        <v>5000000</v>
      </c>
      <c r="G64" s="2">
        <v>44119</v>
      </c>
      <c r="H64">
        <v>2020</v>
      </c>
      <c r="I64">
        <v>57267.56</v>
      </c>
      <c r="J64">
        <v>217673.96</v>
      </c>
      <c r="K64">
        <v>0</v>
      </c>
      <c r="L64">
        <v>274941.52</v>
      </c>
      <c r="M64" t="s">
        <v>111</v>
      </c>
    </row>
    <row r="65" spans="1:13" x14ac:dyDescent="0.25">
      <c r="A65" t="s">
        <v>290</v>
      </c>
      <c r="B65" t="s">
        <v>291</v>
      </c>
      <c r="C65" t="s">
        <v>292</v>
      </c>
      <c r="D65" t="s">
        <v>99</v>
      </c>
      <c r="E65" s="2">
        <v>43938</v>
      </c>
      <c r="F65">
        <v>2000000</v>
      </c>
      <c r="G65" s="2">
        <v>44134</v>
      </c>
      <c r="H65">
        <v>2020</v>
      </c>
      <c r="I65">
        <v>77535.489999999991</v>
      </c>
      <c r="J65">
        <v>472408.19</v>
      </c>
      <c r="K65">
        <v>0</v>
      </c>
      <c r="L65">
        <v>549943.68000000005</v>
      </c>
      <c r="M65" t="s">
        <v>163</v>
      </c>
    </row>
    <row r="66" spans="1:13" x14ac:dyDescent="0.25">
      <c r="A66" t="s">
        <v>293</v>
      </c>
      <c r="B66" t="s">
        <v>294</v>
      </c>
      <c r="C66" t="s">
        <v>295</v>
      </c>
      <c r="D66" t="s">
        <v>99</v>
      </c>
      <c r="E66" s="2">
        <v>43762</v>
      </c>
      <c r="F66">
        <v>3000000</v>
      </c>
      <c r="G66" s="2">
        <v>44124</v>
      </c>
      <c r="H66">
        <v>2020</v>
      </c>
      <c r="I66">
        <v>38349.44999999999</v>
      </c>
      <c r="J66">
        <v>144567.26</v>
      </c>
      <c r="K66">
        <v>0</v>
      </c>
      <c r="L66">
        <v>182916.71</v>
      </c>
      <c r="M66" t="s">
        <v>115</v>
      </c>
    </row>
    <row r="67" spans="1:13" x14ac:dyDescent="0.25">
      <c r="A67" t="s">
        <v>296</v>
      </c>
      <c r="B67" t="s">
        <v>297</v>
      </c>
      <c r="C67" t="s">
        <v>298</v>
      </c>
      <c r="D67" t="s">
        <v>99</v>
      </c>
      <c r="E67" s="2">
        <v>43949</v>
      </c>
      <c r="F67">
        <v>2000000</v>
      </c>
      <c r="G67" s="2">
        <v>44128</v>
      </c>
      <c r="H67">
        <v>2020</v>
      </c>
      <c r="I67">
        <v>50825.700000000004</v>
      </c>
      <c r="J67">
        <v>373706.12</v>
      </c>
      <c r="K67">
        <v>0</v>
      </c>
      <c r="L67">
        <v>424531.82</v>
      </c>
      <c r="M67" t="s">
        <v>152</v>
      </c>
    </row>
    <row r="68" spans="1:13" x14ac:dyDescent="0.25">
      <c r="A68" t="s">
        <v>299</v>
      </c>
      <c r="B68" t="s">
        <v>300</v>
      </c>
      <c r="C68" t="s">
        <v>301</v>
      </c>
      <c r="D68" t="s">
        <v>99</v>
      </c>
      <c r="E68" s="2">
        <v>44032</v>
      </c>
      <c r="F68">
        <v>10000000</v>
      </c>
      <c r="G68" s="2">
        <v>44139</v>
      </c>
      <c r="H68">
        <v>2020</v>
      </c>
      <c r="I68">
        <v>58484.79</v>
      </c>
      <c r="J68">
        <v>564612.76</v>
      </c>
      <c r="K68">
        <v>0</v>
      </c>
      <c r="L68">
        <v>623097.55000000005</v>
      </c>
      <c r="M68" t="s">
        <v>159</v>
      </c>
    </row>
    <row r="69" spans="1:13" x14ac:dyDescent="0.25">
      <c r="A69" t="s">
        <v>302</v>
      </c>
      <c r="B69" t="s">
        <v>303</v>
      </c>
      <c r="C69" t="s">
        <v>304</v>
      </c>
      <c r="D69" t="s">
        <v>99</v>
      </c>
      <c r="E69" s="2">
        <v>43897</v>
      </c>
      <c r="F69">
        <v>2000000</v>
      </c>
      <c r="G69" s="2">
        <v>44158</v>
      </c>
      <c r="H69">
        <v>2020</v>
      </c>
      <c r="I69">
        <v>8368.2000000000007</v>
      </c>
      <c r="J69">
        <v>55845.99</v>
      </c>
      <c r="K69">
        <v>0</v>
      </c>
      <c r="L69">
        <v>64214.19</v>
      </c>
      <c r="M69" t="s">
        <v>182</v>
      </c>
    </row>
    <row r="70" spans="1:13" x14ac:dyDescent="0.25">
      <c r="A70" t="s">
        <v>305</v>
      </c>
      <c r="B70" t="s">
        <v>306</v>
      </c>
      <c r="C70" t="s">
        <v>307</v>
      </c>
      <c r="D70" t="s">
        <v>99</v>
      </c>
      <c r="E70" s="2">
        <v>43915</v>
      </c>
      <c r="F70">
        <v>5000000</v>
      </c>
      <c r="G70" s="2">
        <v>44154</v>
      </c>
      <c r="H70">
        <v>2020</v>
      </c>
      <c r="I70">
        <v>7582.3600000000006</v>
      </c>
      <c r="J70">
        <v>69303.429999999993</v>
      </c>
      <c r="K70">
        <v>0</v>
      </c>
      <c r="L70">
        <v>76885.789999999994</v>
      </c>
      <c r="M70" t="s">
        <v>134</v>
      </c>
    </row>
    <row r="71" spans="1:13" x14ac:dyDescent="0.25">
      <c r="A71" t="s">
        <v>308</v>
      </c>
      <c r="B71" t="s">
        <v>309</v>
      </c>
      <c r="C71" t="s">
        <v>310</v>
      </c>
      <c r="D71" t="s">
        <v>99</v>
      </c>
      <c r="E71" s="2">
        <v>43979</v>
      </c>
      <c r="F71">
        <v>3000000</v>
      </c>
      <c r="G71" s="2">
        <v>44174</v>
      </c>
      <c r="H71">
        <v>2020</v>
      </c>
      <c r="I71">
        <v>21050.580000000042</v>
      </c>
      <c r="J71">
        <v>98059.49</v>
      </c>
      <c r="K71">
        <v>0</v>
      </c>
      <c r="L71">
        <v>119110.07</v>
      </c>
      <c r="M71" t="s">
        <v>170</v>
      </c>
    </row>
    <row r="72" spans="1:13" x14ac:dyDescent="0.25">
      <c r="A72" t="s">
        <v>311</v>
      </c>
      <c r="B72" t="s">
        <v>312</v>
      </c>
      <c r="C72" t="s">
        <v>313</v>
      </c>
      <c r="D72" t="s">
        <v>99</v>
      </c>
      <c r="E72" s="2">
        <v>44092</v>
      </c>
      <c r="F72">
        <v>1000000</v>
      </c>
      <c r="G72" s="2">
        <v>44163</v>
      </c>
      <c r="H72">
        <v>2020</v>
      </c>
      <c r="I72">
        <v>13111.76</v>
      </c>
      <c r="J72">
        <v>50923.71</v>
      </c>
      <c r="K72">
        <v>0</v>
      </c>
      <c r="L72">
        <v>64035.47</v>
      </c>
      <c r="M72" t="s">
        <v>314</v>
      </c>
    </row>
    <row r="73" spans="1:13" x14ac:dyDescent="0.25">
      <c r="A73" t="s">
        <v>315</v>
      </c>
      <c r="B73" t="s">
        <v>316</v>
      </c>
      <c r="C73" t="s">
        <v>317</v>
      </c>
      <c r="D73" t="s">
        <v>99</v>
      </c>
      <c r="E73" s="2">
        <v>44079</v>
      </c>
      <c r="F73">
        <v>5000000</v>
      </c>
      <c r="G73" s="2">
        <v>44136</v>
      </c>
      <c r="H73">
        <v>2020</v>
      </c>
      <c r="I73">
        <v>86320.709999999992</v>
      </c>
      <c r="J73">
        <v>383112.86</v>
      </c>
      <c r="K73">
        <v>0</v>
      </c>
      <c r="L73">
        <v>469433.57</v>
      </c>
      <c r="M73" t="s">
        <v>152</v>
      </c>
    </row>
    <row r="74" spans="1:13" x14ac:dyDescent="0.25">
      <c r="A74" t="s">
        <v>318</v>
      </c>
      <c r="B74" t="s">
        <v>319</v>
      </c>
      <c r="C74" t="s">
        <v>320</v>
      </c>
      <c r="D74" t="s">
        <v>99</v>
      </c>
      <c r="E74" s="2">
        <v>44120</v>
      </c>
      <c r="F74">
        <v>5000000</v>
      </c>
      <c r="G74" s="2">
        <v>44163</v>
      </c>
      <c r="H74">
        <v>2020</v>
      </c>
      <c r="I74">
        <v>16166.50000000002</v>
      </c>
      <c r="J74">
        <v>65998.55</v>
      </c>
      <c r="K74">
        <v>0</v>
      </c>
      <c r="L74">
        <v>82165.05</v>
      </c>
      <c r="M74" t="s">
        <v>134</v>
      </c>
    </row>
    <row r="75" spans="1:13" x14ac:dyDescent="0.25">
      <c r="A75" t="s">
        <v>321</v>
      </c>
      <c r="B75" t="s">
        <v>322</v>
      </c>
      <c r="C75" t="s">
        <v>323</v>
      </c>
      <c r="D75" t="s">
        <v>99</v>
      </c>
      <c r="E75" s="2">
        <v>43798</v>
      </c>
      <c r="F75">
        <v>2000000</v>
      </c>
      <c r="G75" s="2">
        <v>44148</v>
      </c>
      <c r="H75">
        <v>2020</v>
      </c>
      <c r="I75">
        <v>87697.65</v>
      </c>
      <c r="J75">
        <v>333500.73</v>
      </c>
      <c r="K75">
        <v>0</v>
      </c>
      <c r="L75">
        <v>421198.38</v>
      </c>
      <c r="M75" t="s">
        <v>144</v>
      </c>
    </row>
    <row r="76" spans="1:13" x14ac:dyDescent="0.25">
      <c r="A76" t="s">
        <v>324</v>
      </c>
      <c r="B76" t="s">
        <v>325</v>
      </c>
      <c r="C76" t="s">
        <v>326</v>
      </c>
      <c r="D76" t="s">
        <v>99</v>
      </c>
      <c r="E76" s="2">
        <v>43815</v>
      </c>
      <c r="F76">
        <v>3000000</v>
      </c>
      <c r="G76" s="2">
        <v>44146</v>
      </c>
      <c r="H76">
        <v>2020</v>
      </c>
      <c r="I76">
        <v>107691.02</v>
      </c>
      <c r="J76">
        <v>662759.96</v>
      </c>
      <c r="K76">
        <v>0</v>
      </c>
      <c r="L76">
        <v>770450.98</v>
      </c>
      <c r="M76" t="s">
        <v>186</v>
      </c>
    </row>
    <row r="77" spans="1:13" x14ac:dyDescent="0.25">
      <c r="A77" t="s">
        <v>327</v>
      </c>
      <c r="B77" t="s">
        <v>328</v>
      </c>
      <c r="C77" t="s">
        <v>329</v>
      </c>
      <c r="D77" t="s">
        <v>99</v>
      </c>
      <c r="E77" s="2">
        <v>43784</v>
      </c>
      <c r="F77">
        <v>4000000</v>
      </c>
      <c r="G77" s="2">
        <v>44147</v>
      </c>
      <c r="H77">
        <v>2020</v>
      </c>
      <c r="I77">
        <v>38143.22</v>
      </c>
      <c r="J77">
        <v>239543.81</v>
      </c>
      <c r="K77">
        <v>0</v>
      </c>
      <c r="L77">
        <v>277687.03000000003</v>
      </c>
      <c r="M77" t="s">
        <v>210</v>
      </c>
    </row>
    <row r="78" spans="1:13" x14ac:dyDescent="0.25">
      <c r="A78" t="s">
        <v>330</v>
      </c>
      <c r="B78" t="s">
        <v>331</v>
      </c>
      <c r="C78" t="s">
        <v>332</v>
      </c>
      <c r="D78" t="s">
        <v>99</v>
      </c>
      <c r="E78" s="2">
        <v>43790</v>
      </c>
      <c r="F78">
        <v>3000000</v>
      </c>
      <c r="G78" s="2">
        <v>44146</v>
      </c>
      <c r="H78">
        <v>2020</v>
      </c>
      <c r="I78">
        <v>78340.44</v>
      </c>
      <c r="J78">
        <v>264897.84000000003</v>
      </c>
      <c r="K78">
        <v>0</v>
      </c>
      <c r="L78">
        <v>343238.28</v>
      </c>
      <c r="M78" t="s">
        <v>130</v>
      </c>
    </row>
    <row r="79" spans="1:13" x14ac:dyDescent="0.25">
      <c r="A79" t="s">
        <v>333</v>
      </c>
      <c r="B79" t="s">
        <v>334</v>
      </c>
      <c r="C79" t="s">
        <v>335</v>
      </c>
      <c r="D79" t="s">
        <v>99</v>
      </c>
      <c r="E79" s="2">
        <v>43844</v>
      </c>
      <c r="F79">
        <v>5000000</v>
      </c>
      <c r="G79" s="2">
        <v>44196</v>
      </c>
      <c r="H79">
        <v>2020</v>
      </c>
      <c r="I79">
        <v>15152.98000000002</v>
      </c>
      <c r="J79">
        <v>115661.66</v>
      </c>
      <c r="K79">
        <v>0</v>
      </c>
      <c r="L79">
        <v>130814.64</v>
      </c>
      <c r="M79" t="s">
        <v>104</v>
      </c>
    </row>
    <row r="80" spans="1:13" x14ac:dyDescent="0.25">
      <c r="A80" t="s">
        <v>336</v>
      </c>
      <c r="B80" t="s">
        <v>337</v>
      </c>
      <c r="C80" t="s">
        <v>338</v>
      </c>
      <c r="D80" t="s">
        <v>99</v>
      </c>
      <c r="E80" s="2">
        <v>43941</v>
      </c>
      <c r="F80">
        <v>10000000</v>
      </c>
      <c r="G80" s="2">
        <v>44190</v>
      </c>
      <c r="H80">
        <v>2020</v>
      </c>
      <c r="I80">
        <v>433801.62</v>
      </c>
      <c r="J80">
        <v>1502843.2</v>
      </c>
      <c r="K80">
        <v>0</v>
      </c>
      <c r="L80">
        <v>1936644.82</v>
      </c>
      <c r="M80" t="s">
        <v>119</v>
      </c>
    </row>
    <row r="81" spans="1:13" x14ac:dyDescent="0.25">
      <c r="A81" t="s">
        <v>339</v>
      </c>
      <c r="B81" t="s">
        <v>340</v>
      </c>
      <c r="C81" t="s">
        <v>341</v>
      </c>
      <c r="D81" t="s">
        <v>99</v>
      </c>
      <c r="E81" s="2">
        <v>44004</v>
      </c>
      <c r="F81">
        <v>10000000</v>
      </c>
      <c r="G81" s="2">
        <v>44191</v>
      </c>
      <c r="H81">
        <v>2020</v>
      </c>
      <c r="I81">
        <v>182893.7100000004</v>
      </c>
      <c r="J81">
        <v>646811.43999999994</v>
      </c>
      <c r="K81">
        <v>0</v>
      </c>
      <c r="L81">
        <v>829705.15</v>
      </c>
      <c r="M81" t="s">
        <v>159</v>
      </c>
    </row>
    <row r="82" spans="1:13" x14ac:dyDescent="0.25">
      <c r="A82" t="s">
        <v>342</v>
      </c>
      <c r="B82" t="s">
        <v>343</v>
      </c>
      <c r="C82" t="s">
        <v>344</v>
      </c>
      <c r="D82" t="s">
        <v>99</v>
      </c>
      <c r="E82" s="2">
        <v>43893</v>
      </c>
      <c r="F82">
        <v>5000000</v>
      </c>
      <c r="G82" s="2">
        <v>43998</v>
      </c>
      <c r="H82">
        <v>2020</v>
      </c>
      <c r="I82">
        <v>59121.86</v>
      </c>
      <c r="J82">
        <v>204907.54</v>
      </c>
      <c r="K82">
        <v>0</v>
      </c>
      <c r="L82">
        <v>264029.40000000002</v>
      </c>
      <c r="M82" t="s">
        <v>111</v>
      </c>
    </row>
    <row r="83" spans="1:13" x14ac:dyDescent="0.25">
      <c r="A83" t="s">
        <v>345</v>
      </c>
      <c r="B83" t="s">
        <v>346</v>
      </c>
      <c r="C83" t="s">
        <v>347</v>
      </c>
      <c r="D83" t="s">
        <v>99</v>
      </c>
      <c r="E83" s="2">
        <v>43928</v>
      </c>
      <c r="F83">
        <v>5000000</v>
      </c>
      <c r="G83" s="2">
        <v>44196</v>
      </c>
      <c r="H83">
        <v>2020</v>
      </c>
      <c r="I83">
        <v>209918.52000000002</v>
      </c>
      <c r="J83">
        <v>767353.4</v>
      </c>
      <c r="K83">
        <v>0</v>
      </c>
      <c r="L83">
        <v>977271.92</v>
      </c>
      <c r="M83" t="s">
        <v>186</v>
      </c>
    </row>
    <row r="84" spans="1:13" x14ac:dyDescent="0.25">
      <c r="A84" t="s">
        <v>348</v>
      </c>
      <c r="B84" t="s">
        <v>349</v>
      </c>
      <c r="C84" t="s">
        <v>350</v>
      </c>
      <c r="D84" t="s">
        <v>99</v>
      </c>
      <c r="E84" s="2">
        <v>43959</v>
      </c>
      <c r="F84">
        <v>2000000</v>
      </c>
      <c r="G84" s="2">
        <v>44197</v>
      </c>
      <c r="H84">
        <v>2021</v>
      </c>
      <c r="I84">
        <v>27949.69</v>
      </c>
      <c r="J84">
        <v>96826.63</v>
      </c>
      <c r="K84">
        <v>0</v>
      </c>
      <c r="L84">
        <v>124776.32000000001</v>
      </c>
      <c r="M84" t="s">
        <v>174</v>
      </c>
    </row>
    <row r="85" spans="1:13" x14ac:dyDescent="0.25">
      <c r="A85" t="s">
        <v>351</v>
      </c>
      <c r="B85" t="s">
        <v>352</v>
      </c>
      <c r="C85" t="s">
        <v>353</v>
      </c>
      <c r="D85" t="s">
        <v>99</v>
      </c>
      <c r="E85" s="2">
        <v>44108</v>
      </c>
      <c r="F85">
        <v>2000000</v>
      </c>
      <c r="G85" s="2">
        <v>44135</v>
      </c>
      <c r="H85">
        <v>2020</v>
      </c>
      <c r="I85">
        <v>27731.42</v>
      </c>
      <c r="J85">
        <v>181298.37</v>
      </c>
      <c r="K85">
        <v>0</v>
      </c>
      <c r="L85">
        <v>209029.79</v>
      </c>
      <c r="M85" t="s">
        <v>178</v>
      </c>
    </row>
    <row r="86" spans="1:13" x14ac:dyDescent="0.25">
      <c r="A86" t="s">
        <v>354</v>
      </c>
      <c r="B86" t="s">
        <v>355</v>
      </c>
      <c r="C86" t="s">
        <v>356</v>
      </c>
      <c r="D86" t="s">
        <v>99</v>
      </c>
      <c r="E86" s="2">
        <v>44169</v>
      </c>
      <c r="F86">
        <v>5000000</v>
      </c>
      <c r="G86" s="2">
        <v>44215</v>
      </c>
      <c r="H86">
        <v>2021</v>
      </c>
      <c r="I86">
        <v>28723.119999999988</v>
      </c>
      <c r="J86">
        <v>132643.62</v>
      </c>
      <c r="K86">
        <v>0</v>
      </c>
      <c r="L86">
        <v>161366.74</v>
      </c>
      <c r="M86" t="s">
        <v>193</v>
      </c>
    </row>
    <row r="87" spans="1:13" x14ac:dyDescent="0.25">
      <c r="A87" t="s">
        <v>357</v>
      </c>
      <c r="B87" t="s">
        <v>358</v>
      </c>
      <c r="C87" t="s">
        <v>359</v>
      </c>
      <c r="D87" t="s">
        <v>99</v>
      </c>
      <c r="E87" s="2">
        <v>43950</v>
      </c>
      <c r="F87">
        <v>1000000</v>
      </c>
      <c r="G87" s="2">
        <v>44196</v>
      </c>
      <c r="H87">
        <v>2020</v>
      </c>
      <c r="I87">
        <v>12049.09</v>
      </c>
      <c r="J87">
        <v>52961.2</v>
      </c>
      <c r="K87">
        <v>0</v>
      </c>
      <c r="L87">
        <v>65010.29</v>
      </c>
      <c r="M87" t="s">
        <v>283</v>
      </c>
    </row>
    <row r="88" spans="1:13" x14ac:dyDescent="0.25">
      <c r="A88" t="s">
        <v>360</v>
      </c>
      <c r="B88" t="s">
        <v>361</v>
      </c>
      <c r="C88" t="s">
        <v>362</v>
      </c>
      <c r="D88" t="s">
        <v>99</v>
      </c>
      <c r="E88" s="2">
        <v>44181</v>
      </c>
      <c r="F88">
        <v>2000000</v>
      </c>
      <c r="G88" s="2">
        <v>44197</v>
      </c>
      <c r="H88">
        <v>2021</v>
      </c>
      <c r="I88">
        <v>6819.88</v>
      </c>
      <c r="J88">
        <v>60205.599999999999</v>
      </c>
      <c r="K88">
        <v>0</v>
      </c>
      <c r="L88">
        <v>67025.48</v>
      </c>
      <c r="M88" t="s">
        <v>200</v>
      </c>
    </row>
    <row r="89" spans="1:13" x14ac:dyDescent="0.25">
      <c r="A89" t="s">
        <v>363</v>
      </c>
      <c r="B89" t="s">
        <v>364</v>
      </c>
      <c r="C89" t="s">
        <v>365</v>
      </c>
      <c r="D89" t="s">
        <v>99</v>
      </c>
      <c r="E89" s="2">
        <v>43974</v>
      </c>
      <c r="F89">
        <v>1000000</v>
      </c>
      <c r="G89" s="2">
        <v>44196</v>
      </c>
      <c r="H89">
        <v>2020</v>
      </c>
      <c r="I89">
        <v>39876.80000000001</v>
      </c>
      <c r="J89">
        <v>133805.32999999999</v>
      </c>
      <c r="K89">
        <v>0</v>
      </c>
      <c r="L89">
        <v>173682.13</v>
      </c>
      <c r="M89" t="s">
        <v>193</v>
      </c>
    </row>
    <row r="90" spans="1:13" x14ac:dyDescent="0.25">
      <c r="A90" t="s">
        <v>366</v>
      </c>
      <c r="B90" t="s">
        <v>367</v>
      </c>
      <c r="C90" t="s">
        <v>368</v>
      </c>
      <c r="D90" t="s">
        <v>99</v>
      </c>
      <c r="E90" s="2">
        <v>44151</v>
      </c>
      <c r="F90">
        <v>1000000</v>
      </c>
      <c r="G90" s="2">
        <v>44190</v>
      </c>
      <c r="H90">
        <v>2020</v>
      </c>
      <c r="I90">
        <v>31070.420000000031</v>
      </c>
      <c r="J90">
        <v>104563.43</v>
      </c>
      <c r="K90">
        <v>0</v>
      </c>
      <c r="L90">
        <v>135633.85</v>
      </c>
      <c r="M90" t="s">
        <v>236</v>
      </c>
    </row>
    <row r="91" spans="1:13" x14ac:dyDescent="0.25">
      <c r="A91" t="s">
        <v>369</v>
      </c>
      <c r="B91" t="s">
        <v>370</v>
      </c>
      <c r="C91" t="s">
        <v>371</v>
      </c>
      <c r="D91" t="s">
        <v>99</v>
      </c>
      <c r="E91" s="2">
        <v>44141</v>
      </c>
      <c r="F91">
        <v>1000000</v>
      </c>
      <c r="G91" s="2">
        <v>44156</v>
      </c>
      <c r="H91">
        <v>2020</v>
      </c>
      <c r="I91">
        <v>16285.880000000041</v>
      </c>
      <c r="J91">
        <v>102825.60000000001</v>
      </c>
      <c r="K91">
        <v>0</v>
      </c>
      <c r="L91">
        <v>119111.48</v>
      </c>
      <c r="M91" t="s">
        <v>170</v>
      </c>
    </row>
    <row r="92" spans="1:13" x14ac:dyDescent="0.25">
      <c r="A92" t="s">
        <v>372</v>
      </c>
      <c r="B92" t="s">
        <v>373</v>
      </c>
      <c r="C92" t="s">
        <v>374</v>
      </c>
      <c r="D92" t="s">
        <v>99</v>
      </c>
      <c r="E92" s="2">
        <v>43897</v>
      </c>
      <c r="F92">
        <v>5000000</v>
      </c>
      <c r="G92" s="2">
        <v>44230</v>
      </c>
      <c r="H92">
        <v>2021</v>
      </c>
      <c r="I92">
        <v>847823.64999999991</v>
      </c>
      <c r="J92">
        <v>3517672.92</v>
      </c>
      <c r="K92">
        <v>0</v>
      </c>
      <c r="L92">
        <v>4365496.57</v>
      </c>
      <c r="M92" t="s">
        <v>375</v>
      </c>
    </row>
    <row r="93" spans="1:13" x14ac:dyDescent="0.25">
      <c r="A93" t="s">
        <v>376</v>
      </c>
      <c r="B93" t="s">
        <v>377</v>
      </c>
      <c r="C93" t="s">
        <v>378</v>
      </c>
      <c r="D93" t="s">
        <v>99</v>
      </c>
      <c r="E93" s="2">
        <v>43966</v>
      </c>
      <c r="F93">
        <v>3000000</v>
      </c>
      <c r="G93" s="2">
        <v>44232</v>
      </c>
      <c r="H93">
        <v>2021</v>
      </c>
      <c r="I93">
        <v>44255.99</v>
      </c>
      <c r="J93">
        <v>189125.41</v>
      </c>
      <c r="K93">
        <v>0</v>
      </c>
      <c r="L93">
        <v>233381.4</v>
      </c>
      <c r="M93" t="s">
        <v>178</v>
      </c>
    </row>
    <row r="94" spans="1:13" x14ac:dyDescent="0.25">
      <c r="A94" t="s">
        <v>379</v>
      </c>
      <c r="B94" t="s">
        <v>380</v>
      </c>
      <c r="C94" t="s">
        <v>381</v>
      </c>
      <c r="D94" t="s">
        <v>99</v>
      </c>
      <c r="E94" s="2">
        <v>43886</v>
      </c>
      <c r="F94">
        <v>3000000</v>
      </c>
      <c r="G94" s="2">
        <v>44209</v>
      </c>
      <c r="H94">
        <v>2021</v>
      </c>
      <c r="I94">
        <v>26347.460000000043</v>
      </c>
      <c r="J94">
        <v>124013.68</v>
      </c>
      <c r="K94">
        <v>0</v>
      </c>
      <c r="L94">
        <v>150361.14000000001</v>
      </c>
      <c r="M94" t="s">
        <v>104</v>
      </c>
    </row>
    <row r="95" spans="1:13" x14ac:dyDescent="0.25">
      <c r="A95" t="s">
        <v>382</v>
      </c>
      <c r="B95" t="s">
        <v>380</v>
      </c>
      <c r="C95" t="s">
        <v>381</v>
      </c>
      <c r="D95" t="s">
        <v>99</v>
      </c>
      <c r="E95" s="2">
        <v>43886</v>
      </c>
      <c r="F95">
        <v>3000000</v>
      </c>
      <c r="G95" s="2">
        <v>44193</v>
      </c>
      <c r="H95">
        <v>2020</v>
      </c>
      <c r="I95">
        <v>125611.74</v>
      </c>
      <c r="J95">
        <v>1174094.4099999999</v>
      </c>
      <c r="K95">
        <v>0</v>
      </c>
      <c r="L95">
        <v>1299706.1499999999</v>
      </c>
      <c r="M95" t="s">
        <v>119</v>
      </c>
    </row>
    <row r="96" spans="1:13" x14ac:dyDescent="0.25">
      <c r="A96" t="s">
        <v>383</v>
      </c>
      <c r="B96" t="s">
        <v>384</v>
      </c>
      <c r="C96" t="s">
        <v>385</v>
      </c>
      <c r="D96" t="s">
        <v>99</v>
      </c>
      <c r="E96" s="2">
        <v>43886</v>
      </c>
      <c r="F96">
        <v>3000000</v>
      </c>
      <c r="G96" s="2">
        <v>44245</v>
      </c>
      <c r="H96">
        <v>2021</v>
      </c>
      <c r="I96">
        <v>14859.429999999978</v>
      </c>
      <c r="J96">
        <v>112992.43</v>
      </c>
      <c r="K96">
        <v>0</v>
      </c>
      <c r="L96">
        <v>127851.86</v>
      </c>
      <c r="M96" t="s">
        <v>236</v>
      </c>
    </row>
    <row r="97" spans="1:13" x14ac:dyDescent="0.25">
      <c r="A97" t="s">
        <v>386</v>
      </c>
      <c r="B97" t="s">
        <v>387</v>
      </c>
      <c r="C97" t="s">
        <v>388</v>
      </c>
      <c r="D97" t="s">
        <v>99</v>
      </c>
      <c r="E97" s="2">
        <v>43946</v>
      </c>
      <c r="F97">
        <v>5000000</v>
      </c>
      <c r="G97" s="2">
        <v>44249</v>
      </c>
      <c r="H97">
        <v>2021</v>
      </c>
      <c r="I97">
        <v>9158.65</v>
      </c>
      <c r="J97">
        <v>51237.04</v>
      </c>
      <c r="K97">
        <v>0</v>
      </c>
      <c r="L97">
        <v>60395.69</v>
      </c>
      <c r="M97" t="s">
        <v>314</v>
      </c>
    </row>
    <row r="98" spans="1:13" x14ac:dyDescent="0.25">
      <c r="A98" t="s">
        <v>389</v>
      </c>
      <c r="B98" t="s">
        <v>390</v>
      </c>
      <c r="C98" t="s">
        <v>391</v>
      </c>
      <c r="D98" t="s">
        <v>99</v>
      </c>
      <c r="E98" s="2">
        <v>43614</v>
      </c>
      <c r="F98">
        <v>2000000</v>
      </c>
      <c r="G98" s="2">
        <v>43882</v>
      </c>
      <c r="H98">
        <v>2020</v>
      </c>
      <c r="I98">
        <v>31266.019999999971</v>
      </c>
      <c r="J98">
        <v>111560.52</v>
      </c>
      <c r="K98">
        <v>0</v>
      </c>
      <c r="L98">
        <v>142826.54</v>
      </c>
      <c r="M98" t="s">
        <v>236</v>
      </c>
    </row>
    <row r="99" spans="1:13" x14ac:dyDescent="0.25">
      <c r="A99" t="s">
        <v>392</v>
      </c>
      <c r="B99" t="s">
        <v>393</v>
      </c>
      <c r="C99" t="s">
        <v>394</v>
      </c>
      <c r="D99" t="s">
        <v>99</v>
      </c>
      <c r="E99" s="2">
        <v>44256</v>
      </c>
      <c r="F99">
        <v>1000000</v>
      </c>
      <c r="G99" s="2">
        <v>44258</v>
      </c>
      <c r="H99">
        <v>2021</v>
      </c>
      <c r="I99">
        <v>11294.84</v>
      </c>
      <c r="J99">
        <v>56905.65</v>
      </c>
      <c r="K99">
        <v>0</v>
      </c>
      <c r="L99">
        <v>68200.490000000005</v>
      </c>
      <c r="M99" t="s">
        <v>182</v>
      </c>
    </row>
    <row r="100" spans="1:13" x14ac:dyDescent="0.25">
      <c r="A100" t="s">
        <v>395</v>
      </c>
      <c r="B100" t="s">
        <v>396</v>
      </c>
      <c r="C100" t="s">
        <v>397</v>
      </c>
      <c r="D100" t="s">
        <v>99</v>
      </c>
      <c r="E100" s="2">
        <v>43972</v>
      </c>
      <c r="F100">
        <v>2000000</v>
      </c>
      <c r="G100" s="2">
        <v>44173</v>
      </c>
      <c r="H100">
        <v>2020</v>
      </c>
      <c r="I100">
        <v>24993.549999999952</v>
      </c>
      <c r="J100">
        <v>115266.12</v>
      </c>
      <c r="K100">
        <v>0</v>
      </c>
      <c r="L100">
        <v>140259.67000000001</v>
      </c>
      <c r="M100" t="s">
        <v>104</v>
      </c>
    </row>
    <row r="101" spans="1:13" x14ac:dyDescent="0.25">
      <c r="A101" t="s">
        <v>398</v>
      </c>
      <c r="B101" t="s">
        <v>399</v>
      </c>
      <c r="C101" t="s">
        <v>400</v>
      </c>
      <c r="D101" t="s">
        <v>99</v>
      </c>
      <c r="E101" s="2">
        <v>43974</v>
      </c>
      <c r="F101">
        <v>2000000</v>
      </c>
      <c r="G101" s="2">
        <v>44257</v>
      </c>
      <c r="H101">
        <v>2021</v>
      </c>
      <c r="I101">
        <v>47260.689999999995</v>
      </c>
      <c r="J101">
        <v>469551.58</v>
      </c>
      <c r="K101">
        <v>0</v>
      </c>
      <c r="L101">
        <v>516812.27</v>
      </c>
      <c r="M101" t="s">
        <v>163</v>
      </c>
    </row>
    <row r="102" spans="1:13" x14ac:dyDescent="0.25">
      <c r="A102" t="s">
        <v>401</v>
      </c>
      <c r="B102" t="s">
        <v>402</v>
      </c>
      <c r="C102" t="s">
        <v>403</v>
      </c>
      <c r="D102" t="s">
        <v>99</v>
      </c>
      <c r="E102" s="2">
        <v>43934</v>
      </c>
      <c r="F102">
        <v>5000000</v>
      </c>
      <c r="G102" s="2">
        <v>44254</v>
      </c>
      <c r="H102">
        <v>2021</v>
      </c>
      <c r="I102">
        <v>9979.42</v>
      </c>
      <c r="J102">
        <v>76585.06</v>
      </c>
      <c r="K102">
        <v>0</v>
      </c>
      <c r="L102">
        <v>86564.479999999996</v>
      </c>
      <c r="M102" t="s">
        <v>126</v>
      </c>
    </row>
    <row r="103" spans="1:13" x14ac:dyDescent="0.25">
      <c r="A103" t="s">
        <v>404</v>
      </c>
      <c r="B103" t="s">
        <v>405</v>
      </c>
      <c r="C103" t="s">
        <v>406</v>
      </c>
      <c r="D103" t="s">
        <v>99</v>
      </c>
      <c r="E103" s="2">
        <v>44170</v>
      </c>
      <c r="F103">
        <v>5000000</v>
      </c>
      <c r="G103" s="2">
        <v>44291</v>
      </c>
      <c r="H103">
        <v>2021</v>
      </c>
      <c r="I103">
        <v>159355.63999999981</v>
      </c>
      <c r="J103">
        <v>851598.21</v>
      </c>
      <c r="K103">
        <v>0</v>
      </c>
      <c r="L103">
        <v>1010953.85</v>
      </c>
      <c r="M103" t="s">
        <v>186</v>
      </c>
    </row>
    <row r="104" spans="1:13" x14ac:dyDescent="0.25">
      <c r="A104" t="s">
        <v>407</v>
      </c>
      <c r="B104" t="s">
        <v>408</v>
      </c>
      <c r="C104" t="s">
        <v>409</v>
      </c>
      <c r="D104" t="s">
        <v>99</v>
      </c>
      <c r="E104" s="2">
        <v>44244</v>
      </c>
      <c r="F104">
        <v>1000000</v>
      </c>
      <c r="G104" s="2">
        <v>44268</v>
      </c>
      <c r="H104">
        <v>2021</v>
      </c>
      <c r="I104">
        <v>30792.679999999993</v>
      </c>
      <c r="J104">
        <v>142824.87</v>
      </c>
      <c r="K104">
        <v>0</v>
      </c>
      <c r="L104">
        <v>173617.55</v>
      </c>
      <c r="M104" t="s">
        <v>115</v>
      </c>
    </row>
    <row r="105" spans="1:13" x14ac:dyDescent="0.25">
      <c r="A105" t="s">
        <v>410</v>
      </c>
      <c r="B105" t="s">
        <v>411</v>
      </c>
      <c r="C105" t="s">
        <v>412</v>
      </c>
      <c r="D105" t="s">
        <v>99</v>
      </c>
      <c r="E105" s="2">
        <v>43994</v>
      </c>
      <c r="F105">
        <v>3000000</v>
      </c>
      <c r="G105" s="2">
        <v>44287</v>
      </c>
      <c r="H105">
        <v>2021</v>
      </c>
      <c r="I105">
        <v>43799.61</v>
      </c>
      <c r="J105">
        <v>214926.92</v>
      </c>
      <c r="K105">
        <v>0</v>
      </c>
      <c r="L105">
        <v>258726.53</v>
      </c>
      <c r="M105" t="s">
        <v>111</v>
      </c>
    </row>
    <row r="106" spans="1:13" x14ac:dyDescent="0.25">
      <c r="A106" t="s">
        <v>413</v>
      </c>
      <c r="B106" t="s">
        <v>414</v>
      </c>
      <c r="C106" t="s">
        <v>415</v>
      </c>
      <c r="D106" t="s">
        <v>99</v>
      </c>
      <c r="E106" s="2">
        <v>43982</v>
      </c>
      <c r="F106">
        <v>5000000</v>
      </c>
      <c r="G106" s="2">
        <v>44266</v>
      </c>
      <c r="H106">
        <v>2021</v>
      </c>
      <c r="I106">
        <v>17233.630000000019</v>
      </c>
      <c r="J106">
        <v>67471.509999999995</v>
      </c>
      <c r="K106">
        <v>0</v>
      </c>
      <c r="L106">
        <v>84705.14</v>
      </c>
      <c r="M106" t="s">
        <v>134</v>
      </c>
    </row>
    <row r="107" spans="1:13" x14ac:dyDescent="0.25">
      <c r="A107" t="s">
        <v>416</v>
      </c>
      <c r="B107" t="s">
        <v>417</v>
      </c>
      <c r="C107" t="s">
        <v>418</v>
      </c>
      <c r="D107" t="s">
        <v>99</v>
      </c>
      <c r="E107" s="2">
        <v>44154</v>
      </c>
      <c r="F107">
        <v>1000000</v>
      </c>
      <c r="G107" s="2">
        <v>44238</v>
      </c>
      <c r="H107">
        <v>2021</v>
      </c>
      <c r="I107">
        <v>7349.2999999999993</v>
      </c>
      <c r="J107">
        <v>65876.78</v>
      </c>
      <c r="K107">
        <v>0</v>
      </c>
      <c r="L107">
        <v>73226.080000000002</v>
      </c>
      <c r="M107" t="s">
        <v>134</v>
      </c>
    </row>
    <row r="108" spans="1:13" x14ac:dyDescent="0.25">
      <c r="A108" t="s">
        <v>419</v>
      </c>
      <c r="B108" t="s">
        <v>420</v>
      </c>
      <c r="C108" t="s">
        <v>421</v>
      </c>
      <c r="D108" t="s">
        <v>99</v>
      </c>
      <c r="E108" s="2">
        <v>43959</v>
      </c>
      <c r="F108">
        <v>1000000</v>
      </c>
      <c r="G108" s="2">
        <v>44154</v>
      </c>
      <c r="H108">
        <v>2020</v>
      </c>
      <c r="I108">
        <v>9032.33</v>
      </c>
      <c r="J108">
        <v>62711.49</v>
      </c>
      <c r="K108">
        <v>0</v>
      </c>
      <c r="L108">
        <v>71743.820000000007</v>
      </c>
      <c r="M108" t="s">
        <v>200</v>
      </c>
    </row>
    <row r="109" spans="1:13" x14ac:dyDescent="0.25">
      <c r="A109" t="s">
        <v>422</v>
      </c>
      <c r="B109" t="s">
        <v>423</v>
      </c>
      <c r="C109" t="s">
        <v>424</v>
      </c>
      <c r="D109" t="s">
        <v>99</v>
      </c>
      <c r="E109" s="2">
        <v>44180</v>
      </c>
      <c r="F109">
        <v>2000000</v>
      </c>
      <c r="G109" s="2">
        <v>44288</v>
      </c>
      <c r="H109">
        <v>2021</v>
      </c>
      <c r="I109">
        <v>29714.61999999997</v>
      </c>
      <c r="J109">
        <v>129108.25</v>
      </c>
      <c r="K109">
        <v>0</v>
      </c>
      <c r="L109">
        <v>158822.87</v>
      </c>
      <c r="M109" t="s">
        <v>193</v>
      </c>
    </row>
    <row r="110" spans="1:13" x14ac:dyDescent="0.25">
      <c r="A110" t="s">
        <v>425</v>
      </c>
      <c r="B110" t="s">
        <v>426</v>
      </c>
      <c r="C110" t="s">
        <v>427</v>
      </c>
      <c r="D110" t="s">
        <v>99</v>
      </c>
      <c r="E110" s="2">
        <v>44203</v>
      </c>
      <c r="F110">
        <v>5000000</v>
      </c>
      <c r="G110" s="2">
        <v>44289</v>
      </c>
      <c r="H110">
        <v>2021</v>
      </c>
      <c r="I110">
        <v>9828.7099999999991</v>
      </c>
      <c r="J110">
        <v>93430.59</v>
      </c>
      <c r="K110">
        <v>0</v>
      </c>
      <c r="L110">
        <v>103259.3</v>
      </c>
      <c r="M110" t="s">
        <v>174</v>
      </c>
    </row>
    <row r="111" spans="1:13" x14ac:dyDescent="0.25">
      <c r="A111" t="s">
        <v>428</v>
      </c>
      <c r="B111" t="s">
        <v>429</v>
      </c>
      <c r="C111" t="s">
        <v>430</v>
      </c>
      <c r="D111" t="s">
        <v>99</v>
      </c>
      <c r="E111" s="2">
        <v>44015</v>
      </c>
      <c r="F111">
        <v>1000000</v>
      </c>
      <c r="G111" s="2">
        <v>44124</v>
      </c>
      <c r="H111">
        <v>2020</v>
      </c>
      <c r="I111">
        <v>15950.519999999971</v>
      </c>
      <c r="J111">
        <v>62987.47</v>
      </c>
      <c r="K111">
        <v>0</v>
      </c>
      <c r="L111">
        <v>78937.990000000005</v>
      </c>
      <c r="M111" t="s">
        <v>200</v>
      </c>
    </row>
    <row r="112" spans="1:13" x14ac:dyDescent="0.25">
      <c r="A112" t="s">
        <v>431</v>
      </c>
      <c r="B112" t="s">
        <v>432</v>
      </c>
      <c r="C112" t="s">
        <v>433</v>
      </c>
      <c r="D112" t="s">
        <v>99</v>
      </c>
      <c r="E112" s="2">
        <v>44149</v>
      </c>
      <c r="F112">
        <v>4000000</v>
      </c>
      <c r="G112" s="2">
        <v>44291</v>
      </c>
      <c r="H112">
        <v>2021</v>
      </c>
      <c r="I112">
        <v>19888.920000000049</v>
      </c>
      <c r="J112">
        <v>117294.58</v>
      </c>
      <c r="K112">
        <v>0</v>
      </c>
      <c r="L112">
        <v>137183.5</v>
      </c>
      <c r="M112" t="s">
        <v>104</v>
      </c>
    </row>
    <row r="113" spans="1:13" x14ac:dyDescent="0.25">
      <c r="A113" t="s">
        <v>434</v>
      </c>
      <c r="B113" t="s">
        <v>435</v>
      </c>
      <c r="C113" t="s">
        <v>436</v>
      </c>
      <c r="D113" t="s">
        <v>99</v>
      </c>
      <c r="E113" s="2">
        <v>44222</v>
      </c>
      <c r="F113">
        <v>5000000</v>
      </c>
      <c r="G113" s="2">
        <v>44246</v>
      </c>
      <c r="H113">
        <v>2021</v>
      </c>
      <c r="I113">
        <v>86451.62</v>
      </c>
      <c r="J113">
        <v>554471.42000000004</v>
      </c>
      <c r="K113">
        <v>0</v>
      </c>
      <c r="L113">
        <v>640923.04</v>
      </c>
      <c r="M113" t="s">
        <v>159</v>
      </c>
    </row>
    <row r="114" spans="1:13" x14ac:dyDescent="0.25">
      <c r="A114" t="s">
        <v>437</v>
      </c>
      <c r="B114" t="s">
        <v>438</v>
      </c>
      <c r="C114" t="s">
        <v>439</v>
      </c>
      <c r="D114" t="s">
        <v>99</v>
      </c>
      <c r="E114" s="2">
        <v>44122</v>
      </c>
      <c r="F114">
        <v>5000000</v>
      </c>
      <c r="G114" s="2">
        <v>44286</v>
      </c>
      <c r="H114">
        <v>2021</v>
      </c>
      <c r="I114">
        <v>25726.88000000003</v>
      </c>
      <c r="J114">
        <v>119289.60000000001</v>
      </c>
      <c r="K114">
        <v>0</v>
      </c>
      <c r="L114">
        <v>145016.48000000001</v>
      </c>
      <c r="M114" t="s">
        <v>104</v>
      </c>
    </row>
    <row r="115" spans="1:13" x14ac:dyDescent="0.25">
      <c r="A115" t="s">
        <v>440</v>
      </c>
      <c r="B115" t="s">
        <v>441</v>
      </c>
      <c r="C115" t="s">
        <v>442</v>
      </c>
      <c r="D115" t="s">
        <v>99</v>
      </c>
      <c r="E115" s="2">
        <v>43942</v>
      </c>
      <c r="F115">
        <v>1000000</v>
      </c>
      <c r="G115" s="2">
        <v>44188</v>
      </c>
      <c r="H115">
        <v>2020</v>
      </c>
      <c r="I115">
        <v>18989.59000000004</v>
      </c>
      <c r="J115">
        <v>69614.11</v>
      </c>
      <c r="K115">
        <v>0</v>
      </c>
      <c r="L115">
        <v>88603.7</v>
      </c>
      <c r="M115" t="s">
        <v>246</v>
      </c>
    </row>
    <row r="116" spans="1:13" x14ac:dyDescent="0.25">
      <c r="A116" t="s">
        <v>443</v>
      </c>
      <c r="B116" t="s">
        <v>444</v>
      </c>
      <c r="C116" t="s">
        <v>445</v>
      </c>
      <c r="D116" t="s">
        <v>99</v>
      </c>
      <c r="E116" s="2">
        <v>44063</v>
      </c>
      <c r="F116">
        <v>1000000</v>
      </c>
      <c r="G116" s="2">
        <v>44267</v>
      </c>
      <c r="H116">
        <v>2021</v>
      </c>
      <c r="I116">
        <v>93450.49</v>
      </c>
      <c r="J116">
        <v>343270.53</v>
      </c>
      <c r="K116">
        <v>0</v>
      </c>
      <c r="L116">
        <v>436721.02</v>
      </c>
      <c r="M116" t="s">
        <v>144</v>
      </c>
    </row>
    <row r="117" spans="1:13" x14ac:dyDescent="0.25">
      <c r="A117" t="s">
        <v>446</v>
      </c>
      <c r="B117" t="s">
        <v>447</v>
      </c>
      <c r="C117" t="s">
        <v>448</v>
      </c>
      <c r="D117" t="s">
        <v>99</v>
      </c>
      <c r="E117" s="2">
        <v>44206</v>
      </c>
      <c r="F117">
        <v>1000000</v>
      </c>
      <c r="G117" s="2">
        <v>44297</v>
      </c>
      <c r="H117">
        <v>2021</v>
      </c>
      <c r="I117">
        <v>19273.370000000021</v>
      </c>
      <c r="J117">
        <v>88175.46</v>
      </c>
      <c r="K117">
        <v>0</v>
      </c>
      <c r="L117">
        <v>107448.83</v>
      </c>
      <c r="M117" t="s">
        <v>229</v>
      </c>
    </row>
    <row r="118" spans="1:13" x14ac:dyDescent="0.25">
      <c r="A118" t="s">
        <v>449</v>
      </c>
      <c r="B118" t="s">
        <v>450</v>
      </c>
      <c r="C118" t="s">
        <v>451</v>
      </c>
      <c r="D118" t="s">
        <v>99</v>
      </c>
      <c r="E118" s="2">
        <v>44042</v>
      </c>
      <c r="F118">
        <v>1000000</v>
      </c>
      <c r="G118" s="2">
        <v>44121</v>
      </c>
      <c r="H118">
        <v>2020</v>
      </c>
      <c r="I118">
        <v>18338.279999999959</v>
      </c>
      <c r="J118">
        <v>76746.19</v>
      </c>
      <c r="K118">
        <v>0</v>
      </c>
      <c r="L118">
        <v>95084.47</v>
      </c>
      <c r="M118" t="s">
        <v>126</v>
      </c>
    </row>
    <row r="119" spans="1:13" x14ac:dyDescent="0.25">
      <c r="A119" t="s">
        <v>452</v>
      </c>
      <c r="B119" t="s">
        <v>453</v>
      </c>
      <c r="C119" t="s">
        <v>454</v>
      </c>
      <c r="D119" t="s">
        <v>99</v>
      </c>
      <c r="E119" s="2">
        <v>44185</v>
      </c>
      <c r="F119">
        <v>3000000</v>
      </c>
      <c r="G119" s="2">
        <v>44313</v>
      </c>
      <c r="H119">
        <v>2021</v>
      </c>
      <c r="I119">
        <v>81190.59</v>
      </c>
      <c r="J119">
        <v>296210.89</v>
      </c>
      <c r="K119">
        <v>0</v>
      </c>
      <c r="L119">
        <v>377401.48</v>
      </c>
      <c r="M119" t="s">
        <v>130</v>
      </c>
    </row>
    <row r="120" spans="1:13" x14ac:dyDescent="0.25">
      <c r="A120" t="s">
        <v>455</v>
      </c>
      <c r="B120" t="s">
        <v>456</v>
      </c>
      <c r="C120" t="s">
        <v>457</v>
      </c>
      <c r="D120" t="s">
        <v>99</v>
      </c>
      <c r="E120" s="2">
        <v>43959</v>
      </c>
      <c r="F120">
        <v>2000000</v>
      </c>
      <c r="G120" s="2">
        <v>44199</v>
      </c>
      <c r="H120">
        <v>2021</v>
      </c>
      <c r="I120">
        <v>15961.810000000019</v>
      </c>
      <c r="J120">
        <v>58054.93</v>
      </c>
      <c r="K120">
        <v>0</v>
      </c>
      <c r="L120">
        <v>74016.740000000005</v>
      </c>
      <c r="M120" t="s">
        <v>182</v>
      </c>
    </row>
    <row r="121" spans="1:13" x14ac:dyDescent="0.25">
      <c r="A121" t="s">
        <v>458</v>
      </c>
      <c r="B121" t="s">
        <v>459</v>
      </c>
      <c r="C121" t="s">
        <v>460</v>
      </c>
      <c r="D121" t="s">
        <v>99</v>
      </c>
      <c r="E121" s="2">
        <v>44177</v>
      </c>
      <c r="F121">
        <v>2000000</v>
      </c>
      <c r="G121" s="2">
        <v>44309</v>
      </c>
      <c r="H121">
        <v>2021</v>
      </c>
      <c r="I121">
        <v>16417.65999999996</v>
      </c>
      <c r="J121">
        <v>78903.070000000007</v>
      </c>
      <c r="K121">
        <v>0</v>
      </c>
      <c r="L121">
        <v>95320.73</v>
      </c>
      <c r="M121" t="s">
        <v>126</v>
      </c>
    </row>
    <row r="122" spans="1:13" x14ac:dyDescent="0.25">
      <c r="A122" t="s">
        <v>461</v>
      </c>
      <c r="B122" t="s">
        <v>462</v>
      </c>
      <c r="C122" t="s">
        <v>463</v>
      </c>
      <c r="D122" t="s">
        <v>99</v>
      </c>
      <c r="E122" s="2">
        <v>44315</v>
      </c>
      <c r="F122">
        <v>4000000</v>
      </c>
      <c r="G122" s="2">
        <v>44327</v>
      </c>
      <c r="H122">
        <v>2021</v>
      </c>
      <c r="I122">
        <v>27099.97999999996</v>
      </c>
      <c r="J122">
        <v>162854.16</v>
      </c>
      <c r="K122">
        <v>0</v>
      </c>
      <c r="L122">
        <v>189954.14</v>
      </c>
      <c r="M122" t="s">
        <v>100</v>
      </c>
    </row>
    <row r="123" spans="1:13" x14ac:dyDescent="0.25">
      <c r="A123" t="s">
        <v>464</v>
      </c>
      <c r="B123" t="s">
        <v>465</v>
      </c>
      <c r="C123" t="s">
        <v>466</v>
      </c>
      <c r="D123" t="s">
        <v>99</v>
      </c>
      <c r="E123" s="2">
        <v>44142</v>
      </c>
      <c r="F123">
        <v>1000000</v>
      </c>
      <c r="G123" s="2">
        <v>44325</v>
      </c>
      <c r="H123">
        <v>2021</v>
      </c>
      <c r="I123">
        <v>48894.33</v>
      </c>
      <c r="J123">
        <v>463905.43</v>
      </c>
      <c r="K123">
        <v>0</v>
      </c>
      <c r="L123">
        <v>512799.76</v>
      </c>
      <c r="M123" t="s">
        <v>163</v>
      </c>
    </row>
    <row r="124" spans="1:13" x14ac:dyDescent="0.25">
      <c r="A124" t="s">
        <v>467</v>
      </c>
      <c r="B124" t="s">
        <v>468</v>
      </c>
      <c r="C124" t="s">
        <v>469</v>
      </c>
      <c r="D124" t="s">
        <v>99</v>
      </c>
      <c r="E124" s="2">
        <v>44223</v>
      </c>
      <c r="F124">
        <v>1000000</v>
      </c>
      <c r="G124" s="2">
        <v>44254</v>
      </c>
      <c r="H124">
        <v>2021</v>
      </c>
      <c r="I124">
        <v>21273.319999999989</v>
      </c>
      <c r="J124">
        <v>77562.92</v>
      </c>
      <c r="K124">
        <v>0</v>
      </c>
      <c r="L124">
        <v>98836.24</v>
      </c>
      <c r="M124" t="s">
        <v>126</v>
      </c>
    </row>
    <row r="125" spans="1:13" x14ac:dyDescent="0.25">
      <c r="A125" t="s">
        <v>470</v>
      </c>
      <c r="B125" t="s">
        <v>471</v>
      </c>
      <c r="C125" t="s">
        <v>472</v>
      </c>
      <c r="D125" t="s">
        <v>99</v>
      </c>
      <c r="E125" s="2">
        <v>44276</v>
      </c>
      <c r="F125">
        <v>1000000</v>
      </c>
      <c r="G125" s="2">
        <v>44279</v>
      </c>
      <c r="H125">
        <v>2021</v>
      </c>
      <c r="I125">
        <v>17950.57000000004</v>
      </c>
      <c r="J125">
        <v>142058.46</v>
      </c>
      <c r="K125">
        <v>0</v>
      </c>
      <c r="L125">
        <v>160009.03</v>
      </c>
      <c r="M125" t="s">
        <v>115</v>
      </c>
    </row>
    <row r="126" spans="1:13" x14ac:dyDescent="0.25">
      <c r="A126" t="s">
        <v>473</v>
      </c>
      <c r="B126" t="s">
        <v>468</v>
      </c>
      <c r="C126" t="s">
        <v>469</v>
      </c>
      <c r="D126" t="s">
        <v>474</v>
      </c>
      <c r="E126" s="2">
        <v>44223</v>
      </c>
      <c r="F126">
        <v>1000000</v>
      </c>
      <c r="G126" s="2">
        <v>44227</v>
      </c>
      <c r="H126">
        <v>2021</v>
      </c>
      <c r="I126">
        <v>7249.86</v>
      </c>
      <c r="J126">
        <v>64218.99</v>
      </c>
      <c r="K126">
        <v>1206.21</v>
      </c>
      <c r="L126">
        <v>72675.06</v>
      </c>
      <c r="M126" t="s">
        <v>134</v>
      </c>
    </row>
    <row r="127" spans="1:13" x14ac:dyDescent="0.25">
      <c r="A127" t="s">
        <v>475</v>
      </c>
      <c r="B127" t="s">
        <v>476</v>
      </c>
      <c r="C127" t="s">
        <v>477</v>
      </c>
      <c r="D127" t="s">
        <v>99</v>
      </c>
      <c r="E127" s="2">
        <v>44308</v>
      </c>
      <c r="F127">
        <v>3000000</v>
      </c>
      <c r="G127" s="2">
        <v>44325</v>
      </c>
      <c r="H127">
        <v>2021</v>
      </c>
      <c r="I127">
        <v>12248.800000000001</v>
      </c>
      <c r="J127">
        <v>101298.51</v>
      </c>
      <c r="K127">
        <v>0</v>
      </c>
      <c r="L127">
        <v>113547.31</v>
      </c>
      <c r="M127" t="s">
        <v>170</v>
      </c>
    </row>
    <row r="128" spans="1:13" x14ac:dyDescent="0.25">
      <c r="A128" t="s">
        <v>478</v>
      </c>
      <c r="B128" t="s">
        <v>479</v>
      </c>
      <c r="C128" t="s">
        <v>480</v>
      </c>
      <c r="D128" t="s">
        <v>99</v>
      </c>
      <c r="E128" s="2">
        <v>43978</v>
      </c>
      <c r="F128">
        <v>2000000</v>
      </c>
      <c r="G128" s="2">
        <v>44324</v>
      </c>
      <c r="H128">
        <v>2021</v>
      </c>
      <c r="I128">
        <v>28431.53000000001</v>
      </c>
      <c r="J128">
        <v>109797.03</v>
      </c>
      <c r="K128">
        <v>0</v>
      </c>
      <c r="L128">
        <v>138228.56</v>
      </c>
      <c r="M128" t="s">
        <v>236</v>
      </c>
    </row>
    <row r="129" spans="1:13" x14ac:dyDescent="0.25">
      <c r="A129" t="s">
        <v>481</v>
      </c>
      <c r="B129" t="s">
        <v>482</v>
      </c>
      <c r="C129" t="s">
        <v>483</v>
      </c>
      <c r="D129" t="s">
        <v>99</v>
      </c>
      <c r="E129" s="2">
        <v>44334</v>
      </c>
      <c r="F129">
        <v>4000000</v>
      </c>
      <c r="G129" s="2">
        <v>44338</v>
      </c>
      <c r="H129">
        <v>2021</v>
      </c>
      <c r="I129">
        <v>38801.910000000003</v>
      </c>
      <c r="J129">
        <v>158405.29</v>
      </c>
      <c r="K129">
        <v>0</v>
      </c>
      <c r="L129">
        <v>197207.2</v>
      </c>
      <c r="M129" t="s">
        <v>484</v>
      </c>
    </row>
    <row r="130" spans="1:13" x14ac:dyDescent="0.25">
      <c r="A130" t="s">
        <v>485</v>
      </c>
      <c r="B130" t="s">
        <v>486</v>
      </c>
      <c r="C130" t="s">
        <v>487</v>
      </c>
      <c r="D130" t="s">
        <v>99</v>
      </c>
      <c r="E130" s="2">
        <v>43990</v>
      </c>
      <c r="F130">
        <v>5000000</v>
      </c>
      <c r="G130" s="2">
        <v>44354</v>
      </c>
      <c r="H130">
        <v>2021</v>
      </c>
      <c r="I130">
        <v>19156.73000000004</v>
      </c>
      <c r="J130">
        <v>159815.35999999999</v>
      </c>
      <c r="K130">
        <v>0</v>
      </c>
      <c r="L130">
        <v>178972.09</v>
      </c>
      <c r="M130" t="s">
        <v>484</v>
      </c>
    </row>
    <row r="131" spans="1:13" x14ac:dyDescent="0.25">
      <c r="A131" t="s">
        <v>488</v>
      </c>
      <c r="B131" t="s">
        <v>489</v>
      </c>
      <c r="C131" t="s">
        <v>490</v>
      </c>
      <c r="D131" t="s">
        <v>99</v>
      </c>
      <c r="E131" s="2">
        <v>43982</v>
      </c>
      <c r="F131">
        <v>2000000</v>
      </c>
      <c r="G131" s="2">
        <v>44288</v>
      </c>
      <c r="H131">
        <v>2021</v>
      </c>
      <c r="I131">
        <v>37330.57999999998</v>
      </c>
      <c r="J131">
        <v>189309.45</v>
      </c>
      <c r="K131">
        <v>0</v>
      </c>
      <c r="L131">
        <v>226640.03</v>
      </c>
      <c r="M131" t="s">
        <v>178</v>
      </c>
    </row>
    <row r="132" spans="1:13" x14ac:dyDescent="0.25">
      <c r="A132" t="s">
        <v>491</v>
      </c>
      <c r="B132" t="s">
        <v>492</v>
      </c>
      <c r="C132" t="s">
        <v>493</v>
      </c>
      <c r="D132" t="s">
        <v>99</v>
      </c>
      <c r="E132" s="2">
        <v>43990</v>
      </c>
      <c r="F132">
        <v>5000000</v>
      </c>
      <c r="G132" s="2">
        <v>44350</v>
      </c>
      <c r="H132">
        <v>2021</v>
      </c>
      <c r="I132">
        <v>40863.19999999999</v>
      </c>
      <c r="J132">
        <v>142701.5</v>
      </c>
      <c r="K132">
        <v>0</v>
      </c>
      <c r="L132">
        <v>183564.7</v>
      </c>
      <c r="M132" t="s">
        <v>115</v>
      </c>
    </row>
    <row r="133" spans="1:13" x14ac:dyDescent="0.25">
      <c r="A133" t="s">
        <v>494</v>
      </c>
      <c r="B133" t="s">
        <v>495</v>
      </c>
      <c r="C133" t="s">
        <v>496</v>
      </c>
      <c r="D133" t="s">
        <v>99</v>
      </c>
      <c r="E133" s="2">
        <v>43999</v>
      </c>
      <c r="F133">
        <v>5000000</v>
      </c>
      <c r="G133" s="2">
        <v>44203</v>
      </c>
      <c r="H133">
        <v>2021</v>
      </c>
      <c r="I133">
        <v>38732.659999999967</v>
      </c>
      <c r="J133">
        <v>249412.45</v>
      </c>
      <c r="K133">
        <v>0</v>
      </c>
      <c r="L133">
        <v>288145.11</v>
      </c>
      <c r="M133" t="s">
        <v>210</v>
      </c>
    </row>
    <row r="134" spans="1:13" x14ac:dyDescent="0.25">
      <c r="A134" t="s">
        <v>497</v>
      </c>
      <c r="B134" t="s">
        <v>498</v>
      </c>
      <c r="C134" t="s">
        <v>499</v>
      </c>
      <c r="D134" t="s">
        <v>99</v>
      </c>
      <c r="E134" s="2">
        <v>44246</v>
      </c>
      <c r="F134">
        <v>2000000</v>
      </c>
      <c r="G134" s="2">
        <v>44354</v>
      </c>
      <c r="H134">
        <v>2021</v>
      </c>
      <c r="I134">
        <v>18894.94000000001</v>
      </c>
      <c r="J134">
        <v>137099.20000000001</v>
      </c>
      <c r="K134">
        <v>0</v>
      </c>
      <c r="L134">
        <v>155994.14000000001</v>
      </c>
      <c r="M134" t="s">
        <v>193</v>
      </c>
    </row>
    <row r="135" spans="1:13" x14ac:dyDescent="0.25">
      <c r="A135" t="s">
        <v>500</v>
      </c>
      <c r="B135" t="s">
        <v>501</v>
      </c>
      <c r="C135" t="s">
        <v>502</v>
      </c>
      <c r="D135" t="s">
        <v>99</v>
      </c>
      <c r="E135" s="2">
        <v>44209</v>
      </c>
      <c r="F135">
        <v>10000000</v>
      </c>
      <c r="G135" s="2">
        <v>44334</v>
      </c>
      <c r="H135">
        <v>2021</v>
      </c>
      <c r="I135">
        <v>27898.80000000001</v>
      </c>
      <c r="J135">
        <v>275829.27</v>
      </c>
      <c r="K135">
        <v>0</v>
      </c>
      <c r="L135">
        <v>303728.07</v>
      </c>
      <c r="M135" t="s">
        <v>130</v>
      </c>
    </row>
    <row r="136" spans="1:13" x14ac:dyDescent="0.25">
      <c r="A136" t="s">
        <v>503</v>
      </c>
      <c r="B136" t="s">
        <v>504</v>
      </c>
      <c r="C136" t="s">
        <v>505</v>
      </c>
      <c r="D136" t="s">
        <v>99</v>
      </c>
      <c r="E136" s="2">
        <v>44250</v>
      </c>
      <c r="F136">
        <v>1000000</v>
      </c>
      <c r="G136" s="2">
        <v>44386</v>
      </c>
      <c r="H136">
        <v>2021</v>
      </c>
      <c r="I136">
        <v>10370.23</v>
      </c>
      <c r="J136">
        <v>95229.03</v>
      </c>
      <c r="K136">
        <v>0</v>
      </c>
      <c r="L136">
        <v>105599.26</v>
      </c>
      <c r="M136" t="s">
        <v>174</v>
      </c>
    </row>
    <row r="137" spans="1:13" x14ac:dyDescent="0.25">
      <c r="A137" t="s">
        <v>506</v>
      </c>
      <c r="B137" t="s">
        <v>507</v>
      </c>
      <c r="C137" t="s">
        <v>508</v>
      </c>
      <c r="D137" t="s">
        <v>99</v>
      </c>
      <c r="E137" s="2">
        <v>44090</v>
      </c>
      <c r="F137">
        <v>3000000</v>
      </c>
      <c r="G137" s="2">
        <v>44368</v>
      </c>
      <c r="H137">
        <v>2021</v>
      </c>
      <c r="I137">
        <v>13200.6</v>
      </c>
      <c r="J137">
        <v>59935.27</v>
      </c>
      <c r="K137">
        <v>0</v>
      </c>
      <c r="L137">
        <v>73135.87</v>
      </c>
      <c r="M137" t="s">
        <v>200</v>
      </c>
    </row>
    <row r="138" spans="1:13" x14ac:dyDescent="0.25">
      <c r="A138" t="s">
        <v>509</v>
      </c>
      <c r="B138" t="s">
        <v>510</v>
      </c>
      <c r="C138" t="s">
        <v>511</v>
      </c>
      <c r="D138" t="s">
        <v>99</v>
      </c>
      <c r="E138" s="2">
        <v>44243</v>
      </c>
      <c r="F138">
        <v>5000000</v>
      </c>
      <c r="G138" s="2">
        <v>44373</v>
      </c>
      <c r="H138">
        <v>2021</v>
      </c>
      <c r="I138">
        <v>61384.85</v>
      </c>
      <c r="J138">
        <v>343221.39</v>
      </c>
      <c r="K138">
        <v>0</v>
      </c>
      <c r="L138">
        <v>404606.24</v>
      </c>
      <c r="M138" t="s">
        <v>144</v>
      </c>
    </row>
    <row r="139" spans="1:13" x14ac:dyDescent="0.25">
      <c r="A139" t="s">
        <v>512</v>
      </c>
      <c r="B139" t="s">
        <v>513</v>
      </c>
      <c r="C139" t="s">
        <v>514</v>
      </c>
      <c r="D139" t="s">
        <v>99</v>
      </c>
      <c r="E139" s="2">
        <v>44110</v>
      </c>
      <c r="F139">
        <v>2000000</v>
      </c>
      <c r="G139" s="2">
        <v>44363</v>
      </c>
      <c r="H139">
        <v>2021</v>
      </c>
      <c r="I139">
        <v>24994.87999999999</v>
      </c>
      <c r="J139">
        <v>156770.79999999999</v>
      </c>
      <c r="K139">
        <v>0</v>
      </c>
      <c r="L139">
        <v>181765.68</v>
      </c>
      <c r="M139" t="s">
        <v>484</v>
      </c>
    </row>
    <row r="140" spans="1:13" x14ac:dyDescent="0.25">
      <c r="A140" t="s">
        <v>515</v>
      </c>
      <c r="B140" t="s">
        <v>516</v>
      </c>
      <c r="C140" t="s">
        <v>517</v>
      </c>
      <c r="D140" t="s">
        <v>99</v>
      </c>
      <c r="E140" s="2">
        <v>44262</v>
      </c>
      <c r="F140">
        <v>1000000</v>
      </c>
      <c r="G140" s="2">
        <v>44375</v>
      </c>
      <c r="H140">
        <v>2021</v>
      </c>
      <c r="I140">
        <v>22657.66</v>
      </c>
      <c r="J140">
        <v>97757.43</v>
      </c>
      <c r="K140">
        <v>0</v>
      </c>
      <c r="L140">
        <v>120415.09</v>
      </c>
      <c r="M140" t="s">
        <v>174</v>
      </c>
    </row>
    <row r="141" spans="1:13" x14ac:dyDescent="0.25">
      <c r="A141" t="s">
        <v>518</v>
      </c>
      <c r="B141" t="s">
        <v>519</v>
      </c>
      <c r="C141" t="s">
        <v>520</v>
      </c>
      <c r="D141" t="s">
        <v>99</v>
      </c>
      <c r="E141" s="2">
        <v>44225</v>
      </c>
      <c r="F141">
        <v>5000000</v>
      </c>
      <c r="G141" s="2">
        <v>44349</v>
      </c>
      <c r="H141">
        <v>2021</v>
      </c>
      <c r="I141">
        <v>45796.29</v>
      </c>
      <c r="J141">
        <v>350527.61</v>
      </c>
      <c r="K141">
        <v>0</v>
      </c>
      <c r="L141">
        <v>396323.9</v>
      </c>
      <c r="M141" t="s">
        <v>152</v>
      </c>
    </row>
    <row r="142" spans="1:13" x14ac:dyDescent="0.25">
      <c r="A142" t="s">
        <v>521</v>
      </c>
      <c r="B142" t="s">
        <v>522</v>
      </c>
      <c r="C142" t="s">
        <v>523</v>
      </c>
      <c r="D142" t="s">
        <v>99</v>
      </c>
      <c r="E142" s="2">
        <v>44236</v>
      </c>
      <c r="F142">
        <v>5000000</v>
      </c>
      <c r="G142" s="2">
        <v>44366</v>
      </c>
      <c r="H142">
        <v>2021</v>
      </c>
      <c r="I142">
        <v>18783.629999999979</v>
      </c>
      <c r="J142">
        <v>101809.36</v>
      </c>
      <c r="K142">
        <v>0</v>
      </c>
      <c r="L142">
        <v>120592.99</v>
      </c>
      <c r="M142" t="s">
        <v>170</v>
      </c>
    </row>
    <row r="143" spans="1:13" x14ac:dyDescent="0.25">
      <c r="A143" t="s">
        <v>524</v>
      </c>
      <c r="B143" t="s">
        <v>525</v>
      </c>
      <c r="C143" t="s">
        <v>526</v>
      </c>
      <c r="D143" t="s">
        <v>99</v>
      </c>
      <c r="E143" s="2">
        <v>44271</v>
      </c>
      <c r="F143">
        <v>3000000</v>
      </c>
      <c r="G143" s="2">
        <v>44386</v>
      </c>
      <c r="H143">
        <v>2021</v>
      </c>
      <c r="I143">
        <v>23098.689999999973</v>
      </c>
      <c r="J143">
        <v>89999.33</v>
      </c>
      <c r="K143">
        <v>0</v>
      </c>
      <c r="L143">
        <v>113098.02</v>
      </c>
      <c r="M143" t="s">
        <v>174</v>
      </c>
    </row>
    <row r="144" spans="1:13" x14ac:dyDescent="0.25">
      <c r="A144" t="s">
        <v>527</v>
      </c>
      <c r="B144" t="s">
        <v>528</v>
      </c>
      <c r="C144" t="s">
        <v>529</v>
      </c>
      <c r="D144" t="s">
        <v>99</v>
      </c>
      <c r="E144" s="2">
        <v>44335</v>
      </c>
      <c r="F144">
        <v>4000000</v>
      </c>
      <c r="G144" s="2">
        <v>44409</v>
      </c>
      <c r="H144">
        <v>2021</v>
      </c>
      <c r="I144">
        <v>35903.090000000026</v>
      </c>
      <c r="J144">
        <v>270333.44</v>
      </c>
      <c r="K144">
        <v>0</v>
      </c>
      <c r="L144">
        <v>306236.53000000003</v>
      </c>
      <c r="M144" t="s">
        <v>130</v>
      </c>
    </row>
    <row r="145" spans="1:13" x14ac:dyDescent="0.25">
      <c r="A145" t="s">
        <v>530</v>
      </c>
      <c r="B145" t="s">
        <v>531</v>
      </c>
      <c r="C145" t="s">
        <v>532</v>
      </c>
      <c r="D145" t="s">
        <v>99</v>
      </c>
      <c r="E145" s="2">
        <v>44148</v>
      </c>
      <c r="F145">
        <v>2000000</v>
      </c>
      <c r="G145" s="2">
        <v>44386</v>
      </c>
      <c r="H145">
        <v>2021</v>
      </c>
      <c r="I145">
        <v>45443.41</v>
      </c>
      <c r="J145">
        <v>260584.05</v>
      </c>
      <c r="K145">
        <v>0</v>
      </c>
      <c r="L145">
        <v>306027.46000000002</v>
      </c>
      <c r="M145" t="s">
        <v>210</v>
      </c>
    </row>
    <row r="146" spans="1:13" x14ac:dyDescent="0.25">
      <c r="A146" t="s">
        <v>533</v>
      </c>
      <c r="B146" t="s">
        <v>534</v>
      </c>
      <c r="C146" t="s">
        <v>535</v>
      </c>
      <c r="D146" t="s">
        <v>99</v>
      </c>
      <c r="E146" s="2">
        <v>44334</v>
      </c>
      <c r="F146">
        <v>1000000</v>
      </c>
      <c r="G146" s="2">
        <v>44405</v>
      </c>
      <c r="H146">
        <v>2021</v>
      </c>
      <c r="I146">
        <v>37680.919999999962</v>
      </c>
      <c r="J146">
        <v>155887.63</v>
      </c>
      <c r="K146">
        <v>0</v>
      </c>
      <c r="L146">
        <v>193568.55</v>
      </c>
      <c r="M146" t="s">
        <v>484</v>
      </c>
    </row>
    <row r="147" spans="1:13" x14ac:dyDescent="0.25">
      <c r="A147" t="s">
        <v>536</v>
      </c>
      <c r="B147" t="s">
        <v>537</v>
      </c>
      <c r="C147" t="s">
        <v>538</v>
      </c>
      <c r="D147" t="s">
        <v>99</v>
      </c>
      <c r="E147" s="2">
        <v>44268</v>
      </c>
      <c r="F147">
        <v>5000000</v>
      </c>
      <c r="G147" s="2">
        <v>44405</v>
      </c>
      <c r="H147">
        <v>2021</v>
      </c>
      <c r="I147">
        <v>27612.879999999983</v>
      </c>
      <c r="J147">
        <v>152473.59</v>
      </c>
      <c r="K147">
        <v>0</v>
      </c>
      <c r="L147">
        <v>180086.47</v>
      </c>
      <c r="M147" t="s">
        <v>484</v>
      </c>
    </row>
    <row r="148" spans="1:13" x14ac:dyDescent="0.25">
      <c r="A148" t="s">
        <v>539</v>
      </c>
      <c r="B148" t="s">
        <v>540</v>
      </c>
      <c r="C148" t="s">
        <v>541</v>
      </c>
      <c r="D148" t="s">
        <v>99</v>
      </c>
      <c r="E148" s="2">
        <v>44066</v>
      </c>
      <c r="F148">
        <v>1000000</v>
      </c>
      <c r="G148" s="2">
        <v>44413</v>
      </c>
      <c r="H148">
        <v>2021</v>
      </c>
      <c r="I148">
        <v>39216.499999999993</v>
      </c>
      <c r="J148">
        <v>145230.21</v>
      </c>
      <c r="K148">
        <v>0</v>
      </c>
      <c r="L148">
        <v>184446.71</v>
      </c>
      <c r="M148" t="s">
        <v>115</v>
      </c>
    </row>
    <row r="149" spans="1:13" x14ac:dyDescent="0.25">
      <c r="A149" t="s">
        <v>542</v>
      </c>
      <c r="B149" t="s">
        <v>543</v>
      </c>
      <c r="C149" t="s">
        <v>544</v>
      </c>
      <c r="D149" t="s">
        <v>99</v>
      </c>
      <c r="E149" s="2">
        <v>44141</v>
      </c>
      <c r="F149">
        <v>3000000</v>
      </c>
      <c r="G149" s="2">
        <v>44291</v>
      </c>
      <c r="H149">
        <v>2021</v>
      </c>
      <c r="I149">
        <v>13066.259999999998</v>
      </c>
      <c r="J149">
        <v>56057.11</v>
      </c>
      <c r="K149">
        <v>0</v>
      </c>
      <c r="L149">
        <v>69123.37</v>
      </c>
      <c r="M149" t="s">
        <v>182</v>
      </c>
    </row>
    <row r="150" spans="1:13" x14ac:dyDescent="0.25">
      <c r="A150" t="s">
        <v>545</v>
      </c>
      <c r="B150" t="s">
        <v>546</v>
      </c>
      <c r="C150" t="s">
        <v>547</v>
      </c>
      <c r="D150" t="s">
        <v>99</v>
      </c>
      <c r="E150" s="2">
        <v>44249</v>
      </c>
      <c r="F150">
        <v>5000000</v>
      </c>
      <c r="G150" s="2">
        <v>44427</v>
      </c>
      <c r="H150">
        <v>2021</v>
      </c>
      <c r="I150">
        <v>21469.940000000017</v>
      </c>
      <c r="J150">
        <v>124277.29</v>
      </c>
      <c r="K150">
        <v>0</v>
      </c>
      <c r="L150">
        <v>145747.23000000001</v>
      </c>
      <c r="M150" t="s">
        <v>104</v>
      </c>
    </row>
    <row r="151" spans="1:13" x14ac:dyDescent="0.25">
      <c r="A151" t="s">
        <v>548</v>
      </c>
      <c r="B151" t="s">
        <v>549</v>
      </c>
      <c r="C151" t="s">
        <v>550</v>
      </c>
      <c r="D151" t="s">
        <v>99</v>
      </c>
      <c r="E151" s="2">
        <v>44091</v>
      </c>
      <c r="F151">
        <v>2000000</v>
      </c>
      <c r="G151" s="2">
        <v>44429</v>
      </c>
      <c r="H151">
        <v>2021</v>
      </c>
      <c r="I151">
        <v>17104.21000000001</v>
      </c>
      <c r="J151">
        <v>68340.990000000005</v>
      </c>
      <c r="K151">
        <v>0</v>
      </c>
      <c r="L151">
        <v>85445.2</v>
      </c>
      <c r="M151" t="s">
        <v>134</v>
      </c>
    </row>
    <row r="152" spans="1:13" x14ac:dyDescent="0.25">
      <c r="A152" t="s">
        <v>551</v>
      </c>
      <c r="B152" t="s">
        <v>552</v>
      </c>
      <c r="C152" t="s">
        <v>553</v>
      </c>
      <c r="D152" t="s">
        <v>99</v>
      </c>
      <c r="E152" s="2">
        <v>44092</v>
      </c>
      <c r="F152">
        <v>5000000</v>
      </c>
      <c r="G152" s="2">
        <v>44443</v>
      </c>
      <c r="H152">
        <v>2021</v>
      </c>
      <c r="I152">
        <v>35138.109999999964</v>
      </c>
      <c r="J152">
        <v>168076.72</v>
      </c>
      <c r="K152">
        <v>0</v>
      </c>
      <c r="L152">
        <v>203214.83</v>
      </c>
      <c r="M152" t="s">
        <v>100</v>
      </c>
    </row>
    <row r="153" spans="1:13" x14ac:dyDescent="0.25">
      <c r="A153" t="s">
        <v>554</v>
      </c>
      <c r="B153" t="s">
        <v>555</v>
      </c>
      <c r="C153" t="s">
        <v>556</v>
      </c>
      <c r="D153" t="s">
        <v>99</v>
      </c>
      <c r="E153" s="2">
        <v>44344</v>
      </c>
      <c r="F153">
        <v>10000000</v>
      </c>
      <c r="G153" s="2">
        <v>44390</v>
      </c>
      <c r="H153">
        <v>2021</v>
      </c>
      <c r="I153">
        <v>167480.07999999978</v>
      </c>
      <c r="J153">
        <v>834679.61</v>
      </c>
      <c r="K153">
        <v>0</v>
      </c>
      <c r="L153">
        <v>1002159.69</v>
      </c>
      <c r="M153" t="s">
        <v>186</v>
      </c>
    </row>
    <row r="154" spans="1:13" x14ac:dyDescent="0.25">
      <c r="A154" t="s">
        <v>557</v>
      </c>
      <c r="B154" t="s">
        <v>558</v>
      </c>
      <c r="C154" t="s">
        <v>559</v>
      </c>
      <c r="D154" t="s">
        <v>99</v>
      </c>
      <c r="E154" s="2">
        <v>44164</v>
      </c>
      <c r="F154">
        <v>2000000</v>
      </c>
      <c r="G154" s="2">
        <v>44328</v>
      </c>
      <c r="H154">
        <v>2021</v>
      </c>
      <c r="I154">
        <v>95927.72</v>
      </c>
      <c r="J154">
        <v>540309.43999999994</v>
      </c>
      <c r="K154">
        <v>0</v>
      </c>
      <c r="L154">
        <v>636237.16</v>
      </c>
      <c r="M154" t="s">
        <v>159</v>
      </c>
    </row>
    <row r="155" spans="1:13" x14ac:dyDescent="0.25">
      <c r="A155" t="s">
        <v>560</v>
      </c>
      <c r="B155" t="s">
        <v>561</v>
      </c>
      <c r="C155" t="s">
        <v>562</v>
      </c>
      <c r="D155" t="s">
        <v>99</v>
      </c>
      <c r="E155" s="2">
        <v>44364</v>
      </c>
      <c r="F155">
        <v>2000000</v>
      </c>
      <c r="G155" s="2">
        <v>44431</v>
      </c>
      <c r="H155">
        <v>2021</v>
      </c>
      <c r="I155">
        <v>17749.559999999969</v>
      </c>
      <c r="J155">
        <v>62558.17</v>
      </c>
      <c r="K155">
        <v>0</v>
      </c>
      <c r="L155">
        <v>80307.73</v>
      </c>
      <c r="M155" t="s">
        <v>200</v>
      </c>
    </row>
    <row r="156" spans="1:13" x14ac:dyDescent="0.25">
      <c r="A156" t="s">
        <v>563</v>
      </c>
      <c r="B156" t="s">
        <v>564</v>
      </c>
      <c r="C156" t="s">
        <v>565</v>
      </c>
      <c r="D156" t="s">
        <v>99</v>
      </c>
      <c r="E156" s="2">
        <v>44319</v>
      </c>
      <c r="F156">
        <v>10000000</v>
      </c>
      <c r="G156" s="2">
        <v>44434</v>
      </c>
      <c r="H156">
        <v>2021</v>
      </c>
      <c r="I156">
        <v>62592.869999999995</v>
      </c>
      <c r="J156">
        <v>264834.09999999998</v>
      </c>
      <c r="K156">
        <v>0</v>
      </c>
      <c r="L156">
        <v>327426.96999999997</v>
      </c>
      <c r="M156" t="s">
        <v>130</v>
      </c>
    </row>
    <row r="157" spans="1:13" x14ac:dyDescent="0.25">
      <c r="A157" t="s">
        <v>566</v>
      </c>
      <c r="B157" t="s">
        <v>567</v>
      </c>
      <c r="C157" t="s">
        <v>568</v>
      </c>
      <c r="D157" t="s">
        <v>99</v>
      </c>
      <c r="E157" s="2">
        <v>44156</v>
      </c>
      <c r="F157">
        <v>2000000</v>
      </c>
      <c r="G157" s="2">
        <v>44421</v>
      </c>
      <c r="H157">
        <v>2021</v>
      </c>
      <c r="I157">
        <v>10850.93</v>
      </c>
      <c r="J157">
        <v>74004.44</v>
      </c>
      <c r="K157">
        <v>0</v>
      </c>
      <c r="L157">
        <v>84855.37</v>
      </c>
      <c r="M157" t="s">
        <v>246</v>
      </c>
    </row>
    <row r="158" spans="1:13" x14ac:dyDescent="0.25">
      <c r="A158" t="s">
        <v>569</v>
      </c>
      <c r="B158" t="s">
        <v>570</v>
      </c>
      <c r="C158" t="s">
        <v>571</v>
      </c>
      <c r="D158" t="s">
        <v>99</v>
      </c>
      <c r="E158" s="2">
        <v>44207</v>
      </c>
      <c r="F158">
        <v>1000000</v>
      </c>
      <c r="G158" s="2">
        <v>44349</v>
      </c>
      <c r="H158">
        <v>2021</v>
      </c>
      <c r="I158">
        <v>23645.07999999998</v>
      </c>
      <c r="J158">
        <v>150529.07999999999</v>
      </c>
      <c r="K158">
        <v>0</v>
      </c>
      <c r="L158">
        <v>174174.16</v>
      </c>
      <c r="M158" t="s">
        <v>484</v>
      </c>
    </row>
    <row r="159" spans="1:13" x14ac:dyDescent="0.25">
      <c r="A159" t="s">
        <v>572</v>
      </c>
      <c r="B159" t="s">
        <v>573</v>
      </c>
      <c r="C159" t="s">
        <v>574</v>
      </c>
      <c r="D159" t="s">
        <v>99</v>
      </c>
      <c r="E159" s="2">
        <v>44175</v>
      </c>
      <c r="F159">
        <v>1000000</v>
      </c>
      <c r="G159" s="2">
        <v>44470</v>
      </c>
      <c r="H159">
        <v>2021</v>
      </c>
      <c r="I159">
        <v>13388.57000000004</v>
      </c>
      <c r="J159">
        <v>58479.15</v>
      </c>
      <c r="K159">
        <v>0</v>
      </c>
      <c r="L159">
        <v>71867.72</v>
      </c>
      <c r="M159" t="s">
        <v>182</v>
      </c>
    </row>
    <row r="160" spans="1:13" x14ac:dyDescent="0.25">
      <c r="A160" t="s">
        <v>575</v>
      </c>
      <c r="B160" t="s">
        <v>576</v>
      </c>
      <c r="C160" t="s">
        <v>577</v>
      </c>
      <c r="D160" t="s">
        <v>99</v>
      </c>
      <c r="E160" s="2">
        <v>44269</v>
      </c>
      <c r="F160">
        <v>4000000</v>
      </c>
      <c r="G160" s="2">
        <v>44473</v>
      </c>
      <c r="H160">
        <v>2021</v>
      </c>
      <c r="I160">
        <v>106663.07</v>
      </c>
      <c r="J160">
        <v>500644.04</v>
      </c>
      <c r="K160">
        <v>0</v>
      </c>
      <c r="L160">
        <v>607307.11</v>
      </c>
      <c r="M160" t="s">
        <v>163</v>
      </c>
    </row>
    <row r="161" spans="1:13" x14ac:dyDescent="0.25">
      <c r="A161" t="s">
        <v>578</v>
      </c>
      <c r="B161" t="s">
        <v>579</v>
      </c>
      <c r="C161" t="s">
        <v>580</v>
      </c>
      <c r="D161" t="s">
        <v>99</v>
      </c>
      <c r="E161" s="2">
        <v>44185</v>
      </c>
      <c r="F161">
        <v>2000000</v>
      </c>
      <c r="G161" s="2">
        <v>44455</v>
      </c>
      <c r="H161">
        <v>2021</v>
      </c>
      <c r="I161">
        <v>9629.94</v>
      </c>
      <c r="J161">
        <v>67937.119999999995</v>
      </c>
      <c r="K161">
        <v>0</v>
      </c>
      <c r="L161">
        <v>77567.06</v>
      </c>
      <c r="M161" t="s">
        <v>134</v>
      </c>
    </row>
    <row r="162" spans="1:13" x14ac:dyDescent="0.25">
      <c r="A162" t="s">
        <v>581</v>
      </c>
      <c r="B162" t="s">
        <v>582</v>
      </c>
      <c r="C162" t="s">
        <v>583</v>
      </c>
      <c r="D162" t="s">
        <v>99</v>
      </c>
      <c r="E162" s="2">
        <v>44347</v>
      </c>
      <c r="F162">
        <v>10000000</v>
      </c>
      <c r="G162" s="2">
        <v>44447</v>
      </c>
      <c r="H162">
        <v>2021</v>
      </c>
      <c r="I162">
        <v>464894.22999999975</v>
      </c>
      <c r="J162">
        <v>2038159.16</v>
      </c>
      <c r="K162">
        <v>0</v>
      </c>
      <c r="L162">
        <v>2503053.39</v>
      </c>
      <c r="M162" t="s">
        <v>375</v>
      </c>
    </row>
    <row r="163" spans="1:13" x14ac:dyDescent="0.25">
      <c r="A163" t="s">
        <v>584</v>
      </c>
      <c r="B163" t="s">
        <v>585</v>
      </c>
      <c r="C163" t="s">
        <v>586</v>
      </c>
      <c r="D163" t="s">
        <v>99</v>
      </c>
      <c r="E163" s="2">
        <v>44225</v>
      </c>
      <c r="F163">
        <v>2000000</v>
      </c>
      <c r="G163" s="2">
        <v>44460</v>
      </c>
      <c r="H163">
        <v>2021</v>
      </c>
      <c r="I163">
        <v>13106.61</v>
      </c>
      <c r="J163">
        <v>63927.97</v>
      </c>
      <c r="K163">
        <v>0</v>
      </c>
      <c r="L163">
        <v>77034.58</v>
      </c>
      <c r="M163" t="s">
        <v>200</v>
      </c>
    </row>
    <row r="164" spans="1:13" x14ac:dyDescent="0.25">
      <c r="A164" t="s">
        <v>587</v>
      </c>
      <c r="B164" t="s">
        <v>588</v>
      </c>
      <c r="C164" t="s">
        <v>589</v>
      </c>
      <c r="D164" t="s">
        <v>99</v>
      </c>
      <c r="E164" s="2">
        <v>44227</v>
      </c>
      <c r="F164">
        <v>1000000</v>
      </c>
      <c r="G164" s="2">
        <v>44492</v>
      </c>
      <c r="H164">
        <v>2021</v>
      </c>
      <c r="I164">
        <v>100976.81</v>
      </c>
      <c r="J164">
        <v>480526.85</v>
      </c>
      <c r="K164">
        <v>0</v>
      </c>
      <c r="L164">
        <v>581503.66</v>
      </c>
      <c r="M164" t="s">
        <v>163</v>
      </c>
    </row>
    <row r="165" spans="1:13" x14ac:dyDescent="0.25">
      <c r="A165" t="s">
        <v>590</v>
      </c>
      <c r="B165" t="s">
        <v>591</v>
      </c>
      <c r="C165" t="s">
        <v>592</v>
      </c>
      <c r="D165" t="s">
        <v>99</v>
      </c>
      <c r="E165" s="2">
        <v>44470</v>
      </c>
      <c r="F165">
        <v>5000000</v>
      </c>
      <c r="G165" s="2">
        <v>44504</v>
      </c>
      <c r="H165">
        <v>2021</v>
      </c>
      <c r="I165">
        <v>46144.009999999995</v>
      </c>
      <c r="J165">
        <v>281032.09000000003</v>
      </c>
      <c r="K165">
        <v>0</v>
      </c>
      <c r="L165">
        <v>327176.09999999998</v>
      </c>
      <c r="M165" t="s">
        <v>130</v>
      </c>
    </row>
    <row r="166" spans="1:13" x14ac:dyDescent="0.25">
      <c r="A166" t="s">
        <v>593</v>
      </c>
      <c r="B166" t="s">
        <v>468</v>
      </c>
      <c r="C166" t="s">
        <v>469</v>
      </c>
      <c r="D166" t="s">
        <v>99</v>
      </c>
      <c r="E166" s="2">
        <v>44223</v>
      </c>
      <c r="F166">
        <v>1000000</v>
      </c>
      <c r="G166" s="2">
        <v>44384</v>
      </c>
      <c r="H166">
        <v>2021</v>
      </c>
      <c r="I166">
        <v>23205.70000000003</v>
      </c>
      <c r="J166">
        <v>81458.710000000006</v>
      </c>
      <c r="K166">
        <v>0</v>
      </c>
      <c r="L166">
        <v>104664.41</v>
      </c>
      <c r="M166" t="s">
        <v>229</v>
      </c>
    </row>
    <row r="167" spans="1:13" x14ac:dyDescent="0.25">
      <c r="A167" t="s">
        <v>594</v>
      </c>
      <c r="B167" t="s">
        <v>595</v>
      </c>
      <c r="C167" t="s">
        <v>596</v>
      </c>
      <c r="D167" t="s">
        <v>99</v>
      </c>
      <c r="E167" s="2">
        <v>44413</v>
      </c>
      <c r="F167">
        <v>5000000</v>
      </c>
      <c r="G167" s="2">
        <v>44441</v>
      </c>
      <c r="H167">
        <v>2021</v>
      </c>
      <c r="I167">
        <v>49365.64</v>
      </c>
      <c r="J167">
        <v>296846.90000000002</v>
      </c>
      <c r="K167">
        <v>0</v>
      </c>
      <c r="L167">
        <v>346212.54</v>
      </c>
      <c r="M167" t="s">
        <v>130</v>
      </c>
    </row>
    <row r="168" spans="1:13" x14ac:dyDescent="0.25">
      <c r="A168" t="s">
        <v>597</v>
      </c>
      <c r="B168" t="s">
        <v>598</v>
      </c>
      <c r="C168" t="s">
        <v>599</v>
      </c>
      <c r="D168" t="s">
        <v>99</v>
      </c>
      <c r="E168" s="2">
        <v>44265</v>
      </c>
      <c r="F168">
        <v>1000000</v>
      </c>
      <c r="G168" s="2">
        <v>44502</v>
      </c>
      <c r="H168">
        <v>2021</v>
      </c>
      <c r="I168">
        <v>25883.419999999969</v>
      </c>
      <c r="J168">
        <v>93003.24</v>
      </c>
      <c r="K168">
        <v>0</v>
      </c>
      <c r="L168">
        <v>118886.66</v>
      </c>
      <c r="M168" t="s">
        <v>174</v>
      </c>
    </row>
    <row r="169" spans="1:13" x14ac:dyDescent="0.25">
      <c r="A169" t="s">
        <v>600</v>
      </c>
      <c r="B169" t="s">
        <v>601</v>
      </c>
      <c r="C169" t="s">
        <v>602</v>
      </c>
      <c r="D169" t="s">
        <v>99</v>
      </c>
      <c r="E169" s="2">
        <v>44231</v>
      </c>
      <c r="F169">
        <v>2000000</v>
      </c>
      <c r="G169" s="2">
        <v>44487</v>
      </c>
      <c r="H169">
        <v>2021</v>
      </c>
      <c r="I169">
        <v>74439.050000000105</v>
      </c>
      <c r="J169">
        <v>259994.89</v>
      </c>
      <c r="K169">
        <v>0</v>
      </c>
      <c r="L169">
        <v>334433.94</v>
      </c>
      <c r="M169" t="s">
        <v>210</v>
      </c>
    </row>
    <row r="170" spans="1:13" x14ac:dyDescent="0.25">
      <c r="A170" t="s">
        <v>603</v>
      </c>
      <c r="B170" t="s">
        <v>604</v>
      </c>
      <c r="C170" t="s">
        <v>605</v>
      </c>
      <c r="D170" t="s">
        <v>99</v>
      </c>
      <c r="E170" s="2">
        <v>44137</v>
      </c>
      <c r="F170">
        <v>4000000</v>
      </c>
      <c r="G170" s="2">
        <v>44431</v>
      </c>
      <c r="H170">
        <v>2021</v>
      </c>
      <c r="I170">
        <v>43336.5</v>
      </c>
      <c r="J170">
        <v>401699.37</v>
      </c>
      <c r="K170">
        <v>0</v>
      </c>
      <c r="L170">
        <v>445035.87</v>
      </c>
      <c r="M170" t="s">
        <v>152</v>
      </c>
    </row>
    <row r="171" spans="1:13" x14ac:dyDescent="0.25">
      <c r="A171" t="s">
        <v>606</v>
      </c>
      <c r="B171" t="s">
        <v>426</v>
      </c>
      <c r="C171" t="s">
        <v>427</v>
      </c>
      <c r="D171" t="s">
        <v>99</v>
      </c>
      <c r="E171" s="2">
        <v>44203</v>
      </c>
      <c r="F171">
        <v>5000000</v>
      </c>
      <c r="G171" s="2">
        <v>44522</v>
      </c>
      <c r="H171">
        <v>2021</v>
      </c>
      <c r="I171">
        <v>222332.54999999978</v>
      </c>
      <c r="J171">
        <v>1224246.33</v>
      </c>
      <c r="K171">
        <v>0</v>
      </c>
      <c r="L171">
        <v>1446578.88</v>
      </c>
      <c r="M171" t="s">
        <v>119</v>
      </c>
    </row>
    <row r="172" spans="1:13" x14ac:dyDescent="0.25">
      <c r="A172" t="s">
        <v>607</v>
      </c>
      <c r="B172" t="s">
        <v>608</v>
      </c>
      <c r="C172" t="s">
        <v>609</v>
      </c>
      <c r="D172" t="s">
        <v>474</v>
      </c>
      <c r="E172" s="2">
        <v>44249</v>
      </c>
      <c r="F172">
        <v>3000000</v>
      </c>
      <c r="G172" s="2">
        <v>44493</v>
      </c>
      <c r="H172">
        <v>2021</v>
      </c>
      <c r="I172">
        <v>44212.19</v>
      </c>
      <c r="J172">
        <v>157213.53</v>
      </c>
      <c r="K172">
        <v>12377.87</v>
      </c>
      <c r="L172">
        <v>213803.59</v>
      </c>
      <c r="M172" t="s">
        <v>100</v>
      </c>
    </row>
    <row r="173" spans="1:13" x14ac:dyDescent="0.25">
      <c r="A173" t="s">
        <v>610</v>
      </c>
      <c r="B173" t="s">
        <v>598</v>
      </c>
      <c r="C173" t="s">
        <v>599</v>
      </c>
      <c r="D173" t="s">
        <v>99</v>
      </c>
      <c r="E173" s="2">
        <v>44265</v>
      </c>
      <c r="F173">
        <v>1000000</v>
      </c>
      <c r="G173" s="2">
        <v>44514</v>
      </c>
      <c r="H173">
        <v>2021</v>
      </c>
      <c r="I173">
        <v>31827.740000000049</v>
      </c>
      <c r="J173">
        <v>160585.26</v>
      </c>
      <c r="K173">
        <v>0</v>
      </c>
      <c r="L173">
        <v>192413</v>
      </c>
      <c r="M173" t="s">
        <v>484</v>
      </c>
    </row>
    <row r="174" spans="1:13" x14ac:dyDescent="0.25">
      <c r="A174" t="s">
        <v>611</v>
      </c>
      <c r="B174" t="s">
        <v>612</v>
      </c>
      <c r="C174" t="s">
        <v>613</v>
      </c>
      <c r="D174" t="s">
        <v>99</v>
      </c>
      <c r="E174" s="2">
        <v>44165</v>
      </c>
      <c r="F174">
        <v>3000000</v>
      </c>
      <c r="G174" s="2">
        <v>44490</v>
      </c>
      <c r="H174">
        <v>2021</v>
      </c>
      <c r="I174">
        <v>30586.329999999969</v>
      </c>
      <c r="J174">
        <v>124767.86</v>
      </c>
      <c r="K174">
        <v>0</v>
      </c>
      <c r="L174">
        <v>155354.19</v>
      </c>
      <c r="M174" t="s">
        <v>104</v>
      </c>
    </row>
    <row r="175" spans="1:13" x14ac:dyDescent="0.25">
      <c r="A175" t="s">
        <v>614</v>
      </c>
      <c r="B175" t="s">
        <v>615</v>
      </c>
      <c r="C175" t="s">
        <v>616</v>
      </c>
      <c r="D175" t="s">
        <v>99</v>
      </c>
      <c r="E175" s="2">
        <v>44238</v>
      </c>
      <c r="F175">
        <v>5000000</v>
      </c>
      <c r="G175" s="2">
        <v>44509</v>
      </c>
      <c r="H175">
        <v>2021</v>
      </c>
      <c r="I175">
        <v>25654.029999999981</v>
      </c>
      <c r="J175">
        <v>127896.62</v>
      </c>
      <c r="K175">
        <v>0</v>
      </c>
      <c r="L175">
        <v>153550.65</v>
      </c>
      <c r="M175" t="s">
        <v>193</v>
      </c>
    </row>
    <row r="176" spans="1:13" x14ac:dyDescent="0.25">
      <c r="A176" t="s">
        <v>617</v>
      </c>
      <c r="B176" t="s">
        <v>618</v>
      </c>
      <c r="C176" t="s">
        <v>619</v>
      </c>
      <c r="D176" t="s">
        <v>99</v>
      </c>
      <c r="E176" s="2">
        <v>44137</v>
      </c>
      <c r="F176">
        <v>4000000</v>
      </c>
      <c r="G176" s="2">
        <v>44200</v>
      </c>
      <c r="H176">
        <v>2021</v>
      </c>
      <c r="I176">
        <v>18261.919999999991</v>
      </c>
      <c r="J176">
        <v>98115.32</v>
      </c>
      <c r="K176">
        <v>0</v>
      </c>
      <c r="L176">
        <v>116377.24</v>
      </c>
      <c r="M176" t="s">
        <v>170</v>
      </c>
    </row>
    <row r="177" spans="1:13" x14ac:dyDescent="0.25">
      <c r="A177" t="s">
        <v>620</v>
      </c>
      <c r="B177" t="s">
        <v>621</v>
      </c>
      <c r="C177" t="s">
        <v>622</v>
      </c>
      <c r="D177" t="s">
        <v>99</v>
      </c>
      <c r="E177" s="2">
        <v>44465</v>
      </c>
      <c r="F177">
        <v>1000000</v>
      </c>
      <c r="G177" s="2">
        <v>44536</v>
      </c>
      <c r="H177">
        <v>2021</v>
      </c>
      <c r="I177">
        <v>80192.63</v>
      </c>
      <c r="J177">
        <v>445440.57</v>
      </c>
      <c r="K177">
        <v>0</v>
      </c>
      <c r="L177">
        <v>525633.19999999995</v>
      </c>
      <c r="M177" t="s">
        <v>163</v>
      </c>
    </row>
    <row r="178" spans="1:13" x14ac:dyDescent="0.25">
      <c r="A178" t="s">
        <v>623</v>
      </c>
      <c r="B178" t="s">
        <v>624</v>
      </c>
      <c r="C178" t="s">
        <v>625</v>
      </c>
      <c r="D178" t="s">
        <v>99</v>
      </c>
      <c r="E178" s="2">
        <v>44365</v>
      </c>
      <c r="F178">
        <v>10000000</v>
      </c>
      <c r="G178" s="2">
        <v>44508</v>
      </c>
      <c r="H178">
        <v>2021</v>
      </c>
      <c r="I178">
        <v>83847.98000000001</v>
      </c>
      <c r="J178">
        <v>396010.23</v>
      </c>
      <c r="K178">
        <v>0</v>
      </c>
      <c r="L178">
        <v>479858.21</v>
      </c>
      <c r="M178" t="s">
        <v>152</v>
      </c>
    </row>
    <row r="179" spans="1:13" x14ac:dyDescent="0.25">
      <c r="A179" t="s">
        <v>626</v>
      </c>
      <c r="B179" t="s">
        <v>627</v>
      </c>
      <c r="C179" t="s">
        <v>628</v>
      </c>
      <c r="D179" t="s">
        <v>99</v>
      </c>
      <c r="E179" s="2">
        <v>44501</v>
      </c>
      <c r="F179">
        <v>2000000</v>
      </c>
      <c r="G179" s="2">
        <v>44536</v>
      </c>
      <c r="H179">
        <v>2021</v>
      </c>
      <c r="I179">
        <v>15156.740000000031</v>
      </c>
      <c r="J179">
        <v>75368.899999999994</v>
      </c>
      <c r="K179">
        <v>0</v>
      </c>
      <c r="L179">
        <v>90525.64</v>
      </c>
      <c r="M179" t="s">
        <v>246</v>
      </c>
    </row>
    <row r="180" spans="1:13" x14ac:dyDescent="0.25">
      <c r="A180" t="s">
        <v>629</v>
      </c>
      <c r="B180" t="s">
        <v>630</v>
      </c>
      <c r="C180" t="s">
        <v>631</v>
      </c>
      <c r="D180" t="s">
        <v>99</v>
      </c>
      <c r="E180" s="2">
        <v>43979</v>
      </c>
      <c r="F180">
        <v>5000000</v>
      </c>
      <c r="G180" s="2">
        <v>44320</v>
      </c>
      <c r="H180">
        <v>2021</v>
      </c>
      <c r="I180">
        <v>13910.41</v>
      </c>
      <c r="J180">
        <v>86647.95</v>
      </c>
      <c r="K180">
        <v>0</v>
      </c>
      <c r="L180">
        <v>100558.36</v>
      </c>
      <c r="M180" t="s">
        <v>229</v>
      </c>
    </row>
    <row r="181" spans="1:13" x14ac:dyDescent="0.25">
      <c r="A181" t="s">
        <v>632</v>
      </c>
      <c r="B181" t="s">
        <v>633</v>
      </c>
      <c r="C181" t="s">
        <v>634</v>
      </c>
      <c r="D181" t="s">
        <v>99</v>
      </c>
      <c r="E181" s="2">
        <v>44121</v>
      </c>
      <c r="F181">
        <v>2000000</v>
      </c>
      <c r="G181" s="2">
        <v>44139</v>
      </c>
      <c r="H181">
        <v>2020</v>
      </c>
      <c r="I181">
        <v>25583.249999999953</v>
      </c>
      <c r="J181">
        <v>167726.79999999999</v>
      </c>
      <c r="K181">
        <v>0</v>
      </c>
      <c r="L181">
        <v>193310.05</v>
      </c>
      <c r="M181" t="s">
        <v>100</v>
      </c>
    </row>
    <row r="182" spans="1:13" x14ac:dyDescent="0.25">
      <c r="A182" t="s">
        <v>635</v>
      </c>
      <c r="B182" t="s">
        <v>636</v>
      </c>
      <c r="C182" t="s">
        <v>637</v>
      </c>
      <c r="D182" t="s">
        <v>99</v>
      </c>
      <c r="E182" s="2">
        <v>44512</v>
      </c>
      <c r="F182">
        <v>5000000</v>
      </c>
      <c r="G182" s="2">
        <v>44527</v>
      </c>
      <c r="H182">
        <v>2021</v>
      </c>
      <c r="I182">
        <v>24198.329999999969</v>
      </c>
      <c r="J182">
        <v>90952.17</v>
      </c>
      <c r="K182">
        <v>0</v>
      </c>
      <c r="L182">
        <v>115150.5</v>
      </c>
      <c r="M182" t="s">
        <v>174</v>
      </c>
    </row>
    <row r="183" spans="1:13" x14ac:dyDescent="0.25">
      <c r="A183" t="s">
        <v>638</v>
      </c>
      <c r="B183" t="s">
        <v>639</v>
      </c>
      <c r="C183" t="s">
        <v>640</v>
      </c>
      <c r="D183" t="s">
        <v>99</v>
      </c>
      <c r="E183" s="2">
        <v>44570</v>
      </c>
      <c r="F183">
        <v>3000000</v>
      </c>
      <c r="G183" s="2">
        <v>44580</v>
      </c>
      <c r="H183">
        <v>2022</v>
      </c>
      <c r="I183">
        <v>14421.370000000021</v>
      </c>
      <c r="J183">
        <v>79786.84</v>
      </c>
      <c r="K183">
        <v>0</v>
      </c>
      <c r="L183">
        <v>94208.21</v>
      </c>
      <c r="M183" t="s">
        <v>126</v>
      </c>
    </row>
    <row r="184" spans="1:13" x14ac:dyDescent="0.25">
      <c r="A184" t="s">
        <v>641</v>
      </c>
      <c r="B184" t="s">
        <v>642</v>
      </c>
      <c r="C184" t="s">
        <v>643</v>
      </c>
      <c r="D184" t="s">
        <v>99</v>
      </c>
      <c r="E184" s="2">
        <v>44100</v>
      </c>
      <c r="F184">
        <v>4000000</v>
      </c>
      <c r="G184" s="2">
        <v>44424</v>
      </c>
      <c r="H184">
        <v>2021</v>
      </c>
      <c r="I184">
        <v>128303.53</v>
      </c>
      <c r="J184">
        <v>856634.74</v>
      </c>
      <c r="K184">
        <v>0</v>
      </c>
      <c r="L184">
        <v>984938.27</v>
      </c>
      <c r="M184" t="s">
        <v>186</v>
      </c>
    </row>
    <row r="185" spans="1:13" x14ac:dyDescent="0.25">
      <c r="A185" t="s">
        <v>644</v>
      </c>
      <c r="B185" t="s">
        <v>645</v>
      </c>
      <c r="C185" t="s">
        <v>646</v>
      </c>
      <c r="D185" t="s">
        <v>99</v>
      </c>
      <c r="E185" s="2">
        <v>44481</v>
      </c>
      <c r="F185">
        <v>5000000</v>
      </c>
      <c r="G185" s="2">
        <v>44577</v>
      </c>
      <c r="H185">
        <v>2022</v>
      </c>
      <c r="I185">
        <v>12733.98</v>
      </c>
      <c r="J185">
        <v>101988.63</v>
      </c>
      <c r="K185">
        <v>0</v>
      </c>
      <c r="L185">
        <v>114722.61</v>
      </c>
      <c r="M185" t="s">
        <v>170</v>
      </c>
    </row>
    <row r="186" spans="1:13" x14ac:dyDescent="0.25">
      <c r="A186" t="s">
        <v>647</v>
      </c>
      <c r="B186" t="s">
        <v>648</v>
      </c>
      <c r="C186" t="s">
        <v>649</v>
      </c>
      <c r="D186" t="s">
        <v>99</v>
      </c>
      <c r="E186" s="2">
        <v>44467</v>
      </c>
      <c r="F186">
        <v>1000000</v>
      </c>
      <c r="G186" s="2">
        <v>44547</v>
      </c>
      <c r="H186">
        <v>2021</v>
      </c>
      <c r="I186">
        <v>12752.900000000009</v>
      </c>
      <c r="J186">
        <v>51814.34</v>
      </c>
      <c r="K186">
        <v>0</v>
      </c>
      <c r="L186">
        <v>64567.24</v>
      </c>
      <c r="M186" t="s">
        <v>283</v>
      </c>
    </row>
    <row r="187" spans="1:13" x14ac:dyDescent="0.25">
      <c r="A187" t="s">
        <v>650</v>
      </c>
      <c r="B187" t="s">
        <v>651</v>
      </c>
      <c r="C187" t="s">
        <v>652</v>
      </c>
      <c r="D187" t="s">
        <v>99</v>
      </c>
      <c r="E187" s="2">
        <v>44271</v>
      </c>
      <c r="F187">
        <v>10000000</v>
      </c>
      <c r="G187" s="2">
        <v>44589</v>
      </c>
      <c r="H187">
        <v>2022</v>
      </c>
      <c r="I187">
        <v>17862.62999999999</v>
      </c>
      <c r="J187">
        <v>68657.929999999993</v>
      </c>
      <c r="K187">
        <v>0</v>
      </c>
      <c r="L187">
        <v>86520.56</v>
      </c>
      <c r="M187" t="s">
        <v>134</v>
      </c>
    </row>
    <row r="188" spans="1:13" x14ac:dyDescent="0.25">
      <c r="A188" t="s">
        <v>653</v>
      </c>
      <c r="B188" t="s">
        <v>654</v>
      </c>
      <c r="C188" t="s">
        <v>655</v>
      </c>
      <c r="D188" t="s">
        <v>99</v>
      </c>
      <c r="E188" s="2">
        <v>44327</v>
      </c>
      <c r="F188">
        <v>2000000</v>
      </c>
      <c r="G188" s="2">
        <v>44588</v>
      </c>
      <c r="H188">
        <v>2022</v>
      </c>
      <c r="I188">
        <v>68822.28</v>
      </c>
      <c r="J188">
        <v>323497.64</v>
      </c>
      <c r="K188">
        <v>0</v>
      </c>
      <c r="L188">
        <v>392319.92</v>
      </c>
      <c r="M188" t="s">
        <v>144</v>
      </c>
    </row>
    <row r="189" spans="1:13" x14ac:dyDescent="0.25">
      <c r="A189" t="s">
        <v>656</v>
      </c>
      <c r="B189" t="s">
        <v>657</v>
      </c>
      <c r="C189" t="s">
        <v>658</v>
      </c>
      <c r="D189" t="s">
        <v>99</v>
      </c>
      <c r="E189" s="2">
        <v>44296</v>
      </c>
      <c r="F189">
        <v>3000000</v>
      </c>
      <c r="G189" s="2">
        <v>44541</v>
      </c>
      <c r="H189">
        <v>2021</v>
      </c>
      <c r="I189">
        <v>15863.039999999961</v>
      </c>
      <c r="J189">
        <v>91548.27</v>
      </c>
      <c r="K189">
        <v>0</v>
      </c>
      <c r="L189">
        <v>107411.31</v>
      </c>
      <c r="M189" t="s">
        <v>174</v>
      </c>
    </row>
    <row r="190" spans="1:13" x14ac:dyDescent="0.25">
      <c r="A190" t="s">
        <v>659</v>
      </c>
      <c r="B190" t="s">
        <v>660</v>
      </c>
      <c r="C190" t="s">
        <v>661</v>
      </c>
      <c r="D190" t="s">
        <v>99</v>
      </c>
      <c r="E190" s="2">
        <v>44322</v>
      </c>
      <c r="F190">
        <v>10000000</v>
      </c>
      <c r="G190" s="2">
        <v>44555</v>
      </c>
      <c r="H190">
        <v>2021</v>
      </c>
      <c r="I190">
        <v>26037.76000000002</v>
      </c>
      <c r="J190">
        <v>256089.08</v>
      </c>
      <c r="K190">
        <v>0</v>
      </c>
      <c r="L190">
        <v>282126.84000000003</v>
      </c>
      <c r="M190" t="s">
        <v>210</v>
      </c>
    </row>
    <row r="191" spans="1:13" x14ac:dyDescent="0.25">
      <c r="A191" t="s">
        <v>662</v>
      </c>
      <c r="B191" t="s">
        <v>663</v>
      </c>
      <c r="C191" t="s">
        <v>664</v>
      </c>
      <c r="D191" t="s">
        <v>99</v>
      </c>
      <c r="E191" s="2">
        <v>44268</v>
      </c>
      <c r="F191">
        <v>2000000</v>
      </c>
      <c r="G191" s="2">
        <v>44625</v>
      </c>
      <c r="H191">
        <v>2022</v>
      </c>
      <c r="I191">
        <v>15968.59999999998</v>
      </c>
      <c r="J191">
        <v>60337.39</v>
      </c>
      <c r="K191">
        <v>0</v>
      </c>
      <c r="L191">
        <v>76305.990000000005</v>
      </c>
      <c r="M191" t="s">
        <v>200</v>
      </c>
    </row>
    <row r="192" spans="1:13" x14ac:dyDescent="0.25">
      <c r="A192" t="s">
        <v>665</v>
      </c>
      <c r="B192" t="s">
        <v>666</v>
      </c>
      <c r="C192" t="s">
        <v>667</v>
      </c>
      <c r="D192" t="s">
        <v>99</v>
      </c>
      <c r="E192" s="2">
        <v>43764</v>
      </c>
      <c r="F192">
        <v>3000000</v>
      </c>
      <c r="G192" s="2">
        <v>44126</v>
      </c>
      <c r="H192">
        <v>2020</v>
      </c>
      <c r="I192">
        <v>20880.680000000008</v>
      </c>
      <c r="J192">
        <v>71139.17</v>
      </c>
      <c r="K192">
        <v>0</v>
      </c>
      <c r="L192">
        <v>92019.85</v>
      </c>
      <c r="M192" t="s">
        <v>246</v>
      </c>
    </row>
    <row r="193" spans="1:13" x14ac:dyDescent="0.25">
      <c r="A193" t="s">
        <v>668</v>
      </c>
      <c r="B193" t="s">
        <v>669</v>
      </c>
      <c r="C193" t="s">
        <v>670</v>
      </c>
      <c r="D193" t="s">
        <v>99</v>
      </c>
      <c r="E193" s="2">
        <v>44527</v>
      </c>
      <c r="F193">
        <v>5000000</v>
      </c>
      <c r="G193" s="2">
        <v>44593</v>
      </c>
      <c r="H193">
        <v>2022</v>
      </c>
      <c r="I193">
        <v>34881.819999999971</v>
      </c>
      <c r="J193">
        <v>121614.66</v>
      </c>
      <c r="K193">
        <v>0</v>
      </c>
      <c r="L193">
        <v>156496.48000000001</v>
      </c>
      <c r="M193" t="s">
        <v>104</v>
      </c>
    </row>
    <row r="194" spans="1:13" x14ac:dyDescent="0.25">
      <c r="A194" t="s">
        <v>671</v>
      </c>
      <c r="B194" t="s">
        <v>672</v>
      </c>
      <c r="C194" t="s">
        <v>673</v>
      </c>
      <c r="D194" t="s">
        <v>99</v>
      </c>
      <c r="E194" s="2">
        <v>44363</v>
      </c>
      <c r="F194">
        <v>5000000</v>
      </c>
      <c r="G194" s="2">
        <v>44613</v>
      </c>
      <c r="H194">
        <v>2022</v>
      </c>
      <c r="I194">
        <v>32967.669999999976</v>
      </c>
      <c r="J194">
        <v>115974</v>
      </c>
      <c r="K194">
        <v>0</v>
      </c>
      <c r="L194">
        <v>148941.67000000001</v>
      </c>
      <c r="M194" t="s">
        <v>104</v>
      </c>
    </row>
    <row r="195" spans="1:13" x14ac:dyDescent="0.25">
      <c r="A195" t="s">
        <v>674</v>
      </c>
      <c r="B195" t="s">
        <v>675</v>
      </c>
      <c r="C195" t="s">
        <v>676</v>
      </c>
      <c r="D195" t="s">
        <v>99</v>
      </c>
      <c r="E195" s="2">
        <v>44483</v>
      </c>
      <c r="F195">
        <v>3000000</v>
      </c>
      <c r="G195" s="2">
        <v>44585</v>
      </c>
      <c r="H195">
        <v>2022</v>
      </c>
      <c r="I195">
        <v>29414.52000000004</v>
      </c>
      <c r="J195">
        <v>124123.09</v>
      </c>
      <c r="K195">
        <v>0</v>
      </c>
      <c r="L195">
        <v>153537.60999999999</v>
      </c>
      <c r="M195" t="s">
        <v>104</v>
      </c>
    </row>
    <row r="196" spans="1:13" x14ac:dyDescent="0.25">
      <c r="A196" t="s">
        <v>677</v>
      </c>
      <c r="B196" t="s">
        <v>678</v>
      </c>
      <c r="C196" t="s">
        <v>679</v>
      </c>
      <c r="D196" t="s">
        <v>99</v>
      </c>
      <c r="E196" s="2">
        <v>44532</v>
      </c>
      <c r="F196">
        <v>4000000</v>
      </c>
      <c r="G196" s="2">
        <v>44582</v>
      </c>
      <c r="H196">
        <v>2022</v>
      </c>
      <c r="I196">
        <v>32902.469999999987</v>
      </c>
      <c r="J196">
        <v>229045.58</v>
      </c>
      <c r="K196">
        <v>0</v>
      </c>
      <c r="L196">
        <v>261948.05</v>
      </c>
      <c r="M196" t="s">
        <v>111</v>
      </c>
    </row>
    <row r="197" spans="1:13" x14ac:dyDescent="0.25">
      <c r="A197" t="s">
        <v>680</v>
      </c>
      <c r="B197" t="s">
        <v>681</v>
      </c>
      <c r="C197" t="s">
        <v>682</v>
      </c>
      <c r="D197" t="s">
        <v>99</v>
      </c>
      <c r="E197" s="2">
        <v>44593</v>
      </c>
      <c r="F197">
        <v>10000000</v>
      </c>
      <c r="G197" s="2">
        <v>44622</v>
      </c>
      <c r="H197">
        <v>2022</v>
      </c>
      <c r="I197">
        <v>45254.97</v>
      </c>
      <c r="J197">
        <v>216075.53</v>
      </c>
      <c r="K197">
        <v>0</v>
      </c>
      <c r="L197">
        <v>261330.5</v>
      </c>
      <c r="M197" t="s">
        <v>111</v>
      </c>
    </row>
    <row r="198" spans="1:13" x14ac:dyDescent="0.25">
      <c r="A198" t="s">
        <v>683</v>
      </c>
      <c r="B198" t="s">
        <v>684</v>
      </c>
      <c r="C198" t="s">
        <v>685</v>
      </c>
      <c r="D198" t="s">
        <v>99</v>
      </c>
      <c r="E198" s="2">
        <v>44336</v>
      </c>
      <c r="F198">
        <v>5000000</v>
      </c>
      <c r="G198" s="2">
        <v>44607</v>
      </c>
      <c r="H198">
        <v>2022</v>
      </c>
      <c r="I198">
        <v>17400.96</v>
      </c>
      <c r="J198">
        <v>75235.899999999994</v>
      </c>
      <c r="K198">
        <v>0</v>
      </c>
      <c r="L198">
        <v>92636.86</v>
      </c>
      <c r="M198" t="s">
        <v>246</v>
      </c>
    </row>
    <row r="199" spans="1:13" x14ac:dyDescent="0.25">
      <c r="A199" t="s">
        <v>686</v>
      </c>
      <c r="B199" t="s">
        <v>687</v>
      </c>
      <c r="C199" t="s">
        <v>688</v>
      </c>
      <c r="D199" t="s">
        <v>99</v>
      </c>
      <c r="E199" s="2">
        <v>44321</v>
      </c>
      <c r="F199">
        <v>3000000</v>
      </c>
      <c r="G199" s="2">
        <v>44385</v>
      </c>
      <c r="H199">
        <v>2021</v>
      </c>
      <c r="I199">
        <v>15959.47000000005</v>
      </c>
      <c r="J199">
        <v>55163.45</v>
      </c>
      <c r="K199">
        <v>0</v>
      </c>
      <c r="L199">
        <v>71122.92</v>
      </c>
      <c r="M199" t="s">
        <v>283</v>
      </c>
    </row>
    <row r="200" spans="1:13" x14ac:dyDescent="0.25">
      <c r="A200" t="s">
        <v>689</v>
      </c>
      <c r="B200" t="s">
        <v>690</v>
      </c>
      <c r="C200" t="s">
        <v>691</v>
      </c>
      <c r="D200" t="s">
        <v>99</v>
      </c>
      <c r="E200" s="2">
        <v>44504</v>
      </c>
      <c r="F200">
        <v>5000000</v>
      </c>
      <c r="G200" s="2">
        <v>44639</v>
      </c>
      <c r="H200">
        <v>2022</v>
      </c>
      <c r="I200">
        <v>121980.69</v>
      </c>
      <c r="J200">
        <v>711675.43</v>
      </c>
      <c r="K200">
        <v>0</v>
      </c>
      <c r="L200">
        <v>833656.12</v>
      </c>
      <c r="M200" t="s">
        <v>186</v>
      </c>
    </row>
    <row r="201" spans="1:13" x14ac:dyDescent="0.25">
      <c r="A201" t="s">
        <v>692</v>
      </c>
      <c r="B201" t="s">
        <v>693</v>
      </c>
      <c r="C201" t="s">
        <v>694</v>
      </c>
      <c r="D201" t="s">
        <v>99</v>
      </c>
      <c r="E201" s="2">
        <v>44335</v>
      </c>
      <c r="F201">
        <v>5000000</v>
      </c>
      <c r="G201" s="2">
        <v>44594</v>
      </c>
      <c r="H201">
        <v>2022</v>
      </c>
      <c r="I201">
        <v>9346.0400000000009</v>
      </c>
      <c r="J201">
        <v>61562.47</v>
      </c>
      <c r="K201">
        <v>0</v>
      </c>
      <c r="L201">
        <v>70908.509999999995</v>
      </c>
      <c r="M201" t="s">
        <v>200</v>
      </c>
    </row>
    <row r="202" spans="1:13" x14ac:dyDescent="0.25">
      <c r="A202" t="s">
        <v>695</v>
      </c>
      <c r="B202" t="s">
        <v>696</v>
      </c>
      <c r="C202" t="s">
        <v>697</v>
      </c>
      <c r="D202" t="s">
        <v>99</v>
      </c>
      <c r="E202" s="2">
        <v>44655</v>
      </c>
      <c r="F202">
        <v>5000000</v>
      </c>
      <c r="G202" s="2">
        <v>44678</v>
      </c>
      <c r="H202">
        <v>2022</v>
      </c>
      <c r="I202">
        <v>22354.039999999979</v>
      </c>
      <c r="J202">
        <v>167035.21</v>
      </c>
      <c r="K202">
        <v>0</v>
      </c>
      <c r="L202">
        <v>189389.25</v>
      </c>
      <c r="M202" t="s">
        <v>100</v>
      </c>
    </row>
    <row r="203" spans="1:13" x14ac:dyDescent="0.25">
      <c r="A203" t="s">
        <v>698</v>
      </c>
      <c r="B203" t="s">
        <v>699</v>
      </c>
      <c r="C203" t="s">
        <v>700</v>
      </c>
      <c r="D203" t="s">
        <v>99</v>
      </c>
      <c r="E203" s="2">
        <v>44607</v>
      </c>
      <c r="F203">
        <v>1000000</v>
      </c>
      <c r="G203" s="2">
        <v>44669</v>
      </c>
      <c r="H203">
        <v>2022</v>
      </c>
      <c r="I203">
        <v>49573.43</v>
      </c>
      <c r="J203">
        <v>328133.53000000003</v>
      </c>
      <c r="K203">
        <v>0</v>
      </c>
      <c r="L203">
        <v>377706.96</v>
      </c>
      <c r="M203" t="s">
        <v>144</v>
      </c>
    </row>
    <row r="204" spans="1:13" x14ac:dyDescent="0.25">
      <c r="A204" t="s">
        <v>701</v>
      </c>
      <c r="B204" t="s">
        <v>702</v>
      </c>
      <c r="C204" t="s">
        <v>703</v>
      </c>
      <c r="D204" t="s">
        <v>99</v>
      </c>
      <c r="E204" s="2">
        <v>44311</v>
      </c>
      <c r="F204">
        <v>5000000</v>
      </c>
      <c r="G204" s="2">
        <v>44647</v>
      </c>
      <c r="H204">
        <v>2022</v>
      </c>
      <c r="I204">
        <v>18526.189999999959</v>
      </c>
      <c r="J204">
        <v>104463.82</v>
      </c>
      <c r="K204">
        <v>0</v>
      </c>
      <c r="L204">
        <v>122990.01</v>
      </c>
      <c r="M204" t="s">
        <v>236</v>
      </c>
    </row>
    <row r="205" spans="1:13" x14ac:dyDescent="0.25">
      <c r="A205" t="s">
        <v>704</v>
      </c>
      <c r="B205" t="s">
        <v>705</v>
      </c>
      <c r="C205" t="s">
        <v>706</v>
      </c>
      <c r="D205" t="s">
        <v>99</v>
      </c>
      <c r="E205" s="2">
        <v>44539</v>
      </c>
      <c r="F205">
        <v>5000000</v>
      </c>
      <c r="G205" s="2">
        <v>44645</v>
      </c>
      <c r="H205">
        <v>2022</v>
      </c>
      <c r="I205">
        <v>17139.189999999959</v>
      </c>
      <c r="J205">
        <v>59988.83</v>
      </c>
      <c r="K205">
        <v>0</v>
      </c>
      <c r="L205">
        <v>77128.02</v>
      </c>
      <c r="M205" t="s">
        <v>200</v>
      </c>
    </row>
    <row r="206" spans="1:13" x14ac:dyDescent="0.25">
      <c r="A206" t="s">
        <v>707</v>
      </c>
      <c r="B206" t="s">
        <v>708</v>
      </c>
      <c r="C206" t="s">
        <v>709</v>
      </c>
      <c r="D206" t="s">
        <v>99</v>
      </c>
      <c r="E206" s="2">
        <v>44560</v>
      </c>
      <c r="F206">
        <v>1000000</v>
      </c>
      <c r="G206" s="2">
        <v>44672</v>
      </c>
      <c r="H206">
        <v>2022</v>
      </c>
      <c r="I206">
        <v>16019.169999999969</v>
      </c>
      <c r="J206">
        <v>59930.02</v>
      </c>
      <c r="K206">
        <v>0</v>
      </c>
      <c r="L206">
        <v>75949.19</v>
      </c>
      <c r="M206" t="s">
        <v>200</v>
      </c>
    </row>
    <row r="207" spans="1:13" x14ac:dyDescent="0.25">
      <c r="A207" t="s">
        <v>710</v>
      </c>
      <c r="B207" t="s">
        <v>711</v>
      </c>
      <c r="C207" t="s">
        <v>712</v>
      </c>
      <c r="D207" t="s">
        <v>99</v>
      </c>
      <c r="E207" s="2">
        <v>44604</v>
      </c>
      <c r="F207">
        <v>5000000</v>
      </c>
      <c r="G207" s="2">
        <v>44675</v>
      </c>
      <c r="H207">
        <v>2022</v>
      </c>
      <c r="I207">
        <v>75465.490000000005</v>
      </c>
      <c r="J207">
        <v>294313.14</v>
      </c>
      <c r="K207">
        <v>0</v>
      </c>
      <c r="L207">
        <v>369778.63</v>
      </c>
      <c r="M207" t="s">
        <v>130</v>
      </c>
    </row>
    <row r="208" spans="1:13" x14ac:dyDescent="0.25">
      <c r="A208" t="s">
        <v>713</v>
      </c>
      <c r="B208" t="s">
        <v>714</v>
      </c>
      <c r="C208" t="s">
        <v>715</v>
      </c>
      <c r="D208" t="s">
        <v>99</v>
      </c>
      <c r="E208" s="2">
        <v>44363</v>
      </c>
      <c r="F208">
        <v>4000000</v>
      </c>
      <c r="G208" s="2">
        <v>44660</v>
      </c>
      <c r="H208">
        <v>2022</v>
      </c>
      <c r="I208">
        <v>71971.37</v>
      </c>
      <c r="J208">
        <v>319197.46000000002</v>
      </c>
      <c r="K208">
        <v>0</v>
      </c>
      <c r="L208">
        <v>391168.83</v>
      </c>
      <c r="M208" t="s">
        <v>144</v>
      </c>
    </row>
    <row r="209" spans="1:13" x14ac:dyDescent="0.25">
      <c r="A209" t="s">
        <v>716</v>
      </c>
      <c r="B209" t="s">
        <v>717</v>
      </c>
      <c r="C209" t="s">
        <v>718</v>
      </c>
      <c r="D209" t="s">
        <v>99</v>
      </c>
      <c r="E209" s="2">
        <v>44457</v>
      </c>
      <c r="F209">
        <v>1000000</v>
      </c>
      <c r="G209" s="2">
        <v>44702</v>
      </c>
      <c r="H209">
        <v>2022</v>
      </c>
      <c r="I209">
        <v>14768.740000000042</v>
      </c>
      <c r="J209">
        <v>58852.66</v>
      </c>
      <c r="K209">
        <v>0</v>
      </c>
      <c r="L209">
        <v>73621.399999999994</v>
      </c>
      <c r="M209" t="s">
        <v>182</v>
      </c>
    </row>
    <row r="210" spans="1:13" x14ac:dyDescent="0.25">
      <c r="A210" t="s">
        <v>719</v>
      </c>
      <c r="B210" t="s">
        <v>720</v>
      </c>
      <c r="C210" t="s">
        <v>721</v>
      </c>
      <c r="D210" t="s">
        <v>99</v>
      </c>
      <c r="E210" s="2">
        <v>44347</v>
      </c>
      <c r="F210">
        <v>3000000</v>
      </c>
      <c r="G210" s="2">
        <v>44683</v>
      </c>
      <c r="H210">
        <v>2022</v>
      </c>
      <c r="I210">
        <v>20285.950000000012</v>
      </c>
      <c r="J210">
        <v>106957.7</v>
      </c>
      <c r="K210">
        <v>0</v>
      </c>
      <c r="L210">
        <v>127243.65</v>
      </c>
      <c r="M210" t="s">
        <v>236</v>
      </c>
    </row>
    <row r="211" spans="1:13" x14ac:dyDescent="0.25">
      <c r="A211" t="s">
        <v>722</v>
      </c>
      <c r="B211" t="s">
        <v>723</v>
      </c>
      <c r="C211" t="s">
        <v>724</v>
      </c>
      <c r="D211" t="s">
        <v>99</v>
      </c>
      <c r="E211" s="2">
        <v>44471</v>
      </c>
      <c r="F211">
        <v>3000000</v>
      </c>
      <c r="G211" s="2">
        <v>44697</v>
      </c>
      <c r="H211">
        <v>2022</v>
      </c>
      <c r="I211">
        <v>12134.919999999998</v>
      </c>
      <c r="J211">
        <v>72237.960000000006</v>
      </c>
      <c r="K211">
        <v>0</v>
      </c>
      <c r="L211">
        <v>84372.88</v>
      </c>
      <c r="M211" t="s">
        <v>246</v>
      </c>
    </row>
    <row r="212" spans="1:13" x14ac:dyDescent="0.25">
      <c r="A212" t="s">
        <v>725</v>
      </c>
      <c r="B212" t="s">
        <v>726</v>
      </c>
      <c r="C212" t="s">
        <v>727</v>
      </c>
      <c r="D212" t="s">
        <v>99</v>
      </c>
      <c r="E212" s="2">
        <v>44688</v>
      </c>
      <c r="F212">
        <v>4000000</v>
      </c>
      <c r="G212" s="2">
        <v>44711</v>
      </c>
      <c r="H212">
        <v>2022</v>
      </c>
      <c r="I212">
        <v>13996.969999999959</v>
      </c>
      <c r="J212">
        <v>52612.38</v>
      </c>
      <c r="K212">
        <v>0</v>
      </c>
      <c r="L212">
        <v>66609.350000000006</v>
      </c>
      <c r="M212" t="s">
        <v>283</v>
      </c>
    </row>
    <row r="213" spans="1:13" x14ac:dyDescent="0.25">
      <c r="A213" t="s">
        <v>728</v>
      </c>
      <c r="B213" t="s">
        <v>729</v>
      </c>
      <c r="C213" t="s">
        <v>730</v>
      </c>
      <c r="D213" t="s">
        <v>99</v>
      </c>
      <c r="E213" s="2">
        <v>44669</v>
      </c>
      <c r="F213">
        <v>4000000</v>
      </c>
      <c r="G213" s="2">
        <v>44714</v>
      </c>
      <c r="H213">
        <v>2022</v>
      </c>
      <c r="I213">
        <v>41630.919999999976</v>
      </c>
      <c r="J213">
        <v>378279.45</v>
      </c>
      <c r="K213">
        <v>0</v>
      </c>
      <c r="L213">
        <v>419910.37</v>
      </c>
      <c r="M213" t="s">
        <v>152</v>
      </c>
    </row>
    <row r="214" spans="1:13" x14ac:dyDescent="0.25">
      <c r="A214" t="s">
        <v>731</v>
      </c>
      <c r="B214" t="s">
        <v>732</v>
      </c>
      <c r="C214" t="s">
        <v>733</v>
      </c>
      <c r="D214" t="s">
        <v>99</v>
      </c>
      <c r="E214" s="2">
        <v>44681</v>
      </c>
      <c r="F214">
        <v>5000000</v>
      </c>
      <c r="G214" s="2">
        <v>44700</v>
      </c>
      <c r="H214">
        <v>2022</v>
      </c>
      <c r="I214">
        <v>16088.910000000029</v>
      </c>
      <c r="J214">
        <v>96022.26</v>
      </c>
      <c r="K214">
        <v>0</v>
      </c>
      <c r="L214">
        <v>112111.17</v>
      </c>
      <c r="M214" t="s">
        <v>174</v>
      </c>
    </row>
    <row r="215" spans="1:13" x14ac:dyDescent="0.25">
      <c r="A215" t="s">
        <v>734</v>
      </c>
      <c r="B215" t="s">
        <v>735</v>
      </c>
      <c r="C215" t="s">
        <v>736</v>
      </c>
      <c r="D215" t="s">
        <v>99</v>
      </c>
      <c r="E215" s="2">
        <v>44583</v>
      </c>
      <c r="F215">
        <v>2000000</v>
      </c>
      <c r="G215" s="2">
        <v>44636</v>
      </c>
      <c r="H215">
        <v>2022</v>
      </c>
      <c r="I215">
        <v>31033.149999999969</v>
      </c>
      <c r="J215">
        <v>113482.71</v>
      </c>
      <c r="K215">
        <v>0</v>
      </c>
      <c r="L215">
        <v>144515.85999999999</v>
      </c>
      <c r="M215" t="s">
        <v>236</v>
      </c>
    </row>
    <row r="216" spans="1:13" x14ac:dyDescent="0.25">
      <c r="A216" t="s">
        <v>737</v>
      </c>
      <c r="B216" t="s">
        <v>738</v>
      </c>
      <c r="C216" t="s">
        <v>739</v>
      </c>
      <c r="D216" t="s">
        <v>99</v>
      </c>
      <c r="E216" s="2">
        <v>44547</v>
      </c>
      <c r="F216">
        <v>1000000</v>
      </c>
      <c r="G216" s="2">
        <v>44642</v>
      </c>
      <c r="H216">
        <v>2022</v>
      </c>
      <c r="I216">
        <v>36623.559999999969</v>
      </c>
      <c r="J216">
        <v>321207.81</v>
      </c>
      <c r="K216">
        <v>0</v>
      </c>
      <c r="L216">
        <v>357831.37</v>
      </c>
      <c r="M216" t="s">
        <v>144</v>
      </c>
    </row>
    <row r="217" spans="1:13" x14ac:dyDescent="0.25">
      <c r="A217" t="s">
        <v>740</v>
      </c>
      <c r="B217" t="s">
        <v>741</v>
      </c>
      <c r="C217" t="s">
        <v>742</v>
      </c>
      <c r="D217" t="s">
        <v>99</v>
      </c>
      <c r="E217" s="2">
        <v>44601</v>
      </c>
      <c r="F217">
        <v>1000000</v>
      </c>
      <c r="G217" s="2">
        <v>44723</v>
      </c>
      <c r="H217">
        <v>2022</v>
      </c>
      <c r="I217">
        <v>19709.610000000008</v>
      </c>
      <c r="J217">
        <v>74949.53</v>
      </c>
      <c r="K217">
        <v>0</v>
      </c>
      <c r="L217">
        <v>94659.14</v>
      </c>
      <c r="M217" t="s">
        <v>246</v>
      </c>
    </row>
    <row r="218" spans="1:13" x14ac:dyDescent="0.25">
      <c r="A218" t="s">
        <v>743</v>
      </c>
      <c r="B218" t="s">
        <v>744</v>
      </c>
      <c r="C218" t="s">
        <v>745</v>
      </c>
      <c r="D218" t="s">
        <v>99</v>
      </c>
      <c r="E218" s="2">
        <v>44633</v>
      </c>
      <c r="F218">
        <v>2000000</v>
      </c>
      <c r="G218" s="2">
        <v>44708</v>
      </c>
      <c r="H218">
        <v>2022</v>
      </c>
      <c r="I218">
        <v>18265.069999999971</v>
      </c>
      <c r="J218">
        <v>73739.02</v>
      </c>
      <c r="K218">
        <v>0</v>
      </c>
      <c r="L218">
        <v>92004.09</v>
      </c>
      <c r="M218" t="s">
        <v>246</v>
      </c>
    </row>
    <row r="219" spans="1:13" x14ac:dyDescent="0.25">
      <c r="A219" t="s">
        <v>746</v>
      </c>
      <c r="B219" t="s">
        <v>747</v>
      </c>
      <c r="C219" t="s">
        <v>565</v>
      </c>
      <c r="D219" t="s">
        <v>99</v>
      </c>
      <c r="E219" s="2">
        <v>44684</v>
      </c>
      <c r="F219">
        <v>10000000</v>
      </c>
      <c r="G219" s="2">
        <v>44727</v>
      </c>
      <c r="H219">
        <v>2022</v>
      </c>
      <c r="I219">
        <v>181977.33000000002</v>
      </c>
      <c r="J219">
        <v>710334.98</v>
      </c>
      <c r="K219">
        <v>0</v>
      </c>
      <c r="L219">
        <v>892312.31</v>
      </c>
      <c r="M219" t="s">
        <v>186</v>
      </c>
    </row>
    <row r="220" spans="1:13" x14ac:dyDescent="0.25">
      <c r="A220" t="s">
        <v>748</v>
      </c>
      <c r="B220" t="s">
        <v>749</v>
      </c>
      <c r="C220" t="s">
        <v>750</v>
      </c>
      <c r="D220" t="s">
        <v>99</v>
      </c>
      <c r="E220" s="2">
        <v>44414</v>
      </c>
      <c r="F220">
        <v>2000000</v>
      </c>
      <c r="G220" s="2">
        <v>44721</v>
      </c>
      <c r="H220">
        <v>2022</v>
      </c>
      <c r="I220">
        <v>14690.98000000003</v>
      </c>
      <c r="J220">
        <v>51701.98</v>
      </c>
      <c r="K220">
        <v>0</v>
      </c>
      <c r="L220">
        <v>66392.960000000006</v>
      </c>
      <c r="M220" t="s">
        <v>283</v>
      </c>
    </row>
    <row r="221" spans="1:13" x14ac:dyDescent="0.25">
      <c r="A221" t="s">
        <v>751</v>
      </c>
      <c r="B221" t="s">
        <v>752</v>
      </c>
      <c r="C221" t="s">
        <v>753</v>
      </c>
      <c r="D221" t="s">
        <v>99</v>
      </c>
      <c r="E221" s="2">
        <v>44448</v>
      </c>
      <c r="F221">
        <v>1000000</v>
      </c>
      <c r="G221" s="2">
        <v>44752</v>
      </c>
      <c r="H221">
        <v>2022</v>
      </c>
      <c r="I221">
        <v>14273.480000000029</v>
      </c>
      <c r="J221">
        <v>134549.63</v>
      </c>
      <c r="K221">
        <v>0</v>
      </c>
      <c r="L221">
        <v>148823.10999999999</v>
      </c>
      <c r="M221" t="s">
        <v>193</v>
      </c>
    </row>
    <row r="222" spans="1:13" x14ac:dyDescent="0.25">
      <c r="A222" t="s">
        <v>754</v>
      </c>
      <c r="B222" t="s">
        <v>755</v>
      </c>
      <c r="C222" t="s">
        <v>756</v>
      </c>
      <c r="D222" t="s">
        <v>99</v>
      </c>
      <c r="E222" s="2">
        <v>44588</v>
      </c>
      <c r="F222">
        <v>4000000</v>
      </c>
      <c r="G222" s="2">
        <v>44646</v>
      </c>
      <c r="H222">
        <v>2022</v>
      </c>
      <c r="I222">
        <v>25775.150000000009</v>
      </c>
      <c r="J222">
        <v>151696.85999999999</v>
      </c>
      <c r="K222">
        <v>0</v>
      </c>
      <c r="L222">
        <v>177472.01</v>
      </c>
      <c r="M222" t="s">
        <v>484</v>
      </c>
    </row>
    <row r="223" spans="1:13" x14ac:dyDescent="0.25">
      <c r="A223" t="s">
        <v>757</v>
      </c>
      <c r="B223" t="s">
        <v>758</v>
      </c>
      <c r="C223" t="s">
        <v>759</v>
      </c>
      <c r="D223" t="s">
        <v>99</v>
      </c>
      <c r="E223" s="2">
        <v>44475</v>
      </c>
      <c r="F223">
        <v>4000000</v>
      </c>
      <c r="G223" s="2">
        <v>44715</v>
      </c>
      <c r="H223">
        <v>2022</v>
      </c>
      <c r="I223">
        <v>15194.420000000029</v>
      </c>
      <c r="J223">
        <v>143378.31</v>
      </c>
      <c r="K223">
        <v>0</v>
      </c>
      <c r="L223">
        <v>158572.73000000001</v>
      </c>
      <c r="M223" t="s">
        <v>115</v>
      </c>
    </row>
    <row r="224" spans="1:13" x14ac:dyDescent="0.25">
      <c r="A224" t="s">
        <v>760</v>
      </c>
      <c r="B224" t="s">
        <v>761</v>
      </c>
      <c r="C224" t="s">
        <v>762</v>
      </c>
      <c r="D224" t="s">
        <v>99</v>
      </c>
      <c r="E224" s="2">
        <v>44458</v>
      </c>
      <c r="F224">
        <v>1000000</v>
      </c>
      <c r="G224" s="2">
        <v>44762</v>
      </c>
      <c r="H224">
        <v>2022</v>
      </c>
      <c r="I224">
        <v>8917.6</v>
      </c>
      <c r="J224">
        <v>87994.63</v>
      </c>
      <c r="K224">
        <v>0</v>
      </c>
      <c r="L224">
        <v>96912.23</v>
      </c>
      <c r="M224" t="s">
        <v>229</v>
      </c>
    </row>
    <row r="225" spans="1:13" x14ac:dyDescent="0.25">
      <c r="A225" t="s">
        <v>763</v>
      </c>
      <c r="B225" t="s">
        <v>764</v>
      </c>
      <c r="C225" t="s">
        <v>765</v>
      </c>
      <c r="D225" t="s">
        <v>99</v>
      </c>
      <c r="E225" s="2">
        <v>44316</v>
      </c>
      <c r="F225">
        <v>3000000</v>
      </c>
      <c r="G225" s="2">
        <v>44514</v>
      </c>
      <c r="H225">
        <v>2021</v>
      </c>
      <c r="I225">
        <v>104646.11</v>
      </c>
      <c r="J225">
        <v>497160.3</v>
      </c>
      <c r="K225">
        <v>0</v>
      </c>
      <c r="L225">
        <v>601806.41</v>
      </c>
      <c r="M225" t="s">
        <v>163</v>
      </c>
    </row>
    <row r="226" spans="1:13" x14ac:dyDescent="0.25">
      <c r="A226" t="s">
        <v>766</v>
      </c>
      <c r="B226" t="s">
        <v>767</v>
      </c>
      <c r="C226" t="s">
        <v>768</v>
      </c>
      <c r="D226" t="s">
        <v>99</v>
      </c>
      <c r="E226" s="2">
        <v>44477</v>
      </c>
      <c r="F226">
        <v>10000000</v>
      </c>
      <c r="G226" s="2">
        <v>44767</v>
      </c>
      <c r="H226">
        <v>2022</v>
      </c>
      <c r="I226">
        <v>1190024</v>
      </c>
      <c r="J226">
        <v>4663266.78</v>
      </c>
      <c r="K226">
        <v>0</v>
      </c>
      <c r="L226">
        <v>5853290.7800000003</v>
      </c>
      <c r="M226" t="s">
        <v>375</v>
      </c>
    </row>
    <row r="227" spans="1:13" x14ac:dyDescent="0.25">
      <c r="A227" t="s">
        <v>769</v>
      </c>
      <c r="B227" t="s">
        <v>770</v>
      </c>
      <c r="C227" t="s">
        <v>771</v>
      </c>
      <c r="D227" t="s">
        <v>99</v>
      </c>
      <c r="E227" s="2">
        <v>44043</v>
      </c>
      <c r="F227">
        <v>2000000</v>
      </c>
      <c r="G227" s="2">
        <v>44347</v>
      </c>
      <c r="H227">
        <v>2021</v>
      </c>
      <c r="I227">
        <v>20140.51999999999</v>
      </c>
      <c r="J227">
        <v>134366.72</v>
      </c>
      <c r="K227">
        <v>0</v>
      </c>
      <c r="L227">
        <v>154507.24</v>
      </c>
      <c r="M227" t="s">
        <v>193</v>
      </c>
    </row>
    <row r="228" spans="1:13" x14ac:dyDescent="0.25">
      <c r="A228" t="s">
        <v>772</v>
      </c>
      <c r="B228" t="s">
        <v>773</v>
      </c>
      <c r="C228" t="s">
        <v>409</v>
      </c>
      <c r="D228" t="s">
        <v>99</v>
      </c>
      <c r="E228" s="2">
        <v>44609</v>
      </c>
      <c r="F228">
        <v>1000000</v>
      </c>
      <c r="G228" s="2">
        <v>44685</v>
      </c>
      <c r="H228">
        <v>2022</v>
      </c>
      <c r="I228">
        <v>107386.37000000001</v>
      </c>
      <c r="J228">
        <v>395232.1</v>
      </c>
      <c r="K228">
        <v>0</v>
      </c>
      <c r="L228">
        <v>502618.47</v>
      </c>
      <c r="M228" t="s">
        <v>152</v>
      </c>
    </row>
    <row r="229" spans="1:13" x14ac:dyDescent="0.25">
      <c r="A229" t="s">
        <v>774</v>
      </c>
      <c r="B229" t="s">
        <v>775</v>
      </c>
      <c r="C229" t="s">
        <v>776</v>
      </c>
      <c r="D229" t="s">
        <v>99</v>
      </c>
      <c r="E229" s="2">
        <v>44520</v>
      </c>
      <c r="F229">
        <v>5000000</v>
      </c>
      <c r="G229" s="2">
        <v>44691</v>
      </c>
      <c r="H229">
        <v>2022</v>
      </c>
      <c r="I229">
        <v>20407.60999999999</v>
      </c>
      <c r="J229">
        <v>82675.5</v>
      </c>
      <c r="K229">
        <v>0</v>
      </c>
      <c r="L229">
        <v>103083.11</v>
      </c>
      <c r="M229" t="s">
        <v>229</v>
      </c>
    </row>
    <row r="230" spans="1:13" x14ac:dyDescent="0.25">
      <c r="A230" t="s">
        <v>777</v>
      </c>
      <c r="B230" t="s">
        <v>778</v>
      </c>
      <c r="C230" t="s">
        <v>779</v>
      </c>
      <c r="D230" t="s">
        <v>99</v>
      </c>
      <c r="E230" s="2">
        <v>44670</v>
      </c>
      <c r="F230">
        <v>1000000</v>
      </c>
      <c r="G230" s="2">
        <v>44799</v>
      </c>
      <c r="H230">
        <v>2022</v>
      </c>
      <c r="I230">
        <v>29927.64000000005</v>
      </c>
      <c r="J230">
        <v>148558.74</v>
      </c>
      <c r="K230">
        <v>0</v>
      </c>
      <c r="L230">
        <v>178486.38</v>
      </c>
      <c r="M230" t="s">
        <v>115</v>
      </c>
    </row>
    <row r="231" spans="1:13" x14ac:dyDescent="0.25">
      <c r="A231" t="s">
        <v>780</v>
      </c>
      <c r="B231" t="s">
        <v>781</v>
      </c>
      <c r="C231" t="s">
        <v>782</v>
      </c>
      <c r="D231" t="s">
        <v>99</v>
      </c>
      <c r="E231" s="2">
        <v>44514</v>
      </c>
      <c r="F231">
        <v>5000000</v>
      </c>
      <c r="G231" s="2">
        <v>44797</v>
      </c>
      <c r="H231">
        <v>2022</v>
      </c>
      <c r="I231">
        <v>106887.58</v>
      </c>
      <c r="J231">
        <v>418636.89</v>
      </c>
      <c r="K231">
        <v>0</v>
      </c>
      <c r="L231">
        <v>525524.47</v>
      </c>
      <c r="M231" t="s">
        <v>152</v>
      </c>
    </row>
    <row r="232" spans="1:13" x14ac:dyDescent="0.25">
      <c r="A232" t="s">
        <v>783</v>
      </c>
      <c r="B232" t="s">
        <v>784</v>
      </c>
      <c r="C232" t="s">
        <v>785</v>
      </c>
      <c r="D232" t="s">
        <v>99</v>
      </c>
      <c r="E232" s="2">
        <v>44666</v>
      </c>
      <c r="F232">
        <v>4000000</v>
      </c>
      <c r="G232" s="2">
        <v>44766</v>
      </c>
      <c r="H232">
        <v>2022</v>
      </c>
      <c r="I232">
        <v>11271.24</v>
      </c>
      <c r="J232">
        <v>98552.27</v>
      </c>
      <c r="K232">
        <v>0</v>
      </c>
      <c r="L232">
        <v>109823.51</v>
      </c>
      <c r="M232" t="s">
        <v>170</v>
      </c>
    </row>
    <row r="233" spans="1:13" x14ac:dyDescent="0.25">
      <c r="A233" t="s">
        <v>786</v>
      </c>
      <c r="B233" t="s">
        <v>787</v>
      </c>
      <c r="C233" t="s">
        <v>788</v>
      </c>
      <c r="D233" t="s">
        <v>99</v>
      </c>
      <c r="E233" s="2">
        <v>44599</v>
      </c>
      <c r="F233">
        <v>4000000</v>
      </c>
      <c r="G233" s="2">
        <v>44788</v>
      </c>
      <c r="H233">
        <v>2022</v>
      </c>
      <c r="I233">
        <v>34425.24</v>
      </c>
      <c r="J233">
        <v>122815.95</v>
      </c>
      <c r="K233">
        <v>0</v>
      </c>
      <c r="L233">
        <v>157241.19</v>
      </c>
      <c r="M233" t="s">
        <v>104</v>
      </c>
    </row>
    <row r="234" spans="1:13" x14ac:dyDescent="0.25">
      <c r="A234" t="s">
        <v>789</v>
      </c>
      <c r="B234" t="s">
        <v>790</v>
      </c>
      <c r="C234" t="s">
        <v>791</v>
      </c>
      <c r="D234" t="s">
        <v>99</v>
      </c>
      <c r="E234" s="2">
        <v>44579</v>
      </c>
      <c r="F234">
        <v>5000000</v>
      </c>
      <c r="G234" s="2">
        <v>44695</v>
      </c>
      <c r="H234">
        <v>2022</v>
      </c>
      <c r="I234">
        <v>33365.799999999981</v>
      </c>
      <c r="J234">
        <v>162543</v>
      </c>
      <c r="K234">
        <v>0</v>
      </c>
      <c r="L234">
        <v>195908.8</v>
      </c>
      <c r="M234" t="s">
        <v>100</v>
      </c>
    </row>
    <row r="235" spans="1:13" x14ac:dyDescent="0.25">
      <c r="A235" t="s">
        <v>792</v>
      </c>
      <c r="B235" t="s">
        <v>793</v>
      </c>
      <c r="C235" t="s">
        <v>794</v>
      </c>
      <c r="D235" t="s">
        <v>99</v>
      </c>
      <c r="E235" s="2">
        <v>44755</v>
      </c>
      <c r="F235">
        <v>1000000</v>
      </c>
      <c r="G235" s="2">
        <v>44795</v>
      </c>
      <c r="H235">
        <v>2022</v>
      </c>
      <c r="I235">
        <v>13835.450000000012</v>
      </c>
      <c r="J235">
        <v>77112.86</v>
      </c>
      <c r="K235">
        <v>0</v>
      </c>
      <c r="L235">
        <v>90948.31</v>
      </c>
      <c r="M235" t="s">
        <v>126</v>
      </c>
    </row>
    <row r="236" spans="1:13" x14ac:dyDescent="0.25">
      <c r="A236" t="s">
        <v>795</v>
      </c>
      <c r="B236" t="s">
        <v>796</v>
      </c>
      <c r="C236" t="s">
        <v>797</v>
      </c>
      <c r="D236" t="s">
        <v>99</v>
      </c>
      <c r="E236" s="2">
        <v>44579</v>
      </c>
      <c r="F236">
        <v>4000000</v>
      </c>
      <c r="G236" s="2">
        <v>44796</v>
      </c>
      <c r="H236">
        <v>2022</v>
      </c>
      <c r="I236">
        <v>78130.95</v>
      </c>
      <c r="J236">
        <v>303805.71000000002</v>
      </c>
      <c r="K236">
        <v>0</v>
      </c>
      <c r="L236">
        <v>381936.66</v>
      </c>
      <c r="M236" t="s">
        <v>130</v>
      </c>
    </row>
    <row r="237" spans="1:13" x14ac:dyDescent="0.25">
      <c r="A237" t="s">
        <v>798</v>
      </c>
      <c r="B237" t="s">
        <v>799</v>
      </c>
      <c r="C237" t="s">
        <v>800</v>
      </c>
      <c r="D237" t="s">
        <v>99</v>
      </c>
      <c r="E237" s="2">
        <v>44593</v>
      </c>
      <c r="F237">
        <v>1000000</v>
      </c>
      <c r="G237" s="2">
        <v>44778</v>
      </c>
      <c r="H237">
        <v>2022</v>
      </c>
      <c r="I237">
        <v>18001.390000000039</v>
      </c>
      <c r="J237">
        <v>81135.27</v>
      </c>
      <c r="K237">
        <v>0</v>
      </c>
      <c r="L237">
        <v>99136.66</v>
      </c>
      <c r="M237" t="s">
        <v>126</v>
      </c>
    </row>
    <row r="238" spans="1:13" x14ac:dyDescent="0.25">
      <c r="A238" t="s">
        <v>801</v>
      </c>
      <c r="B238" t="s">
        <v>802</v>
      </c>
      <c r="C238" t="s">
        <v>803</v>
      </c>
      <c r="D238" t="s">
        <v>99</v>
      </c>
      <c r="E238" s="2">
        <v>44665</v>
      </c>
      <c r="F238">
        <v>2000000</v>
      </c>
      <c r="G238" s="2">
        <v>44816</v>
      </c>
      <c r="H238">
        <v>2022</v>
      </c>
      <c r="I238">
        <v>399921.38</v>
      </c>
      <c r="J238">
        <v>1554764.32</v>
      </c>
      <c r="K238">
        <v>0</v>
      </c>
      <c r="L238">
        <v>1954685.7</v>
      </c>
      <c r="M238" t="s">
        <v>119</v>
      </c>
    </row>
    <row r="239" spans="1:13" x14ac:dyDescent="0.25">
      <c r="A239" t="s">
        <v>804</v>
      </c>
      <c r="B239" t="s">
        <v>805</v>
      </c>
      <c r="C239" t="s">
        <v>806</v>
      </c>
      <c r="D239" t="s">
        <v>99</v>
      </c>
      <c r="E239" s="2">
        <v>44585</v>
      </c>
      <c r="F239">
        <v>10000000</v>
      </c>
      <c r="G239" s="2">
        <v>44806</v>
      </c>
      <c r="H239">
        <v>2022</v>
      </c>
      <c r="I239">
        <v>161254.9500000001</v>
      </c>
      <c r="J239">
        <v>620933.46</v>
      </c>
      <c r="K239">
        <v>0</v>
      </c>
      <c r="L239">
        <v>782188.41</v>
      </c>
      <c r="M239" t="s">
        <v>159</v>
      </c>
    </row>
    <row r="240" spans="1:13" x14ac:dyDescent="0.25">
      <c r="A240" t="s">
        <v>807</v>
      </c>
      <c r="B240" t="s">
        <v>808</v>
      </c>
      <c r="C240" t="s">
        <v>809</v>
      </c>
      <c r="D240" t="s">
        <v>99</v>
      </c>
      <c r="E240" s="2">
        <v>44781</v>
      </c>
      <c r="F240">
        <v>1000000</v>
      </c>
      <c r="G240" s="2">
        <v>44827</v>
      </c>
      <c r="H240">
        <v>2022</v>
      </c>
      <c r="I240">
        <v>6763.4199999999901</v>
      </c>
      <c r="J240">
        <v>50921.03</v>
      </c>
      <c r="K240">
        <v>0</v>
      </c>
      <c r="L240">
        <v>57684.45</v>
      </c>
      <c r="M240" t="s">
        <v>314</v>
      </c>
    </row>
    <row r="241" spans="1:13" x14ac:dyDescent="0.25">
      <c r="A241" t="s">
        <v>810</v>
      </c>
      <c r="B241" t="s">
        <v>811</v>
      </c>
      <c r="C241" t="s">
        <v>812</v>
      </c>
      <c r="D241" t="s">
        <v>99</v>
      </c>
      <c r="E241" s="2">
        <v>44599</v>
      </c>
      <c r="F241">
        <v>10000000</v>
      </c>
      <c r="G241" s="2">
        <v>44713</v>
      </c>
      <c r="H241">
        <v>2022</v>
      </c>
      <c r="I241">
        <v>42172.98000000001</v>
      </c>
      <c r="J241">
        <v>177470.38</v>
      </c>
      <c r="K241">
        <v>0</v>
      </c>
      <c r="L241">
        <v>219643.36</v>
      </c>
      <c r="M241" t="s">
        <v>100</v>
      </c>
    </row>
    <row r="242" spans="1:13" x14ac:dyDescent="0.25">
      <c r="A242" t="s">
        <v>813</v>
      </c>
      <c r="B242" t="s">
        <v>814</v>
      </c>
      <c r="C242" t="s">
        <v>815</v>
      </c>
      <c r="D242" t="s">
        <v>99</v>
      </c>
      <c r="E242" s="2">
        <v>44624</v>
      </c>
      <c r="F242">
        <v>4000000</v>
      </c>
      <c r="G242" s="2">
        <v>44795</v>
      </c>
      <c r="H242">
        <v>2022</v>
      </c>
      <c r="I242">
        <v>31825.26999999999</v>
      </c>
      <c r="J242">
        <v>200868.95</v>
      </c>
      <c r="K242">
        <v>0</v>
      </c>
      <c r="L242">
        <v>232694.22</v>
      </c>
      <c r="M242" t="s">
        <v>111</v>
      </c>
    </row>
    <row r="243" spans="1:13" x14ac:dyDescent="0.25">
      <c r="A243" t="s">
        <v>816</v>
      </c>
      <c r="B243" t="s">
        <v>817</v>
      </c>
      <c r="C243" t="s">
        <v>818</v>
      </c>
      <c r="D243" t="s">
        <v>99</v>
      </c>
      <c r="E243" s="2">
        <v>44752</v>
      </c>
      <c r="F243">
        <v>5000000</v>
      </c>
      <c r="G243" s="2">
        <v>44833</v>
      </c>
      <c r="H243">
        <v>2022</v>
      </c>
      <c r="I243">
        <v>23328.37999999995</v>
      </c>
      <c r="J243">
        <v>163858.04</v>
      </c>
      <c r="K243">
        <v>0</v>
      </c>
      <c r="L243">
        <v>187186.42</v>
      </c>
      <c r="M243" t="s">
        <v>100</v>
      </c>
    </row>
    <row r="244" spans="1:13" x14ac:dyDescent="0.25">
      <c r="A244" t="s">
        <v>819</v>
      </c>
      <c r="B244" t="s">
        <v>820</v>
      </c>
      <c r="C244" t="s">
        <v>821</v>
      </c>
      <c r="D244" t="s">
        <v>99</v>
      </c>
      <c r="E244" s="2">
        <v>44468</v>
      </c>
      <c r="F244">
        <v>5000000</v>
      </c>
      <c r="G244" s="2">
        <v>44608</v>
      </c>
      <c r="H244">
        <v>2022</v>
      </c>
      <c r="I244">
        <v>282048.9500000003</v>
      </c>
      <c r="J244">
        <v>1341901.6100000001</v>
      </c>
      <c r="K244">
        <v>0</v>
      </c>
      <c r="L244">
        <v>1623950.56</v>
      </c>
      <c r="M244" t="s">
        <v>119</v>
      </c>
    </row>
    <row r="245" spans="1:13" x14ac:dyDescent="0.25">
      <c r="A245" t="s">
        <v>822</v>
      </c>
      <c r="B245" t="s">
        <v>823</v>
      </c>
      <c r="C245" t="s">
        <v>824</v>
      </c>
      <c r="D245" t="s">
        <v>99</v>
      </c>
      <c r="E245" s="2">
        <v>44703</v>
      </c>
      <c r="F245">
        <v>5000000</v>
      </c>
      <c r="G245" s="2">
        <v>44845</v>
      </c>
      <c r="H245">
        <v>2022</v>
      </c>
      <c r="I245">
        <v>7724.25</v>
      </c>
      <c r="J245">
        <v>67027.520000000004</v>
      </c>
      <c r="K245">
        <v>0</v>
      </c>
      <c r="L245">
        <v>74751.77</v>
      </c>
      <c r="M245" t="s">
        <v>134</v>
      </c>
    </row>
    <row r="246" spans="1:13" x14ac:dyDescent="0.25">
      <c r="A246" t="s">
        <v>825</v>
      </c>
      <c r="B246" t="s">
        <v>826</v>
      </c>
      <c r="C246" t="s">
        <v>827</v>
      </c>
      <c r="D246" t="s">
        <v>99</v>
      </c>
      <c r="E246" s="2">
        <v>44478</v>
      </c>
      <c r="F246">
        <v>5000000</v>
      </c>
      <c r="G246" s="2">
        <v>44707</v>
      </c>
      <c r="H246">
        <v>2022</v>
      </c>
      <c r="I246">
        <v>11514.689999999999</v>
      </c>
      <c r="J246">
        <v>112503.05</v>
      </c>
      <c r="K246">
        <v>0</v>
      </c>
      <c r="L246">
        <v>124017.74</v>
      </c>
      <c r="M246" t="s">
        <v>236</v>
      </c>
    </row>
    <row r="247" spans="1:13" x14ac:dyDescent="0.25">
      <c r="A247" t="s">
        <v>828</v>
      </c>
      <c r="B247" t="s">
        <v>829</v>
      </c>
      <c r="C247" t="s">
        <v>830</v>
      </c>
      <c r="D247" t="s">
        <v>99</v>
      </c>
      <c r="E247" s="2">
        <v>43685</v>
      </c>
      <c r="F247">
        <v>1000000</v>
      </c>
      <c r="G247" s="2">
        <v>43855</v>
      </c>
      <c r="H247">
        <v>2020</v>
      </c>
      <c r="I247">
        <v>14061.27000000005</v>
      </c>
      <c r="J247">
        <v>53514.03</v>
      </c>
      <c r="K247">
        <v>0</v>
      </c>
      <c r="L247">
        <v>67575.3</v>
      </c>
      <c r="M247" t="s">
        <v>283</v>
      </c>
    </row>
    <row r="248" spans="1:13" x14ac:dyDescent="0.25">
      <c r="A248" t="s">
        <v>831</v>
      </c>
      <c r="B248" t="s">
        <v>832</v>
      </c>
      <c r="C248" t="s">
        <v>833</v>
      </c>
      <c r="D248" t="s">
        <v>99</v>
      </c>
      <c r="E248" s="2">
        <v>44786</v>
      </c>
      <c r="F248">
        <v>3000000</v>
      </c>
      <c r="G248" s="2">
        <v>44841</v>
      </c>
      <c r="H248">
        <v>2022</v>
      </c>
      <c r="I248">
        <v>42052.48000000004</v>
      </c>
      <c r="J248">
        <v>173234.01</v>
      </c>
      <c r="K248">
        <v>0</v>
      </c>
      <c r="L248">
        <v>215286.49</v>
      </c>
      <c r="M248" t="s">
        <v>100</v>
      </c>
    </row>
    <row r="249" spans="1:13" x14ac:dyDescent="0.25">
      <c r="A249" t="s">
        <v>834</v>
      </c>
      <c r="B249" t="s">
        <v>835</v>
      </c>
      <c r="C249" t="s">
        <v>836</v>
      </c>
      <c r="D249" t="s">
        <v>99</v>
      </c>
      <c r="E249" s="2">
        <v>44781</v>
      </c>
      <c r="F249">
        <v>10000000</v>
      </c>
      <c r="G249" s="2">
        <v>44872</v>
      </c>
      <c r="H249">
        <v>2022</v>
      </c>
      <c r="I249">
        <v>12201.85</v>
      </c>
      <c r="J249">
        <v>65649.58</v>
      </c>
      <c r="K249">
        <v>0</v>
      </c>
      <c r="L249">
        <v>77851.429999999993</v>
      </c>
      <c r="M249" t="s">
        <v>134</v>
      </c>
    </row>
    <row r="250" spans="1:13" x14ac:dyDescent="0.25">
      <c r="A250" t="s">
        <v>837</v>
      </c>
      <c r="B250" t="s">
        <v>838</v>
      </c>
      <c r="C250" t="s">
        <v>839</v>
      </c>
      <c r="D250" t="s">
        <v>99</v>
      </c>
      <c r="E250" s="2">
        <v>44530</v>
      </c>
      <c r="F250">
        <v>1000000</v>
      </c>
      <c r="G250" s="2">
        <v>44842</v>
      </c>
      <c r="H250">
        <v>2022</v>
      </c>
      <c r="I250">
        <v>24982.649999999958</v>
      </c>
      <c r="J250">
        <v>109286.04</v>
      </c>
      <c r="K250">
        <v>0</v>
      </c>
      <c r="L250">
        <v>134268.69</v>
      </c>
      <c r="M250" t="s">
        <v>236</v>
      </c>
    </row>
    <row r="251" spans="1:13" x14ac:dyDescent="0.25">
      <c r="A251" t="s">
        <v>840</v>
      </c>
      <c r="B251" t="s">
        <v>841</v>
      </c>
      <c r="C251" t="s">
        <v>842</v>
      </c>
      <c r="D251" t="s">
        <v>99</v>
      </c>
      <c r="E251" s="2">
        <v>44577</v>
      </c>
      <c r="F251">
        <v>2000000</v>
      </c>
      <c r="G251" s="2">
        <v>44841</v>
      </c>
      <c r="H251">
        <v>2022</v>
      </c>
      <c r="I251">
        <v>16436.539999999979</v>
      </c>
      <c r="J251">
        <v>59550.94</v>
      </c>
      <c r="K251">
        <v>0</v>
      </c>
      <c r="L251">
        <v>75987.48</v>
      </c>
      <c r="M251" t="s">
        <v>182</v>
      </c>
    </row>
    <row r="252" spans="1:13" x14ac:dyDescent="0.25">
      <c r="A252" t="s">
        <v>843</v>
      </c>
      <c r="B252" t="s">
        <v>844</v>
      </c>
      <c r="C252" t="s">
        <v>845</v>
      </c>
      <c r="D252" t="s">
        <v>99</v>
      </c>
      <c r="E252" s="2">
        <v>44730</v>
      </c>
      <c r="F252">
        <v>5000000</v>
      </c>
      <c r="G252" s="2">
        <v>44837</v>
      </c>
      <c r="H252">
        <v>2022</v>
      </c>
      <c r="I252">
        <v>32488.860000000019</v>
      </c>
      <c r="J252">
        <v>144487.95000000001</v>
      </c>
      <c r="K252">
        <v>0</v>
      </c>
      <c r="L252">
        <v>176976.81</v>
      </c>
      <c r="M252" t="s">
        <v>115</v>
      </c>
    </row>
    <row r="253" spans="1:13" x14ac:dyDescent="0.25">
      <c r="A253" t="s">
        <v>846</v>
      </c>
      <c r="B253" t="s">
        <v>847</v>
      </c>
      <c r="C253" t="s">
        <v>848</v>
      </c>
      <c r="D253" t="s">
        <v>474</v>
      </c>
      <c r="E253" s="2">
        <v>44679</v>
      </c>
      <c r="F253">
        <v>5000000</v>
      </c>
      <c r="G253" s="2">
        <v>44879</v>
      </c>
      <c r="H253">
        <v>2022</v>
      </c>
      <c r="I253">
        <v>20223.15000000002</v>
      </c>
      <c r="J253">
        <v>68049.539999999994</v>
      </c>
      <c r="K253">
        <v>27863.49</v>
      </c>
      <c r="L253">
        <v>116136.18</v>
      </c>
      <c r="M253" t="s">
        <v>236</v>
      </c>
    </row>
    <row r="254" spans="1:13" x14ac:dyDescent="0.25">
      <c r="A254" t="s">
        <v>849</v>
      </c>
      <c r="B254" t="s">
        <v>850</v>
      </c>
      <c r="C254" t="s">
        <v>851</v>
      </c>
      <c r="D254" t="s">
        <v>99</v>
      </c>
      <c r="E254" s="2">
        <v>44517</v>
      </c>
      <c r="F254">
        <v>5000000</v>
      </c>
      <c r="G254" s="2">
        <v>44825</v>
      </c>
      <c r="H254">
        <v>2022</v>
      </c>
      <c r="I254">
        <v>130892.54000000001</v>
      </c>
      <c r="J254">
        <v>604150.24</v>
      </c>
      <c r="K254">
        <v>0</v>
      </c>
      <c r="L254">
        <v>735042.78</v>
      </c>
      <c r="M254" t="s">
        <v>159</v>
      </c>
    </row>
    <row r="255" spans="1:13" x14ac:dyDescent="0.25">
      <c r="A255" t="s">
        <v>852</v>
      </c>
      <c r="B255" t="s">
        <v>853</v>
      </c>
      <c r="C255" t="s">
        <v>854</v>
      </c>
      <c r="D255" t="s">
        <v>99</v>
      </c>
      <c r="E255" s="2">
        <v>44690</v>
      </c>
      <c r="F255">
        <v>1000000</v>
      </c>
      <c r="G255" s="2">
        <v>44856</v>
      </c>
      <c r="H255">
        <v>2022</v>
      </c>
      <c r="I255">
        <v>7957.0499999999993</v>
      </c>
      <c r="J255">
        <v>66636.899999999994</v>
      </c>
      <c r="K255">
        <v>0</v>
      </c>
      <c r="L255">
        <v>74593.95</v>
      </c>
      <c r="M255" t="s">
        <v>134</v>
      </c>
    </row>
    <row r="256" spans="1:13" x14ac:dyDescent="0.25">
      <c r="A256" t="s">
        <v>855</v>
      </c>
      <c r="B256" t="s">
        <v>856</v>
      </c>
      <c r="C256" t="s">
        <v>857</v>
      </c>
      <c r="D256" t="s">
        <v>99</v>
      </c>
      <c r="E256" s="2">
        <v>44558</v>
      </c>
      <c r="F256">
        <v>10000000</v>
      </c>
      <c r="G256" s="2">
        <v>44846</v>
      </c>
      <c r="H256">
        <v>2022</v>
      </c>
      <c r="I256">
        <v>32608.320000000022</v>
      </c>
      <c r="J256">
        <v>223751.44</v>
      </c>
      <c r="K256">
        <v>0</v>
      </c>
      <c r="L256">
        <v>256359.76</v>
      </c>
      <c r="M256" t="s">
        <v>111</v>
      </c>
    </row>
    <row r="257" spans="1:13" x14ac:dyDescent="0.25">
      <c r="A257" t="s">
        <v>858</v>
      </c>
      <c r="B257" t="s">
        <v>859</v>
      </c>
      <c r="C257" t="s">
        <v>860</v>
      </c>
      <c r="D257" t="s">
        <v>99</v>
      </c>
      <c r="E257" s="2">
        <v>44567</v>
      </c>
      <c r="F257">
        <v>5000000</v>
      </c>
      <c r="G257" s="2">
        <v>44890</v>
      </c>
      <c r="H257">
        <v>2022</v>
      </c>
      <c r="I257">
        <v>12846.68</v>
      </c>
      <c r="J257">
        <v>63661.24</v>
      </c>
      <c r="K257">
        <v>0</v>
      </c>
      <c r="L257">
        <v>76507.92</v>
      </c>
      <c r="M257" t="s">
        <v>200</v>
      </c>
    </row>
    <row r="258" spans="1:13" x14ac:dyDescent="0.25">
      <c r="A258" t="s">
        <v>861</v>
      </c>
      <c r="B258" t="s">
        <v>862</v>
      </c>
      <c r="C258" t="s">
        <v>863</v>
      </c>
      <c r="D258" t="s">
        <v>99</v>
      </c>
      <c r="E258" s="2">
        <v>44713</v>
      </c>
      <c r="F258">
        <v>5000000</v>
      </c>
      <c r="G258" s="2">
        <v>44888</v>
      </c>
      <c r="H258">
        <v>2022</v>
      </c>
      <c r="I258">
        <v>289529.73000000021</v>
      </c>
      <c r="J258">
        <v>2889811.55</v>
      </c>
      <c r="K258">
        <v>0</v>
      </c>
      <c r="L258">
        <v>3179341.28</v>
      </c>
      <c r="M258" t="s">
        <v>375</v>
      </c>
    </row>
    <row r="259" spans="1:13" x14ac:dyDescent="0.25">
      <c r="A259" t="s">
        <v>864</v>
      </c>
      <c r="B259" t="s">
        <v>865</v>
      </c>
      <c r="C259" t="s">
        <v>866</v>
      </c>
      <c r="D259" t="s">
        <v>99</v>
      </c>
      <c r="E259" s="2">
        <v>44716</v>
      </c>
      <c r="F259">
        <v>10000000</v>
      </c>
      <c r="G259" s="2">
        <v>44738</v>
      </c>
      <c r="H259">
        <v>2022</v>
      </c>
      <c r="I259">
        <v>231811.4000000002</v>
      </c>
      <c r="J259">
        <v>1924020.04</v>
      </c>
      <c r="K259">
        <v>0</v>
      </c>
      <c r="L259">
        <v>2155831.44</v>
      </c>
      <c r="M259" t="s">
        <v>375</v>
      </c>
    </row>
    <row r="260" spans="1:13" x14ac:dyDescent="0.25">
      <c r="A260" t="s">
        <v>867</v>
      </c>
      <c r="B260" t="s">
        <v>868</v>
      </c>
      <c r="C260" t="s">
        <v>869</v>
      </c>
      <c r="D260" t="s">
        <v>99</v>
      </c>
      <c r="E260" s="2">
        <v>44837</v>
      </c>
      <c r="F260">
        <v>1000000</v>
      </c>
      <c r="G260" s="2">
        <v>44904</v>
      </c>
      <c r="H260">
        <v>2022</v>
      </c>
      <c r="I260">
        <v>11235.55</v>
      </c>
      <c r="J260">
        <v>84886.3</v>
      </c>
      <c r="K260">
        <v>0</v>
      </c>
      <c r="L260">
        <v>96121.85</v>
      </c>
      <c r="M260" t="s">
        <v>229</v>
      </c>
    </row>
    <row r="261" spans="1:13" x14ac:dyDescent="0.25">
      <c r="A261" t="s">
        <v>870</v>
      </c>
      <c r="B261" t="s">
        <v>871</v>
      </c>
      <c r="C261" t="s">
        <v>872</v>
      </c>
      <c r="D261" t="s">
        <v>99</v>
      </c>
      <c r="E261" s="2">
        <v>44770</v>
      </c>
      <c r="F261">
        <v>5000000</v>
      </c>
      <c r="G261" s="2">
        <v>44869</v>
      </c>
      <c r="H261">
        <v>2022</v>
      </c>
      <c r="I261">
        <v>16137.639999999959</v>
      </c>
      <c r="J261">
        <v>77778.210000000006</v>
      </c>
      <c r="K261">
        <v>0</v>
      </c>
      <c r="L261">
        <v>93915.85</v>
      </c>
      <c r="M261" t="s">
        <v>126</v>
      </c>
    </row>
    <row r="262" spans="1:13" x14ac:dyDescent="0.25">
      <c r="A262" t="s">
        <v>873</v>
      </c>
      <c r="B262" t="s">
        <v>874</v>
      </c>
      <c r="C262" t="s">
        <v>875</v>
      </c>
      <c r="D262" t="s">
        <v>99</v>
      </c>
      <c r="E262" s="2">
        <v>44638</v>
      </c>
      <c r="F262">
        <v>2000000</v>
      </c>
      <c r="G262" s="2">
        <v>44908</v>
      </c>
      <c r="H262">
        <v>2022</v>
      </c>
      <c r="I262">
        <v>17068.920000000038</v>
      </c>
      <c r="J262">
        <v>122858.63</v>
      </c>
      <c r="K262">
        <v>0</v>
      </c>
      <c r="L262">
        <v>139927.54999999999</v>
      </c>
      <c r="M262" t="s">
        <v>104</v>
      </c>
    </row>
    <row r="263" spans="1:13" x14ac:dyDescent="0.25">
      <c r="A263" t="s">
        <v>876</v>
      </c>
      <c r="B263" t="s">
        <v>877</v>
      </c>
      <c r="C263" t="s">
        <v>878</v>
      </c>
      <c r="D263" t="s">
        <v>99</v>
      </c>
      <c r="E263" s="2">
        <v>44769</v>
      </c>
      <c r="F263">
        <v>1000000</v>
      </c>
      <c r="G263" s="2">
        <v>44821</v>
      </c>
      <c r="H263">
        <v>2022</v>
      </c>
      <c r="I263">
        <v>14045.450000000021</v>
      </c>
      <c r="J263">
        <v>83004.72</v>
      </c>
      <c r="K263">
        <v>0</v>
      </c>
      <c r="L263">
        <v>97050.17</v>
      </c>
      <c r="M263" t="s">
        <v>229</v>
      </c>
    </row>
    <row r="264" spans="1:13" x14ac:dyDescent="0.25">
      <c r="A264" t="s">
        <v>879</v>
      </c>
      <c r="B264" t="s">
        <v>880</v>
      </c>
      <c r="C264" t="s">
        <v>881</v>
      </c>
      <c r="D264" t="s">
        <v>99</v>
      </c>
      <c r="E264" s="2">
        <v>44582</v>
      </c>
      <c r="F264">
        <v>5000000</v>
      </c>
      <c r="G264" s="2">
        <v>44926</v>
      </c>
      <c r="H264">
        <v>2022</v>
      </c>
      <c r="I264">
        <v>49823.38</v>
      </c>
      <c r="J264">
        <v>467608.34</v>
      </c>
      <c r="K264">
        <v>0</v>
      </c>
      <c r="L264">
        <v>517431.72</v>
      </c>
      <c r="M264" t="s">
        <v>163</v>
      </c>
    </row>
    <row r="265" spans="1:13" x14ac:dyDescent="0.25">
      <c r="A265" t="s">
        <v>882</v>
      </c>
      <c r="B265" t="s">
        <v>883</v>
      </c>
      <c r="C265" t="s">
        <v>884</v>
      </c>
      <c r="D265" t="s">
        <v>99</v>
      </c>
      <c r="E265" s="2">
        <v>44819</v>
      </c>
      <c r="F265">
        <v>1000000</v>
      </c>
      <c r="G265" s="2">
        <v>44918</v>
      </c>
      <c r="H265">
        <v>2022</v>
      </c>
      <c r="I265">
        <v>21030.900000000012</v>
      </c>
      <c r="J265">
        <v>87708.3</v>
      </c>
      <c r="K265">
        <v>0</v>
      </c>
      <c r="L265">
        <v>108739.2</v>
      </c>
      <c r="M265" t="s">
        <v>229</v>
      </c>
    </row>
    <row r="266" spans="1:13" x14ac:dyDescent="0.25">
      <c r="A266" t="s">
        <v>885</v>
      </c>
      <c r="B266" t="s">
        <v>886</v>
      </c>
      <c r="C266" t="s">
        <v>887</v>
      </c>
      <c r="D266" t="s">
        <v>99</v>
      </c>
      <c r="E266" s="2">
        <v>44860</v>
      </c>
      <c r="F266">
        <v>1000000</v>
      </c>
      <c r="G266" s="2">
        <v>44906</v>
      </c>
      <c r="H266">
        <v>2022</v>
      </c>
      <c r="I266">
        <v>19862.010000000049</v>
      </c>
      <c r="J266">
        <v>190999.89</v>
      </c>
      <c r="K266">
        <v>0</v>
      </c>
      <c r="L266">
        <v>210861.9</v>
      </c>
      <c r="M266" t="s">
        <v>178</v>
      </c>
    </row>
    <row r="267" spans="1:13" x14ac:dyDescent="0.25">
      <c r="A267" t="s">
        <v>888</v>
      </c>
      <c r="B267" t="s">
        <v>889</v>
      </c>
      <c r="C267" t="s">
        <v>890</v>
      </c>
      <c r="D267" t="s">
        <v>474</v>
      </c>
      <c r="E267" s="2">
        <v>44765</v>
      </c>
      <c r="F267">
        <v>1000000</v>
      </c>
      <c r="G267" s="2">
        <v>44883</v>
      </c>
      <c r="H267">
        <v>2022</v>
      </c>
      <c r="I267">
        <v>32565.25999999998</v>
      </c>
      <c r="J267">
        <v>128848.09</v>
      </c>
      <c r="K267">
        <v>4226.08</v>
      </c>
      <c r="L267">
        <v>165639.43</v>
      </c>
      <c r="M267" t="s">
        <v>193</v>
      </c>
    </row>
    <row r="268" spans="1:13" x14ac:dyDescent="0.25">
      <c r="A268" t="s">
        <v>891</v>
      </c>
      <c r="B268" t="s">
        <v>892</v>
      </c>
      <c r="C268" t="s">
        <v>893</v>
      </c>
      <c r="D268" t="s">
        <v>99</v>
      </c>
      <c r="E268" s="2">
        <v>44650</v>
      </c>
      <c r="F268">
        <v>3000000</v>
      </c>
      <c r="G268" s="2">
        <v>44939</v>
      </c>
      <c r="H268">
        <v>2023</v>
      </c>
      <c r="I268">
        <v>13212.630000000001</v>
      </c>
      <c r="J268">
        <v>123557.22</v>
      </c>
      <c r="K268">
        <v>0</v>
      </c>
      <c r="L268">
        <v>136769.85</v>
      </c>
      <c r="M268" t="s">
        <v>104</v>
      </c>
    </row>
    <row r="269" spans="1:13" x14ac:dyDescent="0.25">
      <c r="A269" t="s">
        <v>894</v>
      </c>
      <c r="B269" t="s">
        <v>895</v>
      </c>
      <c r="C269" t="s">
        <v>896</v>
      </c>
      <c r="D269" t="s">
        <v>99</v>
      </c>
      <c r="E269" s="2">
        <v>44523</v>
      </c>
      <c r="F269">
        <v>10000000</v>
      </c>
      <c r="G269" s="2">
        <v>44741</v>
      </c>
      <c r="H269">
        <v>2022</v>
      </c>
      <c r="I269">
        <v>1118732.01</v>
      </c>
      <c r="J269">
        <v>7241167.79</v>
      </c>
      <c r="K269">
        <v>0</v>
      </c>
      <c r="L269">
        <v>8359899.7999999998</v>
      </c>
      <c r="M269" t="s">
        <v>375</v>
      </c>
    </row>
    <row r="270" spans="1:13" x14ac:dyDescent="0.25">
      <c r="A270" t="s">
        <v>897</v>
      </c>
      <c r="B270" t="s">
        <v>898</v>
      </c>
      <c r="C270" t="s">
        <v>899</v>
      </c>
      <c r="D270" t="s">
        <v>99</v>
      </c>
      <c r="E270" s="2">
        <v>44829</v>
      </c>
      <c r="F270">
        <v>1000000</v>
      </c>
      <c r="G270" s="2">
        <v>44942</v>
      </c>
      <c r="H270">
        <v>2023</v>
      </c>
      <c r="I270">
        <v>36051.360000000044</v>
      </c>
      <c r="J270">
        <v>140597.74</v>
      </c>
      <c r="K270">
        <v>0</v>
      </c>
      <c r="L270">
        <v>176649.1</v>
      </c>
      <c r="M270" t="s">
        <v>115</v>
      </c>
    </row>
    <row r="271" spans="1:13" x14ac:dyDescent="0.25">
      <c r="A271" t="s">
        <v>900</v>
      </c>
      <c r="B271" t="s">
        <v>901</v>
      </c>
      <c r="C271" t="s">
        <v>902</v>
      </c>
      <c r="D271" t="s">
        <v>99</v>
      </c>
      <c r="E271" s="2">
        <v>44609</v>
      </c>
      <c r="F271">
        <v>1000000</v>
      </c>
      <c r="G271" s="2">
        <v>44913</v>
      </c>
      <c r="H271">
        <v>2022</v>
      </c>
      <c r="I271">
        <v>61372.83</v>
      </c>
      <c r="J271">
        <v>597979</v>
      </c>
      <c r="K271">
        <v>0</v>
      </c>
      <c r="L271">
        <v>659351.82999999996</v>
      </c>
      <c r="M271" t="s">
        <v>159</v>
      </c>
    </row>
    <row r="272" spans="1:13" x14ac:dyDescent="0.25">
      <c r="A272" t="s">
        <v>903</v>
      </c>
      <c r="B272" t="s">
        <v>904</v>
      </c>
      <c r="C272" t="s">
        <v>905</v>
      </c>
      <c r="D272" t="s">
        <v>99</v>
      </c>
      <c r="E272" s="2">
        <v>44696</v>
      </c>
      <c r="F272">
        <v>5000000</v>
      </c>
      <c r="G272" s="2">
        <v>44937</v>
      </c>
      <c r="H272">
        <v>2023</v>
      </c>
      <c r="I272">
        <v>26352.859999999979</v>
      </c>
      <c r="J272">
        <v>103138.84</v>
      </c>
      <c r="K272">
        <v>0</v>
      </c>
      <c r="L272">
        <v>129491.7</v>
      </c>
      <c r="M272" t="s">
        <v>170</v>
      </c>
    </row>
    <row r="273" spans="1:13" x14ac:dyDescent="0.25">
      <c r="A273" t="s">
        <v>906</v>
      </c>
      <c r="B273" t="s">
        <v>907</v>
      </c>
      <c r="C273" t="s">
        <v>908</v>
      </c>
      <c r="D273" t="s">
        <v>99</v>
      </c>
      <c r="E273" s="2">
        <v>44721</v>
      </c>
      <c r="F273">
        <v>2000000</v>
      </c>
      <c r="G273" s="2">
        <v>44951</v>
      </c>
      <c r="H273">
        <v>2023</v>
      </c>
      <c r="I273">
        <v>56012.53</v>
      </c>
      <c r="J273">
        <v>190829.85</v>
      </c>
      <c r="K273">
        <v>0</v>
      </c>
      <c r="L273">
        <v>246842.38</v>
      </c>
      <c r="M273" t="s">
        <v>178</v>
      </c>
    </row>
    <row r="274" spans="1:13" x14ac:dyDescent="0.25">
      <c r="A274" t="s">
        <v>909</v>
      </c>
      <c r="B274" t="s">
        <v>910</v>
      </c>
      <c r="C274" t="s">
        <v>911</v>
      </c>
      <c r="D274" t="s">
        <v>99</v>
      </c>
      <c r="E274" s="2">
        <v>44811</v>
      </c>
      <c r="F274">
        <v>1000000</v>
      </c>
      <c r="G274" s="2">
        <v>44958</v>
      </c>
      <c r="H274">
        <v>2023</v>
      </c>
      <c r="I274">
        <v>40092.65</v>
      </c>
      <c r="J274">
        <v>176809.45</v>
      </c>
      <c r="K274">
        <v>0</v>
      </c>
      <c r="L274">
        <v>216902.1</v>
      </c>
      <c r="M274" t="s">
        <v>100</v>
      </c>
    </row>
    <row r="275" spans="1:13" x14ac:dyDescent="0.25">
      <c r="A275" t="s">
        <v>912</v>
      </c>
      <c r="B275" t="s">
        <v>913</v>
      </c>
      <c r="C275" t="s">
        <v>914</v>
      </c>
      <c r="D275" t="s">
        <v>99</v>
      </c>
      <c r="E275" s="2">
        <v>44747</v>
      </c>
      <c r="F275">
        <v>5000000</v>
      </c>
      <c r="G275" s="2">
        <v>44939</v>
      </c>
      <c r="H275">
        <v>2023</v>
      </c>
      <c r="I275">
        <v>15018.62000000001</v>
      </c>
      <c r="J275">
        <v>111873.34</v>
      </c>
      <c r="K275">
        <v>0</v>
      </c>
      <c r="L275">
        <v>126891.96</v>
      </c>
      <c r="M275" t="s">
        <v>236</v>
      </c>
    </row>
    <row r="276" spans="1:13" x14ac:dyDescent="0.25">
      <c r="A276" t="s">
        <v>915</v>
      </c>
      <c r="B276" t="s">
        <v>916</v>
      </c>
      <c r="C276" t="s">
        <v>917</v>
      </c>
      <c r="D276" t="s">
        <v>99</v>
      </c>
      <c r="E276" s="2">
        <v>43729</v>
      </c>
      <c r="F276">
        <v>1000000</v>
      </c>
      <c r="G276" s="2">
        <v>44014</v>
      </c>
      <c r="H276">
        <v>2020</v>
      </c>
      <c r="I276">
        <v>17787.629999999968</v>
      </c>
      <c r="J276">
        <v>128585.16</v>
      </c>
      <c r="K276">
        <v>0</v>
      </c>
      <c r="L276">
        <v>146372.79</v>
      </c>
      <c r="M276" t="s">
        <v>193</v>
      </c>
    </row>
    <row r="277" spans="1:13" x14ac:dyDescent="0.25">
      <c r="A277" t="s">
        <v>918</v>
      </c>
      <c r="B277" t="s">
        <v>919</v>
      </c>
      <c r="C277" t="s">
        <v>920</v>
      </c>
      <c r="D277" t="s">
        <v>99</v>
      </c>
      <c r="E277" s="2">
        <v>44750</v>
      </c>
      <c r="F277">
        <v>1000000</v>
      </c>
      <c r="G277" s="2">
        <v>44966</v>
      </c>
      <c r="H277">
        <v>2023</v>
      </c>
      <c r="I277">
        <v>29872.91999999998</v>
      </c>
      <c r="J277">
        <v>114702.08</v>
      </c>
      <c r="K277">
        <v>0</v>
      </c>
      <c r="L277">
        <v>144575</v>
      </c>
      <c r="M277" t="s">
        <v>104</v>
      </c>
    </row>
    <row r="278" spans="1:13" x14ac:dyDescent="0.25">
      <c r="A278" t="s">
        <v>921</v>
      </c>
      <c r="B278" t="s">
        <v>922</v>
      </c>
      <c r="C278" t="s">
        <v>923</v>
      </c>
      <c r="D278" t="s">
        <v>99</v>
      </c>
      <c r="E278" s="2">
        <v>44583</v>
      </c>
      <c r="F278">
        <v>2000000</v>
      </c>
      <c r="G278" s="2">
        <v>44909</v>
      </c>
      <c r="H278">
        <v>2022</v>
      </c>
      <c r="I278">
        <v>21608.46</v>
      </c>
      <c r="J278">
        <v>79918.28</v>
      </c>
      <c r="K278">
        <v>0</v>
      </c>
      <c r="L278">
        <v>101526.74</v>
      </c>
      <c r="M278" t="s">
        <v>126</v>
      </c>
    </row>
    <row r="279" spans="1:13" x14ac:dyDescent="0.25">
      <c r="A279" t="s">
        <v>924</v>
      </c>
      <c r="B279" t="s">
        <v>925</v>
      </c>
      <c r="C279" t="s">
        <v>926</v>
      </c>
      <c r="D279" t="s">
        <v>99</v>
      </c>
      <c r="E279" s="2">
        <v>44680</v>
      </c>
      <c r="F279">
        <v>5000000</v>
      </c>
      <c r="G279" s="2">
        <v>44972</v>
      </c>
      <c r="H279">
        <v>2023</v>
      </c>
      <c r="I279">
        <v>43591.19</v>
      </c>
      <c r="J279">
        <v>199708.99</v>
      </c>
      <c r="K279">
        <v>0</v>
      </c>
      <c r="L279">
        <v>243300.18</v>
      </c>
      <c r="M279" t="s">
        <v>111</v>
      </c>
    </row>
    <row r="280" spans="1:13" x14ac:dyDescent="0.25">
      <c r="A280" t="s">
        <v>927</v>
      </c>
      <c r="B280" t="s">
        <v>928</v>
      </c>
      <c r="C280" t="s">
        <v>929</v>
      </c>
      <c r="D280" t="s">
        <v>99</v>
      </c>
      <c r="E280" s="2">
        <v>44672</v>
      </c>
      <c r="F280">
        <v>5000000</v>
      </c>
      <c r="G280" s="2">
        <v>44889</v>
      </c>
      <c r="H280">
        <v>2022</v>
      </c>
      <c r="I280">
        <v>65318.63</v>
      </c>
      <c r="J280">
        <v>363353.85</v>
      </c>
      <c r="K280">
        <v>0</v>
      </c>
      <c r="L280">
        <v>428672.48</v>
      </c>
      <c r="M280" t="s">
        <v>152</v>
      </c>
    </row>
    <row r="281" spans="1:13" x14ac:dyDescent="0.25">
      <c r="A281" t="s">
        <v>930</v>
      </c>
      <c r="B281" t="s">
        <v>931</v>
      </c>
      <c r="C281" t="s">
        <v>932</v>
      </c>
      <c r="D281" t="s">
        <v>99</v>
      </c>
      <c r="E281" s="2">
        <v>44567</v>
      </c>
      <c r="F281">
        <v>1000000</v>
      </c>
      <c r="G281" s="2">
        <v>44929</v>
      </c>
      <c r="H281">
        <v>2023</v>
      </c>
      <c r="I281">
        <v>57673.08</v>
      </c>
      <c r="J281">
        <v>253876.44</v>
      </c>
      <c r="K281">
        <v>0</v>
      </c>
      <c r="L281">
        <v>311549.52</v>
      </c>
      <c r="M281" t="s">
        <v>210</v>
      </c>
    </row>
    <row r="282" spans="1:13" x14ac:dyDescent="0.25">
      <c r="A282" t="s">
        <v>933</v>
      </c>
      <c r="B282" t="s">
        <v>934</v>
      </c>
      <c r="C282" t="s">
        <v>935</v>
      </c>
      <c r="D282" t="s">
        <v>99</v>
      </c>
      <c r="E282" s="2">
        <v>44767</v>
      </c>
      <c r="F282">
        <v>2000000</v>
      </c>
      <c r="G282" s="2">
        <v>44977</v>
      </c>
      <c r="H282">
        <v>2023</v>
      </c>
      <c r="I282">
        <v>18174.32999999998</v>
      </c>
      <c r="J282">
        <v>101521.56</v>
      </c>
      <c r="K282">
        <v>0</v>
      </c>
      <c r="L282">
        <v>119695.89</v>
      </c>
      <c r="M282" t="s">
        <v>170</v>
      </c>
    </row>
    <row r="283" spans="1:13" x14ac:dyDescent="0.25">
      <c r="A283" t="s">
        <v>936</v>
      </c>
      <c r="B283" t="s">
        <v>937</v>
      </c>
      <c r="C283" t="s">
        <v>938</v>
      </c>
      <c r="D283" t="s">
        <v>99</v>
      </c>
      <c r="E283" s="2">
        <v>44865</v>
      </c>
      <c r="F283">
        <v>1000000</v>
      </c>
      <c r="G283" s="2">
        <v>44981</v>
      </c>
      <c r="H283">
        <v>2023</v>
      </c>
      <c r="I283">
        <v>33742.459999999977</v>
      </c>
      <c r="J283">
        <v>250114.52</v>
      </c>
      <c r="K283">
        <v>0</v>
      </c>
      <c r="L283">
        <v>283856.98</v>
      </c>
      <c r="M283" t="s">
        <v>210</v>
      </c>
    </row>
    <row r="284" spans="1:13" x14ac:dyDescent="0.25">
      <c r="A284" t="s">
        <v>939</v>
      </c>
      <c r="B284" t="s">
        <v>940</v>
      </c>
      <c r="C284" t="s">
        <v>941</v>
      </c>
      <c r="D284" t="s">
        <v>99</v>
      </c>
      <c r="E284" s="2">
        <v>44918</v>
      </c>
      <c r="F284">
        <v>1000000</v>
      </c>
      <c r="G284" s="2">
        <v>44977</v>
      </c>
      <c r="H284">
        <v>2023</v>
      </c>
      <c r="I284">
        <v>10180.76</v>
      </c>
      <c r="J284">
        <v>88108.29</v>
      </c>
      <c r="K284">
        <v>0</v>
      </c>
      <c r="L284">
        <v>98289.05</v>
      </c>
      <c r="M284" t="s">
        <v>229</v>
      </c>
    </row>
    <row r="285" spans="1:13" x14ac:dyDescent="0.25">
      <c r="A285" t="s">
        <v>942</v>
      </c>
      <c r="B285" t="s">
        <v>943</v>
      </c>
      <c r="C285" t="s">
        <v>944</v>
      </c>
      <c r="D285" t="s">
        <v>99</v>
      </c>
      <c r="E285" s="2">
        <v>44758</v>
      </c>
      <c r="F285">
        <v>5000000</v>
      </c>
      <c r="G285" s="2">
        <v>44957</v>
      </c>
      <c r="H285">
        <v>2023</v>
      </c>
      <c r="I285">
        <v>48178.559999999998</v>
      </c>
      <c r="J285">
        <v>233776.51</v>
      </c>
      <c r="K285">
        <v>0</v>
      </c>
      <c r="L285">
        <v>281955.07</v>
      </c>
      <c r="M285" t="s">
        <v>210</v>
      </c>
    </row>
    <row r="286" spans="1:13" x14ac:dyDescent="0.25">
      <c r="A286" t="s">
        <v>945</v>
      </c>
      <c r="B286" t="s">
        <v>946</v>
      </c>
      <c r="C286" t="s">
        <v>947</v>
      </c>
      <c r="D286" t="s">
        <v>99</v>
      </c>
      <c r="E286" s="2">
        <v>44917</v>
      </c>
      <c r="F286">
        <v>4000000</v>
      </c>
      <c r="G286" s="2">
        <v>44963</v>
      </c>
      <c r="H286">
        <v>2023</v>
      </c>
      <c r="I286">
        <v>57669.41</v>
      </c>
      <c r="J286">
        <v>270053.57</v>
      </c>
      <c r="K286">
        <v>0</v>
      </c>
      <c r="L286">
        <v>327722.98</v>
      </c>
      <c r="M286" t="s">
        <v>130</v>
      </c>
    </row>
    <row r="287" spans="1:13" x14ac:dyDescent="0.25">
      <c r="A287" t="s">
        <v>948</v>
      </c>
      <c r="B287" t="s">
        <v>949</v>
      </c>
      <c r="C287" t="s">
        <v>950</v>
      </c>
      <c r="D287" t="s">
        <v>99</v>
      </c>
      <c r="E287" s="2">
        <v>44602</v>
      </c>
      <c r="F287">
        <v>2000000</v>
      </c>
      <c r="G287" s="2">
        <v>44934</v>
      </c>
      <c r="H287">
        <v>2023</v>
      </c>
      <c r="I287">
        <v>23756.329999999958</v>
      </c>
      <c r="J287">
        <v>102789.35</v>
      </c>
      <c r="K287">
        <v>0</v>
      </c>
      <c r="L287">
        <v>126545.68</v>
      </c>
      <c r="M287" t="s">
        <v>170</v>
      </c>
    </row>
    <row r="288" spans="1:13" x14ac:dyDescent="0.25">
      <c r="A288" t="s">
        <v>951</v>
      </c>
      <c r="B288" t="s">
        <v>952</v>
      </c>
      <c r="C288" t="s">
        <v>953</v>
      </c>
      <c r="D288" t="s">
        <v>99</v>
      </c>
      <c r="E288" s="2">
        <v>44727</v>
      </c>
      <c r="F288">
        <v>4000000</v>
      </c>
      <c r="G288" s="2">
        <v>44985</v>
      </c>
      <c r="H288">
        <v>2023</v>
      </c>
      <c r="I288">
        <v>17619.989999999991</v>
      </c>
      <c r="J288">
        <v>131740.66</v>
      </c>
      <c r="K288">
        <v>0</v>
      </c>
      <c r="L288">
        <v>149360.65</v>
      </c>
      <c r="M288" t="s">
        <v>193</v>
      </c>
    </row>
    <row r="289" spans="1:13" x14ac:dyDescent="0.25">
      <c r="A289" t="s">
        <v>954</v>
      </c>
      <c r="B289" t="s">
        <v>955</v>
      </c>
      <c r="C289" t="s">
        <v>956</v>
      </c>
      <c r="D289" t="s">
        <v>99</v>
      </c>
      <c r="E289" s="2">
        <v>44785</v>
      </c>
      <c r="F289">
        <v>2000000</v>
      </c>
      <c r="G289" s="2">
        <v>44899</v>
      </c>
      <c r="H289">
        <v>2022</v>
      </c>
      <c r="I289">
        <v>20606.54</v>
      </c>
      <c r="J289">
        <v>135815.79</v>
      </c>
      <c r="K289">
        <v>0</v>
      </c>
      <c r="L289">
        <v>156422.32999999999</v>
      </c>
      <c r="M289" t="s">
        <v>193</v>
      </c>
    </row>
    <row r="290" spans="1:13" x14ac:dyDescent="0.25">
      <c r="A290" t="s">
        <v>957</v>
      </c>
      <c r="B290" t="s">
        <v>958</v>
      </c>
      <c r="C290" t="s">
        <v>959</v>
      </c>
      <c r="D290" t="s">
        <v>99</v>
      </c>
      <c r="E290" s="2">
        <v>44736</v>
      </c>
      <c r="F290">
        <v>5000000</v>
      </c>
      <c r="G290" s="2">
        <v>44989</v>
      </c>
      <c r="H290">
        <v>2023</v>
      </c>
      <c r="I290">
        <v>56490.91</v>
      </c>
      <c r="J290">
        <v>436436.18</v>
      </c>
      <c r="K290">
        <v>0</v>
      </c>
      <c r="L290">
        <v>492927.09</v>
      </c>
      <c r="M290" t="s">
        <v>163</v>
      </c>
    </row>
    <row r="291" spans="1:13" x14ac:dyDescent="0.25">
      <c r="A291" t="s">
        <v>960</v>
      </c>
      <c r="B291" t="s">
        <v>961</v>
      </c>
      <c r="C291" t="s">
        <v>962</v>
      </c>
      <c r="D291" t="s">
        <v>99</v>
      </c>
      <c r="E291" s="2">
        <v>44799</v>
      </c>
      <c r="F291">
        <v>3000000</v>
      </c>
      <c r="G291" s="2">
        <v>45009</v>
      </c>
      <c r="H291">
        <v>2023</v>
      </c>
      <c r="I291">
        <v>16435.870000000021</v>
      </c>
      <c r="J291">
        <v>61681.96</v>
      </c>
      <c r="K291">
        <v>0</v>
      </c>
      <c r="L291">
        <v>78117.83</v>
      </c>
      <c r="M291" t="s">
        <v>200</v>
      </c>
    </row>
    <row r="292" spans="1:13" x14ac:dyDescent="0.25">
      <c r="A292" t="s">
        <v>963</v>
      </c>
      <c r="B292" t="s">
        <v>964</v>
      </c>
      <c r="C292" t="s">
        <v>965</v>
      </c>
      <c r="D292" t="s">
        <v>99</v>
      </c>
      <c r="E292" s="2">
        <v>44634</v>
      </c>
      <c r="F292">
        <v>2000000</v>
      </c>
      <c r="G292" s="2">
        <v>44993</v>
      </c>
      <c r="H292">
        <v>2023</v>
      </c>
      <c r="I292">
        <v>63007.680000000008</v>
      </c>
      <c r="J292">
        <v>237239.67</v>
      </c>
      <c r="K292">
        <v>0</v>
      </c>
      <c r="L292">
        <v>300247.34999999998</v>
      </c>
      <c r="M292" t="s">
        <v>210</v>
      </c>
    </row>
    <row r="293" spans="1:13" x14ac:dyDescent="0.25">
      <c r="A293" t="s">
        <v>966</v>
      </c>
      <c r="B293" t="s">
        <v>967</v>
      </c>
      <c r="C293" t="s">
        <v>968</v>
      </c>
      <c r="D293" t="s">
        <v>99</v>
      </c>
      <c r="E293" s="2">
        <v>44772</v>
      </c>
      <c r="F293">
        <v>2000000</v>
      </c>
      <c r="G293" s="2">
        <v>45002</v>
      </c>
      <c r="H293">
        <v>2023</v>
      </c>
      <c r="I293">
        <v>33587.130000000041</v>
      </c>
      <c r="J293">
        <v>125896.15</v>
      </c>
      <c r="K293">
        <v>0</v>
      </c>
      <c r="L293">
        <v>159483.28</v>
      </c>
      <c r="M293" t="s">
        <v>193</v>
      </c>
    </row>
    <row r="294" spans="1:13" x14ac:dyDescent="0.25">
      <c r="A294" t="s">
        <v>969</v>
      </c>
      <c r="B294" t="s">
        <v>970</v>
      </c>
      <c r="C294" t="s">
        <v>971</v>
      </c>
      <c r="D294" t="s">
        <v>99</v>
      </c>
      <c r="E294" s="2">
        <v>44791</v>
      </c>
      <c r="F294">
        <v>5000000</v>
      </c>
      <c r="G294" s="2">
        <v>45034</v>
      </c>
      <c r="H294">
        <v>2023</v>
      </c>
      <c r="I294">
        <v>21266.849999999991</v>
      </c>
      <c r="J294">
        <v>88673.36</v>
      </c>
      <c r="K294">
        <v>0</v>
      </c>
      <c r="L294">
        <v>109940.21</v>
      </c>
      <c r="M294" t="s">
        <v>229</v>
      </c>
    </row>
    <row r="295" spans="1:13" x14ac:dyDescent="0.25">
      <c r="A295" t="s">
        <v>972</v>
      </c>
      <c r="B295" t="s">
        <v>729</v>
      </c>
      <c r="C295" t="s">
        <v>730</v>
      </c>
      <c r="D295" t="s">
        <v>99</v>
      </c>
      <c r="E295" s="2">
        <v>44669</v>
      </c>
      <c r="F295">
        <v>4000000</v>
      </c>
      <c r="G295" s="2">
        <v>44935</v>
      </c>
      <c r="H295">
        <v>2023</v>
      </c>
      <c r="I295">
        <v>19125.319999999971</v>
      </c>
      <c r="J295">
        <v>73533.100000000006</v>
      </c>
      <c r="K295">
        <v>0</v>
      </c>
      <c r="L295">
        <v>92658.42</v>
      </c>
      <c r="M295" t="s">
        <v>246</v>
      </c>
    </row>
    <row r="296" spans="1:13" x14ac:dyDescent="0.25">
      <c r="A296" t="s">
        <v>973</v>
      </c>
      <c r="B296" t="s">
        <v>974</v>
      </c>
      <c r="C296" t="s">
        <v>975</v>
      </c>
      <c r="D296" t="s">
        <v>99</v>
      </c>
      <c r="E296" s="2">
        <v>44743</v>
      </c>
      <c r="F296">
        <v>5000000</v>
      </c>
      <c r="G296" s="2">
        <v>45028</v>
      </c>
      <c r="H296">
        <v>2023</v>
      </c>
      <c r="I296">
        <v>189469.6100000001</v>
      </c>
      <c r="J296">
        <v>865117.78</v>
      </c>
      <c r="K296">
        <v>0</v>
      </c>
      <c r="L296">
        <v>1054587.3899999999</v>
      </c>
      <c r="M296" t="s">
        <v>186</v>
      </c>
    </row>
    <row r="297" spans="1:13" x14ac:dyDescent="0.25">
      <c r="A297" t="s">
        <v>976</v>
      </c>
      <c r="B297" t="s">
        <v>977</v>
      </c>
      <c r="C297" t="s">
        <v>978</v>
      </c>
      <c r="D297" t="s">
        <v>99</v>
      </c>
      <c r="E297" s="2">
        <v>44723</v>
      </c>
      <c r="F297">
        <v>10000000</v>
      </c>
      <c r="G297" s="2">
        <v>45035</v>
      </c>
      <c r="H297">
        <v>2023</v>
      </c>
      <c r="I297">
        <v>137360.88</v>
      </c>
      <c r="J297">
        <v>517347.22</v>
      </c>
      <c r="K297">
        <v>0</v>
      </c>
      <c r="L297">
        <v>654708.1</v>
      </c>
      <c r="M297" t="s">
        <v>159</v>
      </c>
    </row>
    <row r="298" spans="1:13" x14ac:dyDescent="0.25">
      <c r="A298" t="s">
        <v>979</v>
      </c>
      <c r="B298" t="s">
        <v>980</v>
      </c>
      <c r="C298" t="s">
        <v>981</v>
      </c>
      <c r="D298" t="s">
        <v>99</v>
      </c>
      <c r="E298" s="2">
        <v>45007</v>
      </c>
      <c r="F298">
        <v>3000000</v>
      </c>
      <c r="G298" s="2">
        <v>45058</v>
      </c>
      <c r="H298">
        <v>2023</v>
      </c>
      <c r="I298">
        <v>40358.479999999996</v>
      </c>
      <c r="J298">
        <v>356488.86</v>
      </c>
      <c r="K298">
        <v>0</v>
      </c>
      <c r="L298">
        <v>396847.34</v>
      </c>
      <c r="M298" t="s">
        <v>152</v>
      </c>
    </row>
    <row r="299" spans="1:13" x14ac:dyDescent="0.25">
      <c r="A299" t="s">
        <v>982</v>
      </c>
      <c r="B299" t="s">
        <v>983</v>
      </c>
      <c r="C299" t="s">
        <v>984</v>
      </c>
      <c r="D299" t="s">
        <v>99</v>
      </c>
      <c r="E299" s="2">
        <v>44852</v>
      </c>
      <c r="F299">
        <v>5000000</v>
      </c>
      <c r="G299" s="2">
        <v>44919</v>
      </c>
      <c r="H299">
        <v>2022</v>
      </c>
      <c r="I299">
        <v>18843.100000000039</v>
      </c>
      <c r="J299">
        <v>149111.4</v>
      </c>
      <c r="K299">
        <v>0</v>
      </c>
      <c r="L299">
        <v>167954.5</v>
      </c>
      <c r="M299" t="s">
        <v>115</v>
      </c>
    </row>
    <row r="300" spans="1:13" x14ac:dyDescent="0.25">
      <c r="A300" t="s">
        <v>985</v>
      </c>
      <c r="B300" t="s">
        <v>986</v>
      </c>
      <c r="C300" t="s">
        <v>987</v>
      </c>
      <c r="D300" t="s">
        <v>99</v>
      </c>
      <c r="E300" s="2">
        <v>44636</v>
      </c>
      <c r="F300">
        <v>5000000</v>
      </c>
      <c r="G300" s="2">
        <v>44915</v>
      </c>
      <c r="H300">
        <v>2022</v>
      </c>
      <c r="I300">
        <v>16673.970000000041</v>
      </c>
      <c r="J300">
        <v>156258.19</v>
      </c>
      <c r="K300">
        <v>0</v>
      </c>
      <c r="L300">
        <v>172932.16</v>
      </c>
      <c r="M300" t="s">
        <v>484</v>
      </c>
    </row>
    <row r="301" spans="1:13" x14ac:dyDescent="0.25">
      <c r="A301" t="s">
        <v>988</v>
      </c>
      <c r="B301" t="s">
        <v>989</v>
      </c>
      <c r="C301" t="s">
        <v>990</v>
      </c>
      <c r="D301" t="s">
        <v>99</v>
      </c>
      <c r="E301" s="2">
        <v>45000</v>
      </c>
      <c r="F301">
        <v>5000000</v>
      </c>
      <c r="G301" s="2">
        <v>45022</v>
      </c>
      <c r="H301">
        <v>2023</v>
      </c>
      <c r="I301">
        <v>16194.70000000005</v>
      </c>
      <c r="J301">
        <v>124489.43</v>
      </c>
      <c r="K301">
        <v>0</v>
      </c>
      <c r="L301">
        <v>140684.13</v>
      </c>
      <c r="M301" t="s">
        <v>104</v>
      </c>
    </row>
    <row r="302" spans="1:13" x14ac:dyDescent="0.25">
      <c r="A302" t="s">
        <v>991</v>
      </c>
      <c r="B302" t="s">
        <v>992</v>
      </c>
      <c r="C302" t="s">
        <v>993</v>
      </c>
      <c r="D302" t="s">
        <v>99</v>
      </c>
      <c r="E302" s="2">
        <v>44945</v>
      </c>
      <c r="F302">
        <v>4000000</v>
      </c>
      <c r="G302" s="2">
        <v>45051</v>
      </c>
      <c r="H302">
        <v>2023</v>
      </c>
      <c r="I302">
        <v>110177.03</v>
      </c>
      <c r="J302">
        <v>743244.99</v>
      </c>
      <c r="K302">
        <v>0</v>
      </c>
      <c r="L302">
        <v>853422.02</v>
      </c>
      <c r="M302" t="s">
        <v>186</v>
      </c>
    </row>
    <row r="303" spans="1:13" x14ac:dyDescent="0.25">
      <c r="A303" t="s">
        <v>994</v>
      </c>
      <c r="B303" t="s">
        <v>995</v>
      </c>
      <c r="C303" t="s">
        <v>996</v>
      </c>
      <c r="D303" t="s">
        <v>99</v>
      </c>
      <c r="E303" s="2">
        <v>44951</v>
      </c>
      <c r="F303">
        <v>2000000</v>
      </c>
      <c r="G303" s="2">
        <v>45051</v>
      </c>
      <c r="H303">
        <v>2023</v>
      </c>
      <c r="I303">
        <v>28355.299999999988</v>
      </c>
      <c r="J303">
        <v>95632.38</v>
      </c>
      <c r="K303">
        <v>0</v>
      </c>
      <c r="L303">
        <v>123987.68</v>
      </c>
      <c r="M303" t="s">
        <v>174</v>
      </c>
    </row>
    <row r="304" spans="1:13" x14ac:dyDescent="0.25">
      <c r="A304" t="s">
        <v>997</v>
      </c>
      <c r="B304" t="s">
        <v>998</v>
      </c>
      <c r="C304" t="s">
        <v>999</v>
      </c>
      <c r="D304" t="s">
        <v>99</v>
      </c>
      <c r="E304" s="2">
        <v>44660</v>
      </c>
      <c r="F304">
        <v>5000000</v>
      </c>
      <c r="G304" s="2">
        <v>44937</v>
      </c>
      <c r="H304">
        <v>2023</v>
      </c>
      <c r="I304">
        <v>13953.43</v>
      </c>
      <c r="J304">
        <v>129125.49</v>
      </c>
      <c r="K304">
        <v>0</v>
      </c>
      <c r="L304">
        <v>143078.92000000001</v>
      </c>
      <c r="M304" t="s">
        <v>193</v>
      </c>
    </row>
    <row r="305" spans="1:13" x14ac:dyDescent="0.25">
      <c r="A305" t="s">
        <v>1000</v>
      </c>
      <c r="B305" t="s">
        <v>1001</v>
      </c>
      <c r="C305" t="s">
        <v>1002</v>
      </c>
      <c r="D305" t="s">
        <v>99</v>
      </c>
      <c r="E305" s="2">
        <v>44636</v>
      </c>
      <c r="F305">
        <v>4000000</v>
      </c>
      <c r="G305" s="2">
        <v>44964</v>
      </c>
      <c r="H305">
        <v>2023</v>
      </c>
      <c r="I305">
        <v>8310.1200000000008</v>
      </c>
      <c r="J305">
        <v>78718.81</v>
      </c>
      <c r="K305">
        <v>0</v>
      </c>
      <c r="L305">
        <v>87028.93</v>
      </c>
      <c r="M305" t="s">
        <v>126</v>
      </c>
    </row>
    <row r="306" spans="1:13" x14ac:dyDescent="0.25">
      <c r="A306" t="s">
        <v>1003</v>
      </c>
      <c r="B306" t="s">
        <v>1004</v>
      </c>
      <c r="C306" t="s">
        <v>1005</v>
      </c>
      <c r="D306" t="s">
        <v>99</v>
      </c>
      <c r="E306" s="2">
        <v>44400</v>
      </c>
      <c r="F306">
        <v>5000000</v>
      </c>
      <c r="G306" s="2">
        <v>44591</v>
      </c>
      <c r="H306">
        <v>2022</v>
      </c>
      <c r="I306">
        <v>60611.12</v>
      </c>
      <c r="J306">
        <v>298978.38</v>
      </c>
      <c r="K306">
        <v>0</v>
      </c>
      <c r="L306">
        <v>359589.5</v>
      </c>
      <c r="M306" t="s">
        <v>130</v>
      </c>
    </row>
    <row r="307" spans="1:13" x14ac:dyDescent="0.25">
      <c r="A307" t="s">
        <v>1006</v>
      </c>
      <c r="B307" t="s">
        <v>1007</v>
      </c>
      <c r="C307" t="s">
        <v>1008</v>
      </c>
      <c r="D307" t="s">
        <v>99</v>
      </c>
      <c r="E307" s="2">
        <v>44825</v>
      </c>
      <c r="F307">
        <v>4000000</v>
      </c>
      <c r="G307" s="2">
        <v>44996</v>
      </c>
      <c r="H307">
        <v>2023</v>
      </c>
      <c r="I307">
        <v>96363.16</v>
      </c>
      <c r="J307">
        <v>462899.44</v>
      </c>
      <c r="K307">
        <v>0</v>
      </c>
      <c r="L307">
        <v>559262.6</v>
      </c>
      <c r="M307" t="s">
        <v>163</v>
      </c>
    </row>
    <row r="308" spans="1:13" x14ac:dyDescent="0.25">
      <c r="A308" t="s">
        <v>1009</v>
      </c>
      <c r="B308" t="s">
        <v>1010</v>
      </c>
      <c r="C308" t="s">
        <v>1011</v>
      </c>
      <c r="D308" t="s">
        <v>99</v>
      </c>
      <c r="E308" s="2">
        <v>44330</v>
      </c>
      <c r="F308">
        <v>2000000</v>
      </c>
      <c r="G308" s="2">
        <v>44496</v>
      </c>
      <c r="H308">
        <v>2021</v>
      </c>
      <c r="I308">
        <v>17996.360000000052</v>
      </c>
      <c r="J308">
        <v>100129.06</v>
      </c>
      <c r="K308">
        <v>0</v>
      </c>
      <c r="L308">
        <v>118125.42</v>
      </c>
      <c r="M308" t="s">
        <v>170</v>
      </c>
    </row>
    <row r="309" spans="1:13" x14ac:dyDescent="0.25">
      <c r="A309" t="s">
        <v>1012</v>
      </c>
      <c r="B309" t="s">
        <v>1013</v>
      </c>
      <c r="C309" t="s">
        <v>1014</v>
      </c>
      <c r="D309" t="s">
        <v>99</v>
      </c>
      <c r="E309" s="2">
        <v>45041</v>
      </c>
      <c r="F309">
        <v>5000000</v>
      </c>
      <c r="G309" s="2">
        <v>45076</v>
      </c>
      <c r="H309">
        <v>2023</v>
      </c>
      <c r="I309">
        <v>177939.9700000002</v>
      </c>
      <c r="J309">
        <v>608718.38</v>
      </c>
      <c r="K309">
        <v>0</v>
      </c>
      <c r="L309">
        <v>786658.35</v>
      </c>
      <c r="M309" t="s">
        <v>159</v>
      </c>
    </row>
    <row r="310" spans="1:13" x14ac:dyDescent="0.25">
      <c r="A310" t="s">
        <v>1015</v>
      </c>
      <c r="B310" t="s">
        <v>1016</v>
      </c>
      <c r="C310" t="s">
        <v>1017</v>
      </c>
      <c r="D310" t="s">
        <v>99</v>
      </c>
      <c r="E310" s="2">
        <v>44829</v>
      </c>
      <c r="F310">
        <v>10000000</v>
      </c>
      <c r="G310" s="2">
        <v>45075</v>
      </c>
      <c r="H310">
        <v>2023</v>
      </c>
      <c r="I310">
        <v>20285.250000000029</v>
      </c>
      <c r="J310">
        <v>70103.460000000006</v>
      </c>
      <c r="K310">
        <v>0</v>
      </c>
      <c r="L310">
        <v>90388.71</v>
      </c>
      <c r="M310" t="s">
        <v>246</v>
      </c>
    </row>
    <row r="311" spans="1:13" x14ac:dyDescent="0.25">
      <c r="A311" t="s">
        <v>1018</v>
      </c>
      <c r="B311" t="s">
        <v>1019</v>
      </c>
      <c r="C311" t="s">
        <v>1020</v>
      </c>
      <c r="D311" t="s">
        <v>99</v>
      </c>
      <c r="E311" s="2">
        <v>45070</v>
      </c>
      <c r="F311">
        <v>4000000</v>
      </c>
      <c r="G311" s="2">
        <v>45092</v>
      </c>
      <c r="H311">
        <v>2023</v>
      </c>
      <c r="I311">
        <v>50788.630000000005</v>
      </c>
      <c r="J311">
        <v>182130.78</v>
      </c>
      <c r="K311">
        <v>0</v>
      </c>
      <c r="L311">
        <v>232919.41</v>
      </c>
      <c r="M311" t="s">
        <v>178</v>
      </c>
    </row>
    <row r="312" spans="1:13" x14ac:dyDescent="0.25">
      <c r="A312" t="s">
        <v>1021</v>
      </c>
      <c r="B312" t="s">
        <v>1022</v>
      </c>
      <c r="C312" t="s">
        <v>1023</v>
      </c>
      <c r="D312" t="s">
        <v>99</v>
      </c>
      <c r="E312" s="2">
        <v>44779</v>
      </c>
      <c r="F312">
        <v>2000000</v>
      </c>
      <c r="G312" s="2">
        <v>45070</v>
      </c>
      <c r="H312">
        <v>2023</v>
      </c>
      <c r="I312">
        <v>40393.690000000017</v>
      </c>
      <c r="J312">
        <v>215540.38</v>
      </c>
      <c r="K312">
        <v>0</v>
      </c>
      <c r="L312">
        <v>255934.07</v>
      </c>
      <c r="M312" t="s">
        <v>111</v>
      </c>
    </row>
    <row r="313" spans="1:13" x14ac:dyDescent="0.25">
      <c r="A313" t="s">
        <v>1024</v>
      </c>
      <c r="B313" t="s">
        <v>1025</v>
      </c>
      <c r="C313" t="s">
        <v>1026</v>
      </c>
      <c r="D313" t="s">
        <v>474</v>
      </c>
      <c r="E313" s="2">
        <v>44913</v>
      </c>
      <c r="F313">
        <v>2000000</v>
      </c>
      <c r="G313" s="2">
        <v>45019</v>
      </c>
      <c r="H313">
        <v>2023</v>
      </c>
      <c r="I313">
        <v>57611.850000000006</v>
      </c>
      <c r="J313">
        <v>196991.7</v>
      </c>
      <c r="K313">
        <v>65016.94</v>
      </c>
      <c r="L313">
        <v>319620.49</v>
      </c>
      <c r="M313" t="s">
        <v>130</v>
      </c>
    </row>
    <row r="314" spans="1:13" x14ac:dyDescent="0.25">
      <c r="A314" t="s">
        <v>1027</v>
      </c>
      <c r="B314" t="s">
        <v>1028</v>
      </c>
      <c r="C314" t="s">
        <v>1029</v>
      </c>
      <c r="D314" t="s">
        <v>99</v>
      </c>
      <c r="E314" s="2">
        <v>45040</v>
      </c>
      <c r="F314">
        <v>4000000</v>
      </c>
      <c r="G314" s="2">
        <v>45099</v>
      </c>
      <c r="H314">
        <v>2023</v>
      </c>
      <c r="I314">
        <v>544604.67000000004</v>
      </c>
      <c r="J314">
        <v>1977105.46</v>
      </c>
      <c r="K314">
        <v>0</v>
      </c>
      <c r="L314">
        <v>2521710.13</v>
      </c>
      <c r="M314" t="s">
        <v>375</v>
      </c>
    </row>
    <row r="315" spans="1:13" x14ac:dyDescent="0.25">
      <c r="A315" t="s">
        <v>1030</v>
      </c>
      <c r="B315" t="s">
        <v>1031</v>
      </c>
      <c r="C315" t="s">
        <v>1032</v>
      </c>
      <c r="D315" t="s">
        <v>474</v>
      </c>
      <c r="E315" s="2">
        <v>44777</v>
      </c>
      <c r="F315">
        <v>1000000</v>
      </c>
      <c r="G315" s="2">
        <v>45041</v>
      </c>
      <c r="H315">
        <v>2023</v>
      </c>
      <c r="I315">
        <v>197812.38999999961</v>
      </c>
      <c r="J315">
        <v>752158.23</v>
      </c>
      <c r="K315">
        <v>163655.03</v>
      </c>
      <c r="L315">
        <v>1113625.6499999999</v>
      </c>
      <c r="M315" t="s">
        <v>186</v>
      </c>
    </row>
    <row r="316" spans="1:13" x14ac:dyDescent="0.25">
      <c r="A316" t="s">
        <v>1033</v>
      </c>
      <c r="B316" t="s">
        <v>1034</v>
      </c>
      <c r="C316" t="s">
        <v>1035</v>
      </c>
      <c r="D316" t="s">
        <v>99</v>
      </c>
      <c r="E316" s="2">
        <v>44838</v>
      </c>
      <c r="F316">
        <v>1000000</v>
      </c>
      <c r="G316" s="2">
        <v>45013</v>
      </c>
      <c r="H316">
        <v>2023</v>
      </c>
      <c r="I316">
        <v>17196.350000000009</v>
      </c>
      <c r="J316">
        <v>93934.99</v>
      </c>
      <c r="K316">
        <v>0</v>
      </c>
      <c r="L316">
        <v>111131.34</v>
      </c>
      <c r="M316" t="s">
        <v>174</v>
      </c>
    </row>
    <row r="317" spans="1:13" x14ac:dyDescent="0.25">
      <c r="A317" t="s">
        <v>1036</v>
      </c>
      <c r="B317" t="s">
        <v>1037</v>
      </c>
      <c r="C317" t="s">
        <v>1038</v>
      </c>
      <c r="D317" t="s">
        <v>99</v>
      </c>
      <c r="E317" s="2">
        <v>44660</v>
      </c>
      <c r="F317">
        <v>2000000</v>
      </c>
      <c r="G317" s="2">
        <v>44949</v>
      </c>
      <c r="H317">
        <v>2023</v>
      </c>
      <c r="I317">
        <v>37151.90999999996</v>
      </c>
      <c r="J317">
        <v>144106.76</v>
      </c>
      <c r="K317">
        <v>0</v>
      </c>
      <c r="L317">
        <v>181258.67</v>
      </c>
      <c r="M317" t="s">
        <v>115</v>
      </c>
    </row>
    <row r="318" spans="1:13" x14ac:dyDescent="0.25">
      <c r="A318" t="s">
        <v>1039</v>
      </c>
      <c r="B318" t="s">
        <v>1040</v>
      </c>
      <c r="C318" t="s">
        <v>1041</v>
      </c>
      <c r="D318" t="s">
        <v>99</v>
      </c>
      <c r="E318" s="2">
        <v>44944</v>
      </c>
      <c r="F318">
        <v>5000000</v>
      </c>
      <c r="G318" s="2">
        <v>45102</v>
      </c>
      <c r="H318">
        <v>2023</v>
      </c>
      <c r="I318">
        <v>25712.219999999987</v>
      </c>
      <c r="J318">
        <v>235465</v>
      </c>
      <c r="K318">
        <v>0</v>
      </c>
      <c r="L318">
        <v>261177.22</v>
      </c>
      <c r="M318" t="s">
        <v>210</v>
      </c>
    </row>
    <row r="319" spans="1:13" x14ac:dyDescent="0.25">
      <c r="A319" t="s">
        <v>1042</v>
      </c>
      <c r="B319" t="s">
        <v>1043</v>
      </c>
      <c r="C319" t="s">
        <v>1044</v>
      </c>
      <c r="D319" t="s">
        <v>99</v>
      </c>
      <c r="E319" s="2">
        <v>44849</v>
      </c>
      <c r="F319">
        <v>5000000</v>
      </c>
      <c r="G319" s="2">
        <v>45106</v>
      </c>
      <c r="H319">
        <v>2023</v>
      </c>
      <c r="I319">
        <v>27300.00999999998</v>
      </c>
      <c r="J319">
        <v>183175.96</v>
      </c>
      <c r="K319">
        <v>0</v>
      </c>
      <c r="L319">
        <v>210475.97</v>
      </c>
      <c r="M319" t="s">
        <v>178</v>
      </c>
    </row>
    <row r="320" spans="1:13" x14ac:dyDescent="0.25">
      <c r="A320" t="s">
        <v>1045</v>
      </c>
      <c r="B320" t="s">
        <v>1046</v>
      </c>
      <c r="C320" t="s">
        <v>1047</v>
      </c>
      <c r="D320" t="s">
        <v>99</v>
      </c>
      <c r="E320" s="2">
        <v>45001</v>
      </c>
      <c r="F320">
        <v>3000000</v>
      </c>
      <c r="G320" s="2">
        <v>45068</v>
      </c>
      <c r="H320">
        <v>2023</v>
      </c>
      <c r="I320">
        <v>64914.020000000004</v>
      </c>
      <c r="J320">
        <v>219583.93</v>
      </c>
      <c r="K320">
        <v>0</v>
      </c>
      <c r="L320">
        <v>284497.95</v>
      </c>
      <c r="M320" t="s">
        <v>111</v>
      </c>
    </row>
    <row r="321" spans="1:13" x14ac:dyDescent="0.25">
      <c r="A321" t="s">
        <v>1048</v>
      </c>
      <c r="B321" t="s">
        <v>1049</v>
      </c>
      <c r="C321" t="s">
        <v>1050</v>
      </c>
      <c r="D321" t="s">
        <v>99</v>
      </c>
      <c r="E321" s="2">
        <v>45033</v>
      </c>
      <c r="F321">
        <v>1000000</v>
      </c>
      <c r="G321" s="2">
        <v>45075</v>
      </c>
      <c r="H321">
        <v>2023</v>
      </c>
      <c r="I321">
        <v>50218.91</v>
      </c>
      <c r="J321">
        <v>384266.48</v>
      </c>
      <c r="K321">
        <v>0</v>
      </c>
      <c r="L321">
        <v>434485.39</v>
      </c>
      <c r="M321" t="s">
        <v>152</v>
      </c>
    </row>
    <row r="322" spans="1:13" x14ac:dyDescent="0.25">
      <c r="A322" t="s">
        <v>1051</v>
      </c>
      <c r="B322" t="s">
        <v>1052</v>
      </c>
      <c r="C322" t="s">
        <v>1053</v>
      </c>
      <c r="D322" t="s">
        <v>99</v>
      </c>
      <c r="E322" s="2">
        <v>44800</v>
      </c>
      <c r="F322">
        <v>5000000</v>
      </c>
      <c r="G322" s="2">
        <v>45107</v>
      </c>
      <c r="H322">
        <v>2023</v>
      </c>
      <c r="I322">
        <v>7443.98</v>
      </c>
      <c r="J322">
        <v>50546.27</v>
      </c>
      <c r="K322">
        <v>0</v>
      </c>
      <c r="L322">
        <v>57990.25</v>
      </c>
      <c r="M322" t="s">
        <v>314</v>
      </c>
    </row>
    <row r="323" spans="1:13" x14ac:dyDescent="0.25">
      <c r="A323" t="s">
        <v>1054</v>
      </c>
      <c r="B323" t="s">
        <v>1055</v>
      </c>
      <c r="C323" t="s">
        <v>1056</v>
      </c>
      <c r="D323" t="s">
        <v>99</v>
      </c>
      <c r="E323" s="2">
        <v>45086</v>
      </c>
      <c r="F323">
        <v>4000000</v>
      </c>
      <c r="G323" s="2">
        <v>45099</v>
      </c>
      <c r="H323">
        <v>2023</v>
      </c>
      <c r="I323">
        <v>79080.290000000008</v>
      </c>
      <c r="J323">
        <v>305324.99</v>
      </c>
      <c r="K323">
        <v>0</v>
      </c>
      <c r="L323">
        <v>384405.28</v>
      </c>
      <c r="M323" t="s">
        <v>130</v>
      </c>
    </row>
    <row r="324" spans="1:13" x14ac:dyDescent="0.25">
      <c r="A324" t="s">
        <v>1057</v>
      </c>
      <c r="B324" t="s">
        <v>1058</v>
      </c>
      <c r="C324" t="s">
        <v>1059</v>
      </c>
      <c r="D324" t="s">
        <v>99</v>
      </c>
      <c r="E324" s="2">
        <v>44827</v>
      </c>
      <c r="F324">
        <v>4000000</v>
      </c>
      <c r="G324" s="2">
        <v>45133</v>
      </c>
      <c r="H324">
        <v>2023</v>
      </c>
      <c r="I324">
        <v>16409.629999999997</v>
      </c>
      <c r="J324">
        <v>62849.55</v>
      </c>
      <c r="K324">
        <v>0</v>
      </c>
      <c r="L324">
        <v>79259.179999999993</v>
      </c>
      <c r="M324" t="s">
        <v>200</v>
      </c>
    </row>
    <row r="325" spans="1:13" x14ac:dyDescent="0.25">
      <c r="A325" t="s">
        <v>1060</v>
      </c>
      <c r="B325" t="s">
        <v>1061</v>
      </c>
      <c r="C325" t="s">
        <v>1062</v>
      </c>
      <c r="D325" t="s">
        <v>99</v>
      </c>
      <c r="E325" s="2">
        <v>45033</v>
      </c>
      <c r="F325">
        <v>5000000</v>
      </c>
      <c r="G325" s="2">
        <v>45130</v>
      </c>
      <c r="H325">
        <v>2023</v>
      </c>
      <c r="I325">
        <v>295104.18000000028</v>
      </c>
      <c r="J325">
        <v>1106042.9099999999</v>
      </c>
      <c r="K325">
        <v>0</v>
      </c>
      <c r="L325">
        <v>1401147.09</v>
      </c>
      <c r="M325" t="s">
        <v>119</v>
      </c>
    </row>
    <row r="326" spans="1:13" x14ac:dyDescent="0.25">
      <c r="A326" t="s">
        <v>1063</v>
      </c>
      <c r="B326" t="s">
        <v>1064</v>
      </c>
      <c r="C326" t="s">
        <v>1065</v>
      </c>
      <c r="D326" t="s">
        <v>99</v>
      </c>
      <c r="E326" s="2">
        <v>44372</v>
      </c>
      <c r="F326">
        <v>3000000</v>
      </c>
      <c r="G326" s="2">
        <v>44542</v>
      </c>
      <c r="H326">
        <v>2021</v>
      </c>
      <c r="I326">
        <v>42948.78</v>
      </c>
      <c r="J326">
        <v>189505.8</v>
      </c>
      <c r="K326">
        <v>0</v>
      </c>
      <c r="L326">
        <v>232454.58</v>
      </c>
      <c r="M326" t="s">
        <v>178</v>
      </c>
    </row>
    <row r="327" spans="1:13" x14ac:dyDescent="0.25">
      <c r="A327" t="s">
        <v>1066</v>
      </c>
      <c r="B327" t="s">
        <v>1067</v>
      </c>
      <c r="C327" t="s">
        <v>1068</v>
      </c>
      <c r="D327" t="s">
        <v>474</v>
      </c>
      <c r="E327" s="2">
        <v>45043</v>
      </c>
      <c r="F327">
        <v>4000000</v>
      </c>
      <c r="G327" s="2">
        <v>45126</v>
      </c>
      <c r="H327">
        <v>2023</v>
      </c>
      <c r="I327">
        <v>10299.720000000001</v>
      </c>
      <c r="J327">
        <v>96726.58</v>
      </c>
      <c r="K327">
        <v>45297.2</v>
      </c>
      <c r="L327">
        <v>152323.5</v>
      </c>
      <c r="M327" t="s">
        <v>484</v>
      </c>
    </row>
    <row r="328" spans="1:13" x14ac:dyDescent="0.25">
      <c r="A328" t="s">
        <v>1069</v>
      </c>
      <c r="B328" t="s">
        <v>1070</v>
      </c>
      <c r="C328" t="s">
        <v>1071</v>
      </c>
      <c r="D328" t="s">
        <v>474</v>
      </c>
      <c r="E328" s="2">
        <v>44572</v>
      </c>
      <c r="F328">
        <v>1000000</v>
      </c>
      <c r="G328" s="2">
        <v>44915</v>
      </c>
      <c r="H328">
        <v>2022</v>
      </c>
      <c r="I328">
        <v>17561.939999999959</v>
      </c>
      <c r="J328">
        <v>90905.01</v>
      </c>
      <c r="K328">
        <v>22907.040000000001</v>
      </c>
      <c r="L328">
        <v>131373.99</v>
      </c>
      <c r="M328" t="s">
        <v>104</v>
      </c>
    </row>
    <row r="329" spans="1:13" x14ac:dyDescent="0.25">
      <c r="A329" t="s">
        <v>1072</v>
      </c>
      <c r="B329" t="s">
        <v>1073</v>
      </c>
      <c r="C329" t="s">
        <v>532</v>
      </c>
      <c r="D329" t="s">
        <v>99</v>
      </c>
      <c r="E329" s="2">
        <v>44878</v>
      </c>
      <c r="F329">
        <v>2000000</v>
      </c>
      <c r="G329" s="2">
        <v>45085</v>
      </c>
      <c r="H329">
        <v>2023</v>
      </c>
      <c r="I329">
        <v>34967.61</v>
      </c>
      <c r="J329">
        <v>153814.9</v>
      </c>
      <c r="K329">
        <v>0</v>
      </c>
      <c r="L329">
        <v>188782.51</v>
      </c>
      <c r="M329" t="s">
        <v>484</v>
      </c>
    </row>
    <row r="330" spans="1:13" x14ac:dyDescent="0.25">
      <c r="A330" t="s">
        <v>1074</v>
      </c>
      <c r="B330" t="s">
        <v>1075</v>
      </c>
      <c r="C330" t="s">
        <v>1076</v>
      </c>
      <c r="D330" t="s">
        <v>99</v>
      </c>
      <c r="E330" s="2">
        <v>44865</v>
      </c>
      <c r="F330">
        <v>4000000</v>
      </c>
      <c r="G330" s="2">
        <v>45065</v>
      </c>
      <c r="H330">
        <v>2023</v>
      </c>
      <c r="I330">
        <v>175557.5199999999</v>
      </c>
      <c r="J330">
        <v>755967.17</v>
      </c>
      <c r="K330">
        <v>0</v>
      </c>
      <c r="L330">
        <v>931524.69</v>
      </c>
      <c r="M330" t="s">
        <v>186</v>
      </c>
    </row>
    <row r="331" spans="1:13" x14ac:dyDescent="0.25">
      <c r="A331" t="s">
        <v>1077</v>
      </c>
      <c r="B331" t="s">
        <v>1078</v>
      </c>
      <c r="C331" t="s">
        <v>1079</v>
      </c>
      <c r="D331" t="s">
        <v>99</v>
      </c>
      <c r="E331" s="2">
        <v>45103</v>
      </c>
      <c r="F331">
        <v>1000000</v>
      </c>
      <c r="G331" s="2">
        <v>45149</v>
      </c>
      <c r="H331">
        <v>2023</v>
      </c>
      <c r="I331">
        <v>31229.840000000029</v>
      </c>
      <c r="J331">
        <v>104470.57</v>
      </c>
      <c r="K331">
        <v>0</v>
      </c>
      <c r="L331">
        <v>135700.41</v>
      </c>
      <c r="M331" t="s">
        <v>236</v>
      </c>
    </row>
    <row r="332" spans="1:13" x14ac:dyDescent="0.25">
      <c r="A332" t="s">
        <v>1080</v>
      </c>
      <c r="B332" t="s">
        <v>1081</v>
      </c>
      <c r="C332" t="s">
        <v>580</v>
      </c>
      <c r="D332" t="s">
        <v>99</v>
      </c>
      <c r="E332" s="2">
        <v>44915</v>
      </c>
      <c r="F332">
        <v>2000000</v>
      </c>
      <c r="G332" s="2">
        <v>45136</v>
      </c>
      <c r="H332">
        <v>2023</v>
      </c>
      <c r="I332">
        <v>32516.67000000002</v>
      </c>
      <c r="J332">
        <v>143686.14000000001</v>
      </c>
      <c r="K332">
        <v>0</v>
      </c>
      <c r="L332">
        <v>176202.81</v>
      </c>
      <c r="M332" t="s">
        <v>115</v>
      </c>
    </row>
    <row r="333" spans="1:13" x14ac:dyDescent="0.25">
      <c r="A333" t="s">
        <v>1082</v>
      </c>
      <c r="B333" t="s">
        <v>1083</v>
      </c>
      <c r="C333" t="s">
        <v>1084</v>
      </c>
      <c r="D333" t="s">
        <v>99</v>
      </c>
      <c r="E333" s="2">
        <v>45000</v>
      </c>
      <c r="F333">
        <v>2000000</v>
      </c>
      <c r="G333" s="2">
        <v>45154</v>
      </c>
      <c r="H333">
        <v>2023</v>
      </c>
      <c r="I333">
        <v>21801.660000000051</v>
      </c>
      <c r="J333">
        <v>101202.01</v>
      </c>
      <c r="K333">
        <v>0</v>
      </c>
      <c r="L333">
        <v>123003.67</v>
      </c>
      <c r="M333" t="s">
        <v>170</v>
      </c>
    </row>
    <row r="334" spans="1:13" x14ac:dyDescent="0.25">
      <c r="A334" t="s">
        <v>1085</v>
      </c>
      <c r="B334" t="s">
        <v>1086</v>
      </c>
      <c r="C334" t="s">
        <v>1087</v>
      </c>
      <c r="D334" t="s">
        <v>99</v>
      </c>
      <c r="E334" s="2">
        <v>45031</v>
      </c>
      <c r="F334">
        <v>5000000</v>
      </c>
      <c r="G334" s="2">
        <v>45159</v>
      </c>
      <c r="H334">
        <v>2023</v>
      </c>
      <c r="I334">
        <v>12140.05</v>
      </c>
      <c r="J334">
        <v>81187.259999999995</v>
      </c>
      <c r="K334">
        <v>0</v>
      </c>
      <c r="L334">
        <v>93327.31</v>
      </c>
      <c r="M334" t="s">
        <v>126</v>
      </c>
    </row>
    <row r="335" spans="1:13" x14ac:dyDescent="0.25">
      <c r="A335" t="s">
        <v>1088</v>
      </c>
      <c r="B335" t="s">
        <v>1089</v>
      </c>
      <c r="C335" t="s">
        <v>1090</v>
      </c>
      <c r="D335" t="s">
        <v>99</v>
      </c>
      <c r="E335" s="2">
        <v>44771</v>
      </c>
      <c r="F335">
        <v>2000000</v>
      </c>
      <c r="G335" s="2">
        <v>45096</v>
      </c>
      <c r="H335">
        <v>2023</v>
      </c>
      <c r="I335">
        <v>15333.57000000004</v>
      </c>
      <c r="J335">
        <v>80740.289999999994</v>
      </c>
      <c r="K335">
        <v>0</v>
      </c>
      <c r="L335">
        <v>96073.86</v>
      </c>
      <c r="M335" t="s">
        <v>126</v>
      </c>
    </row>
    <row r="336" spans="1:13" x14ac:dyDescent="0.25">
      <c r="A336" t="s">
        <v>1091</v>
      </c>
      <c r="B336" t="s">
        <v>1092</v>
      </c>
      <c r="C336" t="s">
        <v>932</v>
      </c>
      <c r="D336" t="s">
        <v>99</v>
      </c>
      <c r="E336" s="2">
        <v>44932</v>
      </c>
      <c r="F336">
        <v>1000000</v>
      </c>
      <c r="G336" s="2">
        <v>45093</v>
      </c>
      <c r="H336">
        <v>2023</v>
      </c>
      <c r="I336">
        <v>17390.339999999989</v>
      </c>
      <c r="J336">
        <v>118296.84</v>
      </c>
      <c r="K336">
        <v>0</v>
      </c>
      <c r="L336">
        <v>135687.18</v>
      </c>
      <c r="M336" t="s">
        <v>104</v>
      </c>
    </row>
    <row r="337" spans="1:13" x14ac:dyDescent="0.25">
      <c r="A337" t="s">
        <v>1093</v>
      </c>
      <c r="B337" t="s">
        <v>1094</v>
      </c>
      <c r="C337" t="s">
        <v>1095</v>
      </c>
      <c r="D337" t="s">
        <v>99</v>
      </c>
      <c r="E337" s="2">
        <v>45002</v>
      </c>
      <c r="F337">
        <v>5000000</v>
      </c>
      <c r="G337" s="2">
        <v>45171</v>
      </c>
      <c r="H337">
        <v>2023</v>
      </c>
      <c r="I337">
        <v>83724.89</v>
      </c>
      <c r="J337">
        <v>469451.58</v>
      </c>
      <c r="K337">
        <v>0</v>
      </c>
      <c r="L337">
        <v>553176.47</v>
      </c>
      <c r="M337" t="s">
        <v>163</v>
      </c>
    </row>
    <row r="338" spans="1:13" x14ac:dyDescent="0.25">
      <c r="A338" t="s">
        <v>1096</v>
      </c>
      <c r="B338" t="s">
        <v>1097</v>
      </c>
      <c r="C338" t="s">
        <v>1098</v>
      </c>
      <c r="D338" t="s">
        <v>99</v>
      </c>
      <c r="E338" s="2">
        <v>44894</v>
      </c>
      <c r="F338">
        <v>5000000</v>
      </c>
      <c r="G338" s="2">
        <v>45149</v>
      </c>
      <c r="H338">
        <v>2023</v>
      </c>
      <c r="I338">
        <v>41044.210000000036</v>
      </c>
      <c r="J338">
        <v>230891.53</v>
      </c>
      <c r="K338">
        <v>0</v>
      </c>
      <c r="L338">
        <v>271935.74</v>
      </c>
      <c r="M338" t="s">
        <v>210</v>
      </c>
    </row>
    <row r="339" spans="1:13" x14ac:dyDescent="0.25">
      <c r="A339" t="s">
        <v>1099</v>
      </c>
      <c r="B339" t="s">
        <v>1100</v>
      </c>
      <c r="C339" t="s">
        <v>1101</v>
      </c>
      <c r="D339" t="s">
        <v>99</v>
      </c>
      <c r="E339" s="2">
        <v>45124</v>
      </c>
      <c r="F339">
        <v>5000000</v>
      </c>
      <c r="G339" s="2">
        <v>45185</v>
      </c>
      <c r="H339">
        <v>2023</v>
      </c>
      <c r="I339">
        <v>29926.13999999997</v>
      </c>
      <c r="J339">
        <v>101517.25</v>
      </c>
      <c r="K339">
        <v>0</v>
      </c>
      <c r="L339">
        <v>131443.39000000001</v>
      </c>
      <c r="M339" t="s">
        <v>170</v>
      </c>
    </row>
    <row r="340" spans="1:13" x14ac:dyDescent="0.25">
      <c r="A340" t="s">
        <v>1102</v>
      </c>
      <c r="B340" t="s">
        <v>1103</v>
      </c>
      <c r="C340" t="s">
        <v>1104</v>
      </c>
      <c r="D340" t="s">
        <v>99</v>
      </c>
      <c r="E340" s="2">
        <v>45090</v>
      </c>
      <c r="F340">
        <v>2000000</v>
      </c>
      <c r="G340" s="2">
        <v>45159</v>
      </c>
      <c r="H340">
        <v>2023</v>
      </c>
      <c r="I340">
        <v>28813.590000000011</v>
      </c>
      <c r="J340">
        <v>167389.75</v>
      </c>
      <c r="K340">
        <v>0</v>
      </c>
      <c r="L340">
        <v>196203.34</v>
      </c>
      <c r="M340" t="s">
        <v>100</v>
      </c>
    </row>
    <row r="341" spans="1:13" x14ac:dyDescent="0.25">
      <c r="A341" t="s">
        <v>1105</v>
      </c>
      <c r="B341" t="s">
        <v>1106</v>
      </c>
      <c r="C341" t="s">
        <v>1107</v>
      </c>
      <c r="D341" t="s">
        <v>474</v>
      </c>
      <c r="E341" s="2">
        <v>45160</v>
      </c>
      <c r="F341">
        <v>5000000</v>
      </c>
      <c r="G341" s="2">
        <v>45161</v>
      </c>
      <c r="H341">
        <v>2023</v>
      </c>
      <c r="I341">
        <v>487491.70999999961</v>
      </c>
      <c r="J341">
        <v>3151574.7</v>
      </c>
      <c r="K341">
        <v>161375.45000000001</v>
      </c>
      <c r="L341">
        <v>3800441.86</v>
      </c>
      <c r="M341" t="s">
        <v>375</v>
      </c>
    </row>
    <row r="342" spans="1:13" x14ac:dyDescent="0.25">
      <c r="A342" t="s">
        <v>1108</v>
      </c>
      <c r="B342" t="s">
        <v>1109</v>
      </c>
      <c r="C342" t="s">
        <v>1110</v>
      </c>
      <c r="D342" t="s">
        <v>99</v>
      </c>
      <c r="E342" s="2">
        <v>45112</v>
      </c>
      <c r="F342">
        <v>5000000</v>
      </c>
      <c r="G342" s="2">
        <v>45164</v>
      </c>
      <c r="H342">
        <v>2023</v>
      </c>
      <c r="I342">
        <v>29274.079999999958</v>
      </c>
      <c r="J342">
        <v>173702.52</v>
      </c>
      <c r="K342">
        <v>0</v>
      </c>
      <c r="L342">
        <v>202976.6</v>
      </c>
      <c r="M342" t="s">
        <v>100</v>
      </c>
    </row>
    <row r="343" spans="1:13" x14ac:dyDescent="0.25">
      <c r="A343" t="s">
        <v>1111</v>
      </c>
      <c r="B343" t="s">
        <v>1112</v>
      </c>
      <c r="C343" t="s">
        <v>1113</v>
      </c>
      <c r="D343" t="s">
        <v>99</v>
      </c>
      <c r="E343" s="2">
        <v>45137</v>
      </c>
      <c r="F343">
        <v>1000000</v>
      </c>
      <c r="G343" s="2">
        <v>45166</v>
      </c>
      <c r="H343">
        <v>2023</v>
      </c>
      <c r="I343">
        <v>9284.66</v>
      </c>
      <c r="J343">
        <v>58909.98</v>
      </c>
      <c r="K343">
        <v>0</v>
      </c>
      <c r="L343">
        <v>68194.64</v>
      </c>
      <c r="M343" t="s">
        <v>182</v>
      </c>
    </row>
    <row r="344" spans="1:13" x14ac:dyDescent="0.25">
      <c r="A344" t="s">
        <v>1114</v>
      </c>
      <c r="B344" t="s">
        <v>1115</v>
      </c>
      <c r="C344" t="s">
        <v>803</v>
      </c>
      <c r="D344" t="s">
        <v>99</v>
      </c>
      <c r="E344" s="2">
        <v>45030</v>
      </c>
      <c r="F344">
        <v>2000000</v>
      </c>
      <c r="G344" s="2">
        <v>45185</v>
      </c>
      <c r="H344">
        <v>2023</v>
      </c>
      <c r="I344">
        <v>11335.17</v>
      </c>
      <c r="J344">
        <v>62237.68</v>
      </c>
      <c r="K344">
        <v>0</v>
      </c>
      <c r="L344">
        <v>73572.850000000006</v>
      </c>
      <c r="M344" t="s">
        <v>200</v>
      </c>
    </row>
    <row r="345" spans="1:13" x14ac:dyDescent="0.25">
      <c r="A345" t="s">
        <v>1116</v>
      </c>
      <c r="B345" t="s">
        <v>1117</v>
      </c>
      <c r="C345" t="s">
        <v>1118</v>
      </c>
      <c r="D345" t="s">
        <v>99</v>
      </c>
      <c r="E345" s="2">
        <v>45013</v>
      </c>
      <c r="F345">
        <v>1000000</v>
      </c>
      <c r="G345" s="2">
        <v>45190</v>
      </c>
      <c r="H345">
        <v>2023</v>
      </c>
      <c r="I345">
        <v>13700.280000000021</v>
      </c>
      <c r="J345">
        <v>74777.19</v>
      </c>
      <c r="K345">
        <v>0</v>
      </c>
      <c r="L345">
        <v>88477.47</v>
      </c>
      <c r="M345" t="s">
        <v>246</v>
      </c>
    </row>
    <row r="346" spans="1:13" x14ac:dyDescent="0.25">
      <c r="A346" t="s">
        <v>1119</v>
      </c>
      <c r="B346" t="s">
        <v>1120</v>
      </c>
      <c r="C346" t="s">
        <v>1121</v>
      </c>
      <c r="D346" t="s">
        <v>99</v>
      </c>
      <c r="E346" s="2">
        <v>44890</v>
      </c>
      <c r="F346">
        <v>1000000</v>
      </c>
      <c r="G346" s="2">
        <v>45194</v>
      </c>
      <c r="H346">
        <v>2023</v>
      </c>
      <c r="I346">
        <v>12574.76</v>
      </c>
      <c r="J346">
        <v>63962.32</v>
      </c>
      <c r="K346">
        <v>0</v>
      </c>
      <c r="L346">
        <v>76537.08</v>
      </c>
      <c r="M346" t="s">
        <v>134</v>
      </c>
    </row>
    <row r="347" spans="1:13" x14ac:dyDescent="0.25">
      <c r="A347" t="s">
        <v>1122</v>
      </c>
      <c r="B347" t="s">
        <v>1123</v>
      </c>
      <c r="C347" t="s">
        <v>1124</v>
      </c>
      <c r="D347" t="s">
        <v>99</v>
      </c>
      <c r="E347" s="2">
        <v>45137</v>
      </c>
      <c r="F347">
        <v>2000000</v>
      </c>
      <c r="G347" s="2">
        <v>45186</v>
      </c>
      <c r="H347">
        <v>2023</v>
      </c>
      <c r="I347">
        <v>32169.57000000004</v>
      </c>
      <c r="J347">
        <v>181595.48</v>
      </c>
      <c r="K347">
        <v>0</v>
      </c>
      <c r="L347">
        <v>213765.05</v>
      </c>
      <c r="M347" t="s">
        <v>178</v>
      </c>
    </row>
    <row r="348" spans="1:13" x14ac:dyDescent="0.25">
      <c r="A348" t="s">
        <v>1125</v>
      </c>
      <c r="B348" t="s">
        <v>1126</v>
      </c>
      <c r="C348" t="s">
        <v>1127</v>
      </c>
      <c r="D348" t="s">
        <v>99</v>
      </c>
      <c r="E348" s="2">
        <v>45000</v>
      </c>
      <c r="F348">
        <v>1000000</v>
      </c>
      <c r="G348" s="2">
        <v>45205</v>
      </c>
      <c r="H348">
        <v>2023</v>
      </c>
      <c r="I348">
        <v>24137.699999999983</v>
      </c>
      <c r="J348">
        <v>156174.45000000001</v>
      </c>
      <c r="K348">
        <v>0</v>
      </c>
      <c r="L348">
        <v>180312.15</v>
      </c>
      <c r="M348" t="s">
        <v>484</v>
      </c>
    </row>
    <row r="349" spans="1:13" x14ac:dyDescent="0.25">
      <c r="A349" t="s">
        <v>1128</v>
      </c>
      <c r="B349" t="s">
        <v>1129</v>
      </c>
      <c r="C349" t="s">
        <v>1130</v>
      </c>
      <c r="D349" t="s">
        <v>99</v>
      </c>
      <c r="E349" s="2">
        <v>45075</v>
      </c>
      <c r="F349">
        <v>5000000</v>
      </c>
      <c r="G349" s="2">
        <v>45134</v>
      </c>
      <c r="H349">
        <v>2023</v>
      </c>
      <c r="I349">
        <v>22755.790000000052</v>
      </c>
      <c r="J349">
        <v>83244.509999999995</v>
      </c>
      <c r="K349">
        <v>0</v>
      </c>
      <c r="L349">
        <v>106000.3</v>
      </c>
      <c r="M349" t="s">
        <v>229</v>
      </c>
    </row>
    <row r="350" spans="1:13" x14ac:dyDescent="0.25">
      <c r="A350" t="s">
        <v>1131</v>
      </c>
      <c r="B350" t="s">
        <v>1132</v>
      </c>
      <c r="C350" t="s">
        <v>1133</v>
      </c>
      <c r="D350" t="s">
        <v>99</v>
      </c>
      <c r="E350" s="2">
        <v>44757</v>
      </c>
      <c r="F350">
        <v>5000000</v>
      </c>
      <c r="G350" s="2">
        <v>45060</v>
      </c>
      <c r="H350">
        <v>2023</v>
      </c>
      <c r="I350">
        <v>86612.989999999991</v>
      </c>
      <c r="J350">
        <v>458414.66</v>
      </c>
      <c r="K350">
        <v>0</v>
      </c>
      <c r="L350">
        <v>545027.65</v>
      </c>
      <c r="M350" t="s">
        <v>163</v>
      </c>
    </row>
    <row r="351" spans="1:13" x14ac:dyDescent="0.25">
      <c r="A351" t="s">
        <v>1134</v>
      </c>
      <c r="B351" t="s">
        <v>1135</v>
      </c>
      <c r="C351" t="s">
        <v>1136</v>
      </c>
      <c r="D351" t="s">
        <v>99</v>
      </c>
      <c r="E351" s="2">
        <v>44959</v>
      </c>
      <c r="F351">
        <v>5000000</v>
      </c>
      <c r="G351" s="2">
        <v>45137</v>
      </c>
      <c r="H351">
        <v>2023</v>
      </c>
      <c r="I351">
        <v>25104.299999999948</v>
      </c>
      <c r="J351">
        <v>89093.92</v>
      </c>
      <c r="K351">
        <v>0</v>
      </c>
      <c r="L351">
        <v>114198.22</v>
      </c>
      <c r="M351" t="s">
        <v>174</v>
      </c>
    </row>
    <row r="352" spans="1:13" x14ac:dyDescent="0.25">
      <c r="A352" t="s">
        <v>1137</v>
      </c>
      <c r="B352" t="s">
        <v>1138</v>
      </c>
      <c r="C352" t="s">
        <v>1139</v>
      </c>
      <c r="D352" t="s">
        <v>474</v>
      </c>
      <c r="E352" s="2">
        <v>45042</v>
      </c>
      <c r="F352">
        <v>2000000</v>
      </c>
      <c r="G352" s="2">
        <v>45217</v>
      </c>
      <c r="H352">
        <v>2023</v>
      </c>
      <c r="I352">
        <v>17905.15000000002</v>
      </c>
      <c r="J352">
        <v>77743.41</v>
      </c>
      <c r="K352">
        <v>4775.1599999999899</v>
      </c>
      <c r="L352">
        <v>100423.72</v>
      </c>
      <c r="M352" t="s">
        <v>229</v>
      </c>
    </row>
    <row r="353" spans="1:13" x14ac:dyDescent="0.25">
      <c r="A353" t="s">
        <v>1140</v>
      </c>
      <c r="B353" t="s">
        <v>1141</v>
      </c>
      <c r="C353" t="s">
        <v>1142</v>
      </c>
      <c r="D353" t="s">
        <v>99</v>
      </c>
      <c r="E353" s="2">
        <v>44914</v>
      </c>
      <c r="F353">
        <v>2000000</v>
      </c>
      <c r="G353" s="2">
        <v>45184</v>
      </c>
      <c r="H353">
        <v>2023</v>
      </c>
      <c r="I353">
        <v>56799.51</v>
      </c>
      <c r="J353">
        <v>237571.33</v>
      </c>
      <c r="K353">
        <v>0</v>
      </c>
      <c r="L353">
        <v>294370.84000000003</v>
      </c>
      <c r="M353" t="s">
        <v>210</v>
      </c>
    </row>
    <row r="354" spans="1:13" x14ac:dyDescent="0.25">
      <c r="A354" t="s">
        <v>1143</v>
      </c>
      <c r="B354" t="s">
        <v>1144</v>
      </c>
      <c r="C354" t="s">
        <v>1145</v>
      </c>
      <c r="D354" t="s">
        <v>99</v>
      </c>
      <c r="E354" s="2">
        <v>44738</v>
      </c>
      <c r="F354">
        <v>3000000</v>
      </c>
      <c r="G354" s="2">
        <v>45051</v>
      </c>
      <c r="H354">
        <v>2023</v>
      </c>
      <c r="I354">
        <v>50848.259999999995</v>
      </c>
      <c r="J354">
        <v>199495.67</v>
      </c>
      <c r="K354">
        <v>0</v>
      </c>
      <c r="L354">
        <v>250343.93</v>
      </c>
      <c r="M354" t="s">
        <v>111</v>
      </c>
    </row>
    <row r="355" spans="1:13" x14ac:dyDescent="0.25">
      <c r="A355" t="s">
        <v>1146</v>
      </c>
      <c r="B355" t="s">
        <v>1147</v>
      </c>
      <c r="C355" t="s">
        <v>1148</v>
      </c>
      <c r="D355" t="s">
        <v>99</v>
      </c>
      <c r="E355" s="2">
        <v>45031</v>
      </c>
      <c r="F355">
        <v>5000000</v>
      </c>
      <c r="G355" s="2">
        <v>45227</v>
      </c>
      <c r="H355">
        <v>2023</v>
      </c>
      <c r="I355">
        <v>78548.56</v>
      </c>
      <c r="J355">
        <v>373763.64</v>
      </c>
      <c r="K355">
        <v>0</v>
      </c>
      <c r="L355">
        <v>452312.2</v>
      </c>
      <c r="M355" t="s">
        <v>152</v>
      </c>
    </row>
    <row r="356" spans="1:13" x14ac:dyDescent="0.25">
      <c r="A356" t="s">
        <v>1149</v>
      </c>
      <c r="B356" t="s">
        <v>1150</v>
      </c>
      <c r="C356" t="s">
        <v>1151</v>
      </c>
      <c r="D356" t="s">
        <v>99</v>
      </c>
      <c r="E356" s="2">
        <v>44739</v>
      </c>
      <c r="F356">
        <v>2000000</v>
      </c>
      <c r="G356" s="2">
        <v>44981</v>
      </c>
      <c r="H356">
        <v>2023</v>
      </c>
      <c r="I356">
        <v>20470.12000000005</v>
      </c>
      <c r="J356">
        <v>152063.04999999999</v>
      </c>
      <c r="K356">
        <v>0</v>
      </c>
      <c r="L356">
        <v>172533.17</v>
      </c>
      <c r="M356" t="s">
        <v>484</v>
      </c>
    </row>
    <row r="357" spans="1:13" x14ac:dyDescent="0.25">
      <c r="A357" t="s">
        <v>1152</v>
      </c>
      <c r="B357" t="s">
        <v>835</v>
      </c>
      <c r="C357" t="s">
        <v>836</v>
      </c>
      <c r="D357" t="s">
        <v>99</v>
      </c>
      <c r="E357" s="2">
        <v>44781</v>
      </c>
      <c r="F357">
        <v>10000000</v>
      </c>
      <c r="G357" s="2">
        <v>45029</v>
      </c>
      <c r="H357">
        <v>2023</v>
      </c>
      <c r="I357">
        <v>28300.159999999971</v>
      </c>
      <c r="J357">
        <v>244107.61</v>
      </c>
      <c r="K357">
        <v>0</v>
      </c>
      <c r="L357">
        <v>272407.77</v>
      </c>
      <c r="M357" t="s">
        <v>210</v>
      </c>
    </row>
    <row r="358" spans="1:13" x14ac:dyDescent="0.25">
      <c r="A358" t="s">
        <v>1153</v>
      </c>
      <c r="B358" t="s">
        <v>1154</v>
      </c>
      <c r="C358" t="s">
        <v>1155</v>
      </c>
      <c r="D358" t="s">
        <v>99</v>
      </c>
      <c r="E358" s="2">
        <v>44867</v>
      </c>
      <c r="F358">
        <v>2000000</v>
      </c>
      <c r="G358" s="2">
        <v>45218</v>
      </c>
      <c r="H358">
        <v>2023</v>
      </c>
      <c r="I358">
        <v>15181.530000000041</v>
      </c>
      <c r="J358">
        <v>62111.27</v>
      </c>
      <c r="K358">
        <v>0</v>
      </c>
      <c r="L358">
        <v>77292.800000000003</v>
      </c>
      <c r="M358" t="s">
        <v>200</v>
      </c>
    </row>
    <row r="359" spans="1:13" x14ac:dyDescent="0.25">
      <c r="A359" t="s">
        <v>1156</v>
      </c>
      <c r="B359" t="s">
        <v>1157</v>
      </c>
      <c r="C359" t="s">
        <v>335</v>
      </c>
      <c r="D359" t="s">
        <v>99</v>
      </c>
      <c r="E359" s="2">
        <v>44940</v>
      </c>
      <c r="F359">
        <v>5000000</v>
      </c>
      <c r="G359" s="2">
        <v>45159</v>
      </c>
      <c r="H359">
        <v>2023</v>
      </c>
      <c r="I359">
        <v>307200.97999999969</v>
      </c>
      <c r="J359">
        <v>1055074.25</v>
      </c>
      <c r="K359">
        <v>0</v>
      </c>
      <c r="L359">
        <v>1362275.23</v>
      </c>
      <c r="M359" t="s">
        <v>119</v>
      </c>
    </row>
    <row r="360" spans="1:13" x14ac:dyDescent="0.25">
      <c r="A360" t="s">
        <v>1158</v>
      </c>
      <c r="B360" t="s">
        <v>1159</v>
      </c>
      <c r="C360" t="s">
        <v>1160</v>
      </c>
      <c r="D360" t="s">
        <v>99</v>
      </c>
      <c r="E360" s="2">
        <v>44932</v>
      </c>
      <c r="F360">
        <v>1000000</v>
      </c>
      <c r="G360" s="2">
        <v>45154</v>
      </c>
      <c r="H360">
        <v>2023</v>
      </c>
      <c r="I360">
        <v>36783.850000000035</v>
      </c>
      <c r="J360">
        <v>201426.71</v>
      </c>
      <c r="K360">
        <v>0</v>
      </c>
      <c r="L360">
        <v>238210.56</v>
      </c>
      <c r="M360" t="s">
        <v>111</v>
      </c>
    </row>
    <row r="361" spans="1:13" x14ac:dyDescent="0.25">
      <c r="A361" t="s">
        <v>1161</v>
      </c>
      <c r="B361" t="s">
        <v>1162</v>
      </c>
      <c r="C361" t="s">
        <v>1163</v>
      </c>
      <c r="D361" t="s">
        <v>99</v>
      </c>
      <c r="E361" s="2">
        <v>45029</v>
      </c>
      <c r="F361">
        <v>2000000</v>
      </c>
      <c r="G361" s="2">
        <v>45230</v>
      </c>
      <c r="H361">
        <v>2023</v>
      </c>
      <c r="I361">
        <v>12008.83</v>
      </c>
      <c r="J361">
        <v>51848</v>
      </c>
      <c r="K361">
        <v>0</v>
      </c>
      <c r="L361">
        <v>63856.83</v>
      </c>
      <c r="M361" t="s">
        <v>283</v>
      </c>
    </row>
    <row r="362" spans="1:13" x14ac:dyDescent="0.25">
      <c r="A362" t="s">
        <v>1164</v>
      </c>
      <c r="B362" t="s">
        <v>1165</v>
      </c>
      <c r="C362" t="s">
        <v>1166</v>
      </c>
      <c r="D362" t="s">
        <v>99</v>
      </c>
      <c r="E362" s="2">
        <v>44963</v>
      </c>
      <c r="F362">
        <v>5000000</v>
      </c>
      <c r="G362" s="2">
        <v>45249</v>
      </c>
      <c r="H362">
        <v>2023</v>
      </c>
      <c r="I362">
        <v>59643.82</v>
      </c>
      <c r="J362">
        <v>573454.39</v>
      </c>
      <c r="K362">
        <v>0</v>
      </c>
      <c r="L362">
        <v>633098.21</v>
      </c>
      <c r="M362" t="s">
        <v>159</v>
      </c>
    </row>
    <row r="363" spans="1:13" x14ac:dyDescent="0.25">
      <c r="A363" t="s">
        <v>1167</v>
      </c>
      <c r="B363" t="s">
        <v>1168</v>
      </c>
      <c r="C363" t="s">
        <v>1169</v>
      </c>
      <c r="D363" t="s">
        <v>99</v>
      </c>
      <c r="E363" s="2">
        <v>44429</v>
      </c>
      <c r="F363">
        <v>1000000</v>
      </c>
      <c r="G363" s="2">
        <v>44575</v>
      </c>
      <c r="H363">
        <v>2022</v>
      </c>
      <c r="I363">
        <v>24749.700000000012</v>
      </c>
      <c r="J363">
        <v>113522.26</v>
      </c>
      <c r="K363">
        <v>0</v>
      </c>
      <c r="L363">
        <v>138271.96</v>
      </c>
      <c r="M363" t="s">
        <v>236</v>
      </c>
    </row>
    <row r="364" spans="1:13" x14ac:dyDescent="0.25">
      <c r="A364" t="s">
        <v>1170</v>
      </c>
      <c r="B364" t="s">
        <v>1171</v>
      </c>
      <c r="C364" t="s">
        <v>1172</v>
      </c>
      <c r="D364" t="s">
        <v>99</v>
      </c>
      <c r="E364" s="2">
        <v>45076</v>
      </c>
      <c r="F364">
        <v>5000000</v>
      </c>
      <c r="G364" s="2">
        <v>45240</v>
      </c>
      <c r="H364">
        <v>2023</v>
      </c>
      <c r="I364">
        <v>43673.24</v>
      </c>
      <c r="J364">
        <v>151449.74</v>
      </c>
      <c r="K364">
        <v>0</v>
      </c>
      <c r="L364">
        <v>195122.98</v>
      </c>
      <c r="M364" t="s">
        <v>484</v>
      </c>
    </row>
    <row r="365" spans="1:13" x14ac:dyDescent="0.25">
      <c r="A365" t="s">
        <v>1173</v>
      </c>
      <c r="B365" t="s">
        <v>1174</v>
      </c>
      <c r="C365" t="s">
        <v>1175</v>
      </c>
      <c r="D365" t="s">
        <v>99</v>
      </c>
      <c r="E365" s="2">
        <v>44884</v>
      </c>
      <c r="F365">
        <v>2000000</v>
      </c>
      <c r="G365" s="2">
        <v>45233</v>
      </c>
      <c r="H365">
        <v>2023</v>
      </c>
      <c r="I365">
        <v>58574.26</v>
      </c>
      <c r="J365">
        <v>234237.73</v>
      </c>
      <c r="K365">
        <v>0</v>
      </c>
      <c r="L365">
        <v>292811.99</v>
      </c>
      <c r="M365" t="s">
        <v>210</v>
      </c>
    </row>
    <row r="366" spans="1:13" x14ac:dyDescent="0.25">
      <c r="A366" t="s">
        <v>1176</v>
      </c>
      <c r="B366" t="s">
        <v>1177</v>
      </c>
      <c r="C366" t="s">
        <v>1178</v>
      </c>
      <c r="D366" t="s">
        <v>99</v>
      </c>
      <c r="E366" s="2">
        <v>45101</v>
      </c>
      <c r="F366">
        <v>1000000</v>
      </c>
      <c r="G366" s="2">
        <v>45250</v>
      </c>
      <c r="H366">
        <v>2023</v>
      </c>
      <c r="I366">
        <v>18459.880000000041</v>
      </c>
      <c r="J366">
        <v>64564.67</v>
      </c>
      <c r="K366">
        <v>0</v>
      </c>
      <c r="L366">
        <v>83024.55</v>
      </c>
      <c r="M366" t="s">
        <v>134</v>
      </c>
    </row>
    <row r="367" spans="1:13" x14ac:dyDescent="0.25">
      <c r="A367" t="s">
        <v>1179</v>
      </c>
      <c r="B367" t="s">
        <v>1180</v>
      </c>
      <c r="C367" t="s">
        <v>1181</v>
      </c>
      <c r="D367" t="s">
        <v>99</v>
      </c>
      <c r="E367" s="2">
        <v>45187</v>
      </c>
      <c r="F367">
        <v>1000000</v>
      </c>
      <c r="G367" s="2">
        <v>45272</v>
      </c>
      <c r="H367">
        <v>2023</v>
      </c>
      <c r="I367">
        <v>21589.070000000011</v>
      </c>
      <c r="J367">
        <v>74020.36</v>
      </c>
      <c r="K367">
        <v>0</v>
      </c>
      <c r="L367">
        <v>95609.43</v>
      </c>
      <c r="M367" t="s">
        <v>246</v>
      </c>
    </row>
    <row r="368" spans="1:13" x14ac:dyDescent="0.25">
      <c r="A368" t="s">
        <v>1182</v>
      </c>
      <c r="B368" t="s">
        <v>1183</v>
      </c>
      <c r="C368" t="s">
        <v>1184</v>
      </c>
      <c r="D368" t="s">
        <v>99</v>
      </c>
      <c r="E368" s="2">
        <v>45075</v>
      </c>
      <c r="F368">
        <v>4000000</v>
      </c>
      <c r="G368" s="2">
        <v>45111</v>
      </c>
      <c r="H368">
        <v>2023</v>
      </c>
      <c r="I368">
        <v>88774.709999999992</v>
      </c>
      <c r="J368">
        <v>426285.44</v>
      </c>
      <c r="K368">
        <v>0</v>
      </c>
      <c r="L368">
        <v>515060.15</v>
      </c>
      <c r="M368" t="s">
        <v>163</v>
      </c>
    </row>
    <row r="369" spans="1:13" x14ac:dyDescent="0.25">
      <c r="A369" t="s">
        <v>1185</v>
      </c>
      <c r="B369" t="s">
        <v>1186</v>
      </c>
      <c r="C369" t="s">
        <v>1187</v>
      </c>
      <c r="D369" t="s">
        <v>99</v>
      </c>
      <c r="E369" s="2">
        <v>45058</v>
      </c>
      <c r="F369">
        <v>5000000</v>
      </c>
      <c r="G369" s="2">
        <v>45228</v>
      </c>
      <c r="H369">
        <v>2023</v>
      </c>
      <c r="I369">
        <v>13620.570000000009</v>
      </c>
      <c r="J369">
        <v>59819.44</v>
      </c>
      <c r="K369">
        <v>0</v>
      </c>
      <c r="L369">
        <v>73440.009999999995</v>
      </c>
      <c r="M369" t="s">
        <v>200</v>
      </c>
    </row>
    <row r="370" spans="1:13" x14ac:dyDescent="0.25">
      <c r="A370" t="s">
        <v>1188</v>
      </c>
      <c r="B370" t="s">
        <v>1189</v>
      </c>
      <c r="C370" t="s">
        <v>1190</v>
      </c>
      <c r="D370" t="s">
        <v>99</v>
      </c>
      <c r="E370" s="2">
        <v>44987</v>
      </c>
      <c r="F370">
        <v>3000000</v>
      </c>
      <c r="G370" s="2">
        <v>45283</v>
      </c>
      <c r="H370">
        <v>2023</v>
      </c>
      <c r="I370">
        <v>43592.210000000036</v>
      </c>
      <c r="J370">
        <v>196608.39</v>
      </c>
      <c r="K370">
        <v>0</v>
      </c>
      <c r="L370">
        <v>240200.6</v>
      </c>
      <c r="M370" t="s">
        <v>178</v>
      </c>
    </row>
    <row r="371" spans="1:13" x14ac:dyDescent="0.25">
      <c r="A371" t="s">
        <v>1191</v>
      </c>
      <c r="B371" t="s">
        <v>1192</v>
      </c>
      <c r="C371" t="s">
        <v>1193</v>
      </c>
      <c r="D371" t="s">
        <v>99</v>
      </c>
      <c r="E371" s="2">
        <v>44979</v>
      </c>
      <c r="F371">
        <v>5000000</v>
      </c>
      <c r="G371" s="2">
        <v>45253</v>
      </c>
      <c r="H371">
        <v>2023</v>
      </c>
      <c r="I371">
        <v>1320061.830000005</v>
      </c>
      <c r="J371">
        <v>4784582.1900000004</v>
      </c>
      <c r="K371">
        <v>0</v>
      </c>
      <c r="L371">
        <v>6104644.0199999996</v>
      </c>
      <c r="M371" t="s">
        <v>375</v>
      </c>
    </row>
    <row r="372" spans="1:13" x14ac:dyDescent="0.25">
      <c r="A372" t="s">
        <v>1194</v>
      </c>
      <c r="B372" t="s">
        <v>1195</v>
      </c>
      <c r="C372" t="s">
        <v>1196</v>
      </c>
      <c r="D372" t="s">
        <v>99</v>
      </c>
      <c r="E372" s="2">
        <v>45013</v>
      </c>
      <c r="F372">
        <v>10000000</v>
      </c>
      <c r="G372" s="2">
        <v>45273</v>
      </c>
      <c r="H372">
        <v>2023</v>
      </c>
      <c r="I372">
        <v>85256.57</v>
      </c>
      <c r="J372">
        <v>335168.87</v>
      </c>
      <c r="K372">
        <v>0</v>
      </c>
      <c r="L372">
        <v>420425.44</v>
      </c>
      <c r="M372" t="s">
        <v>144</v>
      </c>
    </row>
    <row r="373" spans="1:13" x14ac:dyDescent="0.25">
      <c r="A373" t="s">
        <v>1197</v>
      </c>
      <c r="B373" t="s">
        <v>1198</v>
      </c>
      <c r="C373" t="s">
        <v>1199</v>
      </c>
      <c r="D373" t="s">
        <v>99</v>
      </c>
      <c r="E373" s="2">
        <v>45077</v>
      </c>
      <c r="F373">
        <v>1000000</v>
      </c>
      <c r="G373" s="2">
        <v>45309</v>
      </c>
      <c r="H373">
        <v>2024</v>
      </c>
      <c r="I373">
        <v>16231.07000000002</v>
      </c>
      <c r="J373">
        <v>62500.37</v>
      </c>
      <c r="K373">
        <v>0</v>
      </c>
      <c r="L373">
        <v>78731.44</v>
      </c>
      <c r="M373" t="s">
        <v>200</v>
      </c>
    </row>
    <row r="374" spans="1:13" x14ac:dyDescent="0.25">
      <c r="A374" t="s">
        <v>1200</v>
      </c>
      <c r="B374" t="s">
        <v>1201</v>
      </c>
      <c r="C374" t="s">
        <v>1202</v>
      </c>
      <c r="D374" t="s">
        <v>99</v>
      </c>
      <c r="E374" s="2">
        <v>44967</v>
      </c>
      <c r="F374">
        <v>1000000</v>
      </c>
      <c r="G374" s="2">
        <v>45273</v>
      </c>
      <c r="H374">
        <v>2023</v>
      </c>
      <c r="I374">
        <v>14857.56000000001</v>
      </c>
      <c r="J374">
        <v>66663.61</v>
      </c>
      <c r="K374">
        <v>0</v>
      </c>
      <c r="L374">
        <v>81521.17</v>
      </c>
      <c r="M374" t="s">
        <v>134</v>
      </c>
    </row>
    <row r="375" spans="1:13" x14ac:dyDescent="0.25">
      <c r="A375" t="s">
        <v>1203</v>
      </c>
      <c r="B375" t="s">
        <v>1204</v>
      </c>
      <c r="C375" t="s">
        <v>1205</v>
      </c>
      <c r="D375" t="s">
        <v>99</v>
      </c>
      <c r="E375" s="2">
        <v>45033</v>
      </c>
      <c r="F375">
        <v>1000000</v>
      </c>
      <c r="G375" s="2">
        <v>45289</v>
      </c>
      <c r="H375">
        <v>2023</v>
      </c>
      <c r="I375">
        <v>6223.98</v>
      </c>
      <c r="J375">
        <v>59652.47</v>
      </c>
      <c r="K375">
        <v>0</v>
      </c>
      <c r="L375">
        <v>65876.45</v>
      </c>
      <c r="M375" t="s">
        <v>182</v>
      </c>
    </row>
    <row r="376" spans="1:13" x14ac:dyDescent="0.25">
      <c r="A376" t="s">
        <v>1206</v>
      </c>
      <c r="B376" t="s">
        <v>1207</v>
      </c>
      <c r="C376" t="s">
        <v>1208</v>
      </c>
      <c r="D376" t="s">
        <v>99</v>
      </c>
      <c r="E376" s="2">
        <v>45020</v>
      </c>
      <c r="F376">
        <v>1000000</v>
      </c>
      <c r="G376" s="2">
        <v>45280</v>
      </c>
      <c r="H376">
        <v>2023</v>
      </c>
      <c r="I376">
        <v>13472.029999999999</v>
      </c>
      <c r="J376">
        <v>70295.11</v>
      </c>
      <c r="K376">
        <v>0</v>
      </c>
      <c r="L376">
        <v>83767.14</v>
      </c>
      <c r="M376" t="s">
        <v>246</v>
      </c>
    </row>
    <row r="377" spans="1:13" x14ac:dyDescent="0.25">
      <c r="A377" t="s">
        <v>1209</v>
      </c>
      <c r="B377" t="s">
        <v>1210</v>
      </c>
      <c r="C377" t="s">
        <v>1211</v>
      </c>
      <c r="D377" t="s">
        <v>99</v>
      </c>
      <c r="E377" s="2">
        <v>45041</v>
      </c>
      <c r="F377">
        <v>5000000</v>
      </c>
      <c r="G377" s="2">
        <v>45311</v>
      </c>
      <c r="H377">
        <v>2024</v>
      </c>
      <c r="I377">
        <v>30727.16999999998</v>
      </c>
      <c r="J377">
        <v>168093.88</v>
      </c>
      <c r="K377">
        <v>0</v>
      </c>
      <c r="L377">
        <v>198821.05</v>
      </c>
      <c r="M377" t="s">
        <v>100</v>
      </c>
    </row>
    <row r="378" spans="1:13" x14ac:dyDescent="0.25">
      <c r="A378" t="s">
        <v>1212</v>
      </c>
      <c r="B378" t="s">
        <v>1213</v>
      </c>
      <c r="C378" t="s">
        <v>1214</v>
      </c>
      <c r="D378" t="s">
        <v>99</v>
      </c>
      <c r="E378" s="2">
        <v>45115</v>
      </c>
      <c r="F378">
        <v>5000000</v>
      </c>
      <c r="G378" s="2">
        <v>45305</v>
      </c>
      <c r="H378">
        <v>2024</v>
      </c>
      <c r="I378">
        <v>34233.459999999963</v>
      </c>
      <c r="J378">
        <v>194872.23</v>
      </c>
      <c r="K378">
        <v>0</v>
      </c>
      <c r="L378">
        <v>229105.69</v>
      </c>
      <c r="M378" t="s">
        <v>178</v>
      </c>
    </row>
    <row r="379" spans="1:13" x14ac:dyDescent="0.25">
      <c r="A379" t="s">
        <v>1215</v>
      </c>
      <c r="B379" t="s">
        <v>1216</v>
      </c>
      <c r="C379" t="s">
        <v>1217</v>
      </c>
      <c r="D379" t="s">
        <v>99</v>
      </c>
      <c r="E379" s="2">
        <v>45227</v>
      </c>
      <c r="F379">
        <v>1000000</v>
      </c>
      <c r="G379" s="2">
        <v>45319</v>
      </c>
      <c r="H379">
        <v>2024</v>
      </c>
      <c r="I379">
        <v>14472.38000000001</v>
      </c>
      <c r="J379">
        <v>52150.3</v>
      </c>
      <c r="K379">
        <v>0</v>
      </c>
      <c r="L379">
        <v>66622.679999999993</v>
      </c>
      <c r="M379" t="s">
        <v>283</v>
      </c>
    </row>
    <row r="380" spans="1:13" x14ac:dyDescent="0.25">
      <c r="A380" t="s">
        <v>1218</v>
      </c>
      <c r="B380" t="s">
        <v>1219</v>
      </c>
      <c r="C380" t="s">
        <v>1220</v>
      </c>
      <c r="D380" t="s">
        <v>99</v>
      </c>
      <c r="E380" s="2">
        <v>45040</v>
      </c>
      <c r="F380">
        <v>5000000</v>
      </c>
      <c r="G380" s="2">
        <v>45291</v>
      </c>
      <c r="H380">
        <v>2023</v>
      </c>
      <c r="I380">
        <v>56271.28</v>
      </c>
      <c r="J380">
        <v>319528.03999999998</v>
      </c>
      <c r="K380">
        <v>0</v>
      </c>
      <c r="L380">
        <v>375799.32</v>
      </c>
      <c r="M380" t="s">
        <v>144</v>
      </c>
    </row>
    <row r="381" spans="1:13" x14ac:dyDescent="0.25">
      <c r="A381" t="s">
        <v>1221</v>
      </c>
      <c r="B381" t="s">
        <v>1222</v>
      </c>
      <c r="C381" t="s">
        <v>1223</v>
      </c>
      <c r="D381" t="s">
        <v>99</v>
      </c>
      <c r="E381" s="2">
        <v>44901</v>
      </c>
      <c r="F381">
        <v>1000000</v>
      </c>
      <c r="G381" s="2">
        <v>45256</v>
      </c>
      <c r="H381">
        <v>2023</v>
      </c>
      <c r="I381">
        <v>10672.029999999999</v>
      </c>
      <c r="J381">
        <v>57780.24</v>
      </c>
      <c r="K381">
        <v>0</v>
      </c>
      <c r="L381">
        <v>68452.27</v>
      </c>
      <c r="M381" t="s">
        <v>182</v>
      </c>
    </row>
    <row r="382" spans="1:13" x14ac:dyDescent="0.25">
      <c r="A382" t="s">
        <v>1224</v>
      </c>
      <c r="B382" t="s">
        <v>1225</v>
      </c>
      <c r="C382" t="s">
        <v>1226</v>
      </c>
      <c r="D382" t="s">
        <v>99</v>
      </c>
      <c r="E382" s="2">
        <v>45211</v>
      </c>
      <c r="F382">
        <v>10000000</v>
      </c>
      <c r="G382" s="2">
        <v>45324</v>
      </c>
      <c r="H382">
        <v>2024</v>
      </c>
      <c r="I382">
        <v>93977.84</v>
      </c>
      <c r="J382">
        <v>316175.68</v>
      </c>
      <c r="K382">
        <v>0</v>
      </c>
      <c r="L382">
        <v>410153.52</v>
      </c>
      <c r="M382" t="s">
        <v>144</v>
      </c>
    </row>
    <row r="383" spans="1:13" x14ac:dyDescent="0.25">
      <c r="A383" t="s">
        <v>1227</v>
      </c>
      <c r="B383" t="s">
        <v>1228</v>
      </c>
      <c r="C383" t="s">
        <v>1229</v>
      </c>
      <c r="D383" t="s">
        <v>99</v>
      </c>
      <c r="E383" s="2">
        <v>45003</v>
      </c>
      <c r="F383">
        <v>3000000</v>
      </c>
      <c r="G383" s="2">
        <v>45315</v>
      </c>
      <c r="H383">
        <v>2024</v>
      </c>
      <c r="I383">
        <v>25192.869999999952</v>
      </c>
      <c r="J383">
        <v>104245.29</v>
      </c>
      <c r="K383">
        <v>0</v>
      </c>
      <c r="L383">
        <v>129438.16</v>
      </c>
      <c r="M383" t="s">
        <v>170</v>
      </c>
    </row>
    <row r="384" spans="1:13" x14ac:dyDescent="0.25">
      <c r="A384" t="s">
        <v>1230</v>
      </c>
      <c r="B384" t="s">
        <v>1231</v>
      </c>
      <c r="C384" t="s">
        <v>1232</v>
      </c>
      <c r="D384" t="s">
        <v>99</v>
      </c>
      <c r="E384" s="2">
        <v>44905</v>
      </c>
      <c r="F384">
        <v>2000000</v>
      </c>
      <c r="G384" s="2">
        <v>45180</v>
      </c>
      <c r="H384">
        <v>2023</v>
      </c>
      <c r="I384">
        <v>6412.9599999999991</v>
      </c>
      <c r="J384">
        <v>59164.57</v>
      </c>
      <c r="K384">
        <v>0</v>
      </c>
      <c r="L384">
        <v>65577.53</v>
      </c>
      <c r="M384" t="s">
        <v>182</v>
      </c>
    </row>
    <row r="385" spans="1:13" x14ac:dyDescent="0.25">
      <c r="A385" t="s">
        <v>1233</v>
      </c>
      <c r="B385" t="s">
        <v>1234</v>
      </c>
      <c r="C385" t="s">
        <v>1235</v>
      </c>
      <c r="D385" t="s">
        <v>99</v>
      </c>
      <c r="E385" s="2">
        <v>44923</v>
      </c>
      <c r="F385">
        <v>5000000</v>
      </c>
      <c r="G385" s="2">
        <v>45283</v>
      </c>
      <c r="H385">
        <v>2023</v>
      </c>
      <c r="I385">
        <v>34235.990000000034</v>
      </c>
      <c r="J385">
        <v>306278.27</v>
      </c>
      <c r="K385">
        <v>0</v>
      </c>
      <c r="L385">
        <v>340514.26</v>
      </c>
      <c r="M385" t="s">
        <v>130</v>
      </c>
    </row>
    <row r="386" spans="1:13" x14ac:dyDescent="0.25">
      <c r="A386" t="s">
        <v>1236</v>
      </c>
      <c r="B386" t="s">
        <v>1237</v>
      </c>
      <c r="C386" t="s">
        <v>1238</v>
      </c>
      <c r="D386" t="s">
        <v>99</v>
      </c>
      <c r="E386" s="2">
        <v>45050</v>
      </c>
      <c r="F386">
        <v>3000000</v>
      </c>
      <c r="G386" s="2">
        <v>45357</v>
      </c>
      <c r="H386">
        <v>2024</v>
      </c>
      <c r="I386">
        <v>48264.93</v>
      </c>
      <c r="J386">
        <v>246398.11</v>
      </c>
      <c r="K386">
        <v>0</v>
      </c>
      <c r="L386">
        <v>294663.03999999998</v>
      </c>
      <c r="M386" t="s">
        <v>210</v>
      </c>
    </row>
    <row r="387" spans="1:13" x14ac:dyDescent="0.25">
      <c r="A387" t="s">
        <v>1239</v>
      </c>
      <c r="B387" t="s">
        <v>1240</v>
      </c>
      <c r="C387" t="s">
        <v>1241</v>
      </c>
      <c r="D387" t="s">
        <v>99</v>
      </c>
      <c r="E387" s="2">
        <v>45022</v>
      </c>
      <c r="F387">
        <v>1000000</v>
      </c>
      <c r="G387" s="2">
        <v>45365</v>
      </c>
      <c r="H387">
        <v>2024</v>
      </c>
      <c r="I387">
        <v>10400.04000000001</v>
      </c>
      <c r="J387">
        <v>84616.46</v>
      </c>
      <c r="K387">
        <v>0</v>
      </c>
      <c r="L387">
        <v>95016.5</v>
      </c>
      <c r="M387" t="s">
        <v>229</v>
      </c>
    </row>
    <row r="388" spans="1:13" x14ac:dyDescent="0.25">
      <c r="A388" t="s">
        <v>1242</v>
      </c>
      <c r="B388" t="s">
        <v>1243</v>
      </c>
      <c r="C388" t="s">
        <v>1244</v>
      </c>
      <c r="D388" t="s">
        <v>99</v>
      </c>
      <c r="E388" s="2">
        <v>45293</v>
      </c>
      <c r="F388">
        <v>5000000</v>
      </c>
      <c r="G388" s="2">
        <v>45356</v>
      </c>
      <c r="H388">
        <v>2024</v>
      </c>
      <c r="I388">
        <v>127369.8099999996</v>
      </c>
      <c r="J388">
        <v>1136095.03</v>
      </c>
      <c r="K388">
        <v>0</v>
      </c>
      <c r="L388">
        <v>1263464.8400000001</v>
      </c>
      <c r="M388" t="s">
        <v>119</v>
      </c>
    </row>
    <row r="389" spans="1:13" x14ac:dyDescent="0.25">
      <c r="A389" t="s">
        <v>1245</v>
      </c>
      <c r="B389" t="s">
        <v>1246</v>
      </c>
      <c r="C389" t="s">
        <v>1247</v>
      </c>
      <c r="D389" t="s">
        <v>474</v>
      </c>
      <c r="E389" s="2">
        <v>44277</v>
      </c>
      <c r="F389">
        <v>1000000</v>
      </c>
      <c r="G389" s="2">
        <v>44389</v>
      </c>
      <c r="H389">
        <v>2021</v>
      </c>
      <c r="I389">
        <v>15841.649999999991</v>
      </c>
      <c r="J389">
        <v>75172.61</v>
      </c>
      <c r="K389">
        <v>25434.02</v>
      </c>
      <c r="L389">
        <v>116448.28</v>
      </c>
      <c r="M389" t="s">
        <v>170</v>
      </c>
    </row>
    <row r="390" spans="1:13" x14ac:dyDescent="0.25">
      <c r="A390" t="s">
        <v>1248</v>
      </c>
      <c r="B390" t="s">
        <v>1249</v>
      </c>
      <c r="C390" t="s">
        <v>1250</v>
      </c>
      <c r="D390" t="s">
        <v>99</v>
      </c>
      <c r="E390" s="2">
        <v>45292</v>
      </c>
      <c r="F390">
        <v>1000000</v>
      </c>
      <c r="G390" s="2">
        <v>45362</v>
      </c>
      <c r="H390">
        <v>2024</v>
      </c>
      <c r="I390">
        <v>7512.82</v>
      </c>
      <c r="J390">
        <v>51954.67</v>
      </c>
      <c r="K390">
        <v>0</v>
      </c>
      <c r="L390">
        <v>59467.49</v>
      </c>
      <c r="M390" t="s">
        <v>283</v>
      </c>
    </row>
    <row r="391" spans="1:13" x14ac:dyDescent="0.25">
      <c r="A391" t="s">
        <v>1251</v>
      </c>
      <c r="B391" t="s">
        <v>1252</v>
      </c>
      <c r="C391" t="s">
        <v>1253</v>
      </c>
      <c r="D391" t="s">
        <v>99</v>
      </c>
      <c r="E391" s="2">
        <v>44996</v>
      </c>
      <c r="F391">
        <v>1000000</v>
      </c>
      <c r="G391" s="2">
        <v>45296</v>
      </c>
      <c r="H391">
        <v>2024</v>
      </c>
      <c r="I391">
        <v>24850.500000000029</v>
      </c>
      <c r="J391">
        <v>85288.49</v>
      </c>
      <c r="K391">
        <v>0</v>
      </c>
      <c r="L391">
        <v>110138.99</v>
      </c>
      <c r="M391" t="s">
        <v>229</v>
      </c>
    </row>
    <row r="392" spans="1:13" x14ac:dyDescent="0.25">
      <c r="A392" t="s">
        <v>1254</v>
      </c>
      <c r="B392" t="s">
        <v>1255</v>
      </c>
      <c r="C392" t="s">
        <v>1256</v>
      </c>
      <c r="D392" t="s">
        <v>99</v>
      </c>
      <c r="E392" s="2">
        <v>45215</v>
      </c>
      <c r="F392">
        <v>1000000</v>
      </c>
      <c r="G392" s="2">
        <v>45327</v>
      </c>
      <c r="H392">
        <v>2024</v>
      </c>
      <c r="I392">
        <v>30056.59</v>
      </c>
      <c r="J392">
        <v>127052.88</v>
      </c>
      <c r="K392">
        <v>0</v>
      </c>
      <c r="L392">
        <v>157109.47</v>
      </c>
      <c r="M392" t="s">
        <v>193</v>
      </c>
    </row>
    <row r="393" spans="1:13" x14ac:dyDescent="0.25">
      <c r="A393" t="s">
        <v>1257</v>
      </c>
      <c r="B393" t="s">
        <v>1258</v>
      </c>
      <c r="C393" t="s">
        <v>1259</v>
      </c>
      <c r="D393" t="s">
        <v>474</v>
      </c>
      <c r="E393" s="2">
        <v>44955</v>
      </c>
      <c r="F393">
        <v>1000000</v>
      </c>
      <c r="G393" s="2">
        <v>45073</v>
      </c>
      <c r="H393">
        <v>2023</v>
      </c>
      <c r="I393">
        <v>47686.19</v>
      </c>
      <c r="J393">
        <v>264985.88</v>
      </c>
      <c r="K393">
        <v>58794.080000000002</v>
      </c>
      <c r="L393">
        <v>371466.15</v>
      </c>
      <c r="M393" t="s">
        <v>144</v>
      </c>
    </row>
    <row r="394" spans="1:13" x14ac:dyDescent="0.25">
      <c r="A394" t="s">
        <v>1260</v>
      </c>
      <c r="B394" t="s">
        <v>1261</v>
      </c>
      <c r="C394" t="s">
        <v>1262</v>
      </c>
      <c r="D394" t="s">
        <v>99</v>
      </c>
      <c r="E394" s="2">
        <v>45005</v>
      </c>
      <c r="F394">
        <v>3000000</v>
      </c>
      <c r="G394" s="2">
        <v>45271</v>
      </c>
      <c r="H394">
        <v>2023</v>
      </c>
      <c r="I394">
        <v>33043.690000000046</v>
      </c>
      <c r="J394">
        <v>217958.94</v>
      </c>
      <c r="K394">
        <v>0</v>
      </c>
      <c r="L394">
        <v>251002.63</v>
      </c>
      <c r="M394" t="s">
        <v>111</v>
      </c>
    </row>
    <row r="395" spans="1:13" x14ac:dyDescent="0.25">
      <c r="A395" t="s">
        <v>1263</v>
      </c>
      <c r="B395" t="s">
        <v>1264</v>
      </c>
      <c r="C395" t="s">
        <v>1265</v>
      </c>
      <c r="D395" t="s">
        <v>474</v>
      </c>
      <c r="E395" s="2">
        <v>45209</v>
      </c>
      <c r="F395">
        <v>10000000</v>
      </c>
      <c r="G395" s="2">
        <v>45359</v>
      </c>
      <c r="H395">
        <v>2024</v>
      </c>
      <c r="I395">
        <v>20806.740000000042</v>
      </c>
      <c r="J395">
        <v>63990.39</v>
      </c>
      <c r="K395">
        <v>33922.51</v>
      </c>
      <c r="L395">
        <v>118719.64</v>
      </c>
      <c r="M395" t="s">
        <v>170</v>
      </c>
    </row>
    <row r="396" spans="1:13" x14ac:dyDescent="0.25">
      <c r="A396" t="s">
        <v>1266</v>
      </c>
      <c r="B396" t="s">
        <v>1267</v>
      </c>
      <c r="C396" t="s">
        <v>727</v>
      </c>
      <c r="D396" t="s">
        <v>99</v>
      </c>
      <c r="E396" s="2">
        <v>45053</v>
      </c>
      <c r="F396">
        <v>4000000</v>
      </c>
      <c r="G396" s="2">
        <v>45341</v>
      </c>
      <c r="H396">
        <v>2024</v>
      </c>
      <c r="I396">
        <v>144926.6</v>
      </c>
      <c r="J396">
        <v>977570.05</v>
      </c>
      <c r="K396">
        <v>0</v>
      </c>
      <c r="L396">
        <v>1122496.6499999999</v>
      </c>
      <c r="M396" t="s">
        <v>186</v>
      </c>
    </row>
    <row r="397" spans="1:13" x14ac:dyDescent="0.25">
      <c r="A397" t="s">
        <v>1268</v>
      </c>
      <c r="B397" t="s">
        <v>1269</v>
      </c>
      <c r="C397" t="s">
        <v>1270</v>
      </c>
      <c r="D397" t="s">
        <v>99</v>
      </c>
      <c r="E397" s="2">
        <v>45201</v>
      </c>
      <c r="F397">
        <v>3000000</v>
      </c>
      <c r="G397" s="2">
        <v>45353</v>
      </c>
      <c r="H397">
        <v>2024</v>
      </c>
      <c r="I397">
        <v>21570.999999999971</v>
      </c>
      <c r="J397">
        <v>80339.86</v>
      </c>
      <c r="K397">
        <v>0</v>
      </c>
      <c r="L397">
        <v>101910.86</v>
      </c>
      <c r="M397" t="s">
        <v>126</v>
      </c>
    </row>
    <row r="398" spans="1:13" x14ac:dyDescent="0.25">
      <c r="A398" t="s">
        <v>1271</v>
      </c>
      <c r="B398" t="s">
        <v>1272</v>
      </c>
      <c r="C398" t="s">
        <v>1273</v>
      </c>
      <c r="D398" t="s">
        <v>99</v>
      </c>
      <c r="E398" s="2">
        <v>45295</v>
      </c>
      <c r="F398">
        <v>3000000</v>
      </c>
      <c r="G398" s="2">
        <v>45373</v>
      </c>
      <c r="H398">
        <v>2024</v>
      </c>
      <c r="I398">
        <v>10570.36000000001</v>
      </c>
      <c r="J398">
        <v>56452.91</v>
      </c>
      <c r="K398">
        <v>0</v>
      </c>
      <c r="L398">
        <v>67023.27</v>
      </c>
      <c r="M398" t="s">
        <v>182</v>
      </c>
    </row>
    <row r="399" spans="1:13" x14ac:dyDescent="0.25">
      <c r="A399" t="s">
        <v>1274</v>
      </c>
      <c r="B399" t="s">
        <v>1275</v>
      </c>
      <c r="C399" t="s">
        <v>511</v>
      </c>
      <c r="D399" t="s">
        <v>99</v>
      </c>
      <c r="E399" s="2">
        <v>44973</v>
      </c>
      <c r="F399">
        <v>5000000</v>
      </c>
      <c r="G399" s="2">
        <v>45334</v>
      </c>
      <c r="H399">
        <v>2024</v>
      </c>
      <c r="I399">
        <v>41118.660000000018</v>
      </c>
      <c r="J399">
        <v>152494.09</v>
      </c>
      <c r="K399">
        <v>0</v>
      </c>
      <c r="L399">
        <v>193612.75</v>
      </c>
      <c r="M399" t="s">
        <v>484</v>
      </c>
    </row>
    <row r="400" spans="1:13" x14ac:dyDescent="0.25">
      <c r="A400" t="s">
        <v>1276</v>
      </c>
      <c r="B400" t="s">
        <v>1277</v>
      </c>
      <c r="C400" t="s">
        <v>1278</v>
      </c>
      <c r="D400" t="s">
        <v>99</v>
      </c>
      <c r="E400" s="2">
        <v>45035</v>
      </c>
      <c r="F400">
        <v>10000000</v>
      </c>
      <c r="G400" s="2">
        <v>45389</v>
      </c>
      <c r="H400">
        <v>2024</v>
      </c>
      <c r="I400">
        <v>61078.25</v>
      </c>
      <c r="J400">
        <v>203857.65</v>
      </c>
      <c r="K400">
        <v>0</v>
      </c>
      <c r="L400">
        <v>264935.90000000002</v>
      </c>
      <c r="M400" t="s">
        <v>111</v>
      </c>
    </row>
    <row r="401" spans="1:13" x14ac:dyDescent="0.25">
      <c r="A401" t="s">
        <v>1279</v>
      </c>
      <c r="B401" t="s">
        <v>1280</v>
      </c>
      <c r="C401" t="s">
        <v>1281</v>
      </c>
      <c r="D401" t="s">
        <v>99</v>
      </c>
      <c r="E401" s="2">
        <v>44992</v>
      </c>
      <c r="F401">
        <v>5000000</v>
      </c>
      <c r="G401" s="2">
        <v>45339</v>
      </c>
      <c r="H401">
        <v>2024</v>
      </c>
      <c r="I401">
        <v>37569.130000000005</v>
      </c>
      <c r="J401">
        <v>339275.39</v>
      </c>
      <c r="K401">
        <v>0</v>
      </c>
      <c r="L401">
        <v>376844.52</v>
      </c>
      <c r="M401" t="s">
        <v>144</v>
      </c>
    </row>
    <row r="402" spans="1:13" x14ac:dyDescent="0.25">
      <c r="A402" t="s">
        <v>1282</v>
      </c>
      <c r="B402" t="s">
        <v>1283</v>
      </c>
      <c r="C402" t="s">
        <v>1284</v>
      </c>
      <c r="D402" t="s">
        <v>99</v>
      </c>
      <c r="E402" s="2">
        <v>45286</v>
      </c>
      <c r="F402">
        <v>5000000</v>
      </c>
      <c r="G402" s="2">
        <v>45287</v>
      </c>
      <c r="H402">
        <v>2023</v>
      </c>
      <c r="I402">
        <v>8299.7099999999991</v>
      </c>
      <c r="J402">
        <v>56975.72</v>
      </c>
      <c r="K402">
        <v>0</v>
      </c>
      <c r="L402">
        <v>65275.43</v>
      </c>
      <c r="M402" t="s">
        <v>182</v>
      </c>
    </row>
    <row r="403" spans="1:13" x14ac:dyDescent="0.25">
      <c r="A403" t="s">
        <v>1285</v>
      </c>
      <c r="B403" t="s">
        <v>1286</v>
      </c>
      <c r="C403" t="s">
        <v>1287</v>
      </c>
      <c r="D403" t="s">
        <v>474</v>
      </c>
      <c r="E403" s="2">
        <v>45032</v>
      </c>
      <c r="F403">
        <v>1000000</v>
      </c>
      <c r="G403" s="2">
        <v>45393</v>
      </c>
      <c r="H403">
        <v>2024</v>
      </c>
      <c r="I403">
        <v>6381.38</v>
      </c>
      <c r="J403">
        <v>29745.42</v>
      </c>
      <c r="K403">
        <v>27330.22</v>
      </c>
      <c r="L403">
        <v>63457.02</v>
      </c>
      <c r="M403" t="s">
        <v>134</v>
      </c>
    </row>
    <row r="404" spans="1:13" x14ac:dyDescent="0.25">
      <c r="A404" t="s">
        <v>1288</v>
      </c>
      <c r="B404" t="s">
        <v>1289</v>
      </c>
      <c r="C404" t="s">
        <v>1290</v>
      </c>
      <c r="D404" t="s">
        <v>474</v>
      </c>
      <c r="E404" s="2">
        <v>45359</v>
      </c>
      <c r="F404">
        <v>5000000</v>
      </c>
      <c r="G404" s="2">
        <v>45412</v>
      </c>
      <c r="H404">
        <v>2024</v>
      </c>
      <c r="I404">
        <v>421087.17999999959</v>
      </c>
      <c r="J404">
        <v>1466119.6</v>
      </c>
      <c r="K404">
        <v>86423.859999999899</v>
      </c>
      <c r="L404">
        <v>1973630.64</v>
      </c>
      <c r="M404" t="s">
        <v>119</v>
      </c>
    </row>
    <row r="405" spans="1:13" x14ac:dyDescent="0.25">
      <c r="A405" t="s">
        <v>1291</v>
      </c>
      <c r="B405" t="s">
        <v>1292</v>
      </c>
      <c r="C405" t="s">
        <v>1293</v>
      </c>
      <c r="D405" t="s">
        <v>99</v>
      </c>
      <c r="E405" s="2">
        <v>44950</v>
      </c>
      <c r="F405">
        <v>1000000</v>
      </c>
      <c r="G405" s="2">
        <v>45301</v>
      </c>
      <c r="H405">
        <v>2024</v>
      </c>
      <c r="I405">
        <v>19412.57999999998</v>
      </c>
      <c r="J405">
        <v>73380.77</v>
      </c>
      <c r="K405">
        <v>0</v>
      </c>
      <c r="L405">
        <v>92793.35</v>
      </c>
      <c r="M405" t="s">
        <v>246</v>
      </c>
    </row>
    <row r="406" spans="1:13" x14ac:dyDescent="0.25">
      <c r="A406" t="s">
        <v>1294</v>
      </c>
      <c r="B406" t="s">
        <v>1295</v>
      </c>
      <c r="C406" t="s">
        <v>1296</v>
      </c>
      <c r="D406" t="s">
        <v>474</v>
      </c>
      <c r="E406" s="2">
        <v>45115</v>
      </c>
      <c r="F406">
        <v>5000000</v>
      </c>
      <c r="G406" s="2">
        <v>45416</v>
      </c>
      <c r="H406">
        <v>2024</v>
      </c>
      <c r="I406">
        <v>72410.11</v>
      </c>
      <c r="J406">
        <v>418627.62</v>
      </c>
      <c r="K406">
        <v>132136.54</v>
      </c>
      <c r="L406">
        <v>623174.27</v>
      </c>
      <c r="M406" t="s">
        <v>159</v>
      </c>
    </row>
    <row r="407" spans="1:13" x14ac:dyDescent="0.25">
      <c r="A407" t="s">
        <v>1297</v>
      </c>
      <c r="B407" t="s">
        <v>1298</v>
      </c>
      <c r="C407" t="s">
        <v>1299</v>
      </c>
      <c r="D407" t="s">
        <v>99</v>
      </c>
      <c r="E407" s="2">
        <v>45240</v>
      </c>
      <c r="F407">
        <v>1000000</v>
      </c>
      <c r="G407" s="2">
        <v>45311</v>
      </c>
      <c r="H407">
        <v>2024</v>
      </c>
      <c r="I407">
        <v>24273.400000000038</v>
      </c>
      <c r="J407">
        <v>146261.78</v>
      </c>
      <c r="K407">
        <v>0</v>
      </c>
      <c r="L407">
        <v>170535.18</v>
      </c>
      <c r="M407" t="s">
        <v>115</v>
      </c>
    </row>
    <row r="408" spans="1:13" x14ac:dyDescent="0.25">
      <c r="A408" t="s">
        <v>1300</v>
      </c>
      <c r="B408" t="s">
        <v>1301</v>
      </c>
      <c r="C408" t="s">
        <v>1302</v>
      </c>
      <c r="D408" t="s">
        <v>99</v>
      </c>
      <c r="E408" s="2">
        <v>45235</v>
      </c>
      <c r="F408">
        <v>3000000</v>
      </c>
      <c r="G408" s="2">
        <v>45311</v>
      </c>
      <c r="H408">
        <v>2024</v>
      </c>
      <c r="I408">
        <v>47160.800000000003</v>
      </c>
      <c r="J408">
        <v>347117.85</v>
      </c>
      <c r="K408">
        <v>0</v>
      </c>
      <c r="L408">
        <v>394278.65</v>
      </c>
      <c r="M408" t="s">
        <v>144</v>
      </c>
    </row>
    <row r="409" spans="1:13" x14ac:dyDescent="0.25">
      <c r="A409" t="s">
        <v>1303</v>
      </c>
      <c r="B409" t="s">
        <v>1304</v>
      </c>
      <c r="C409" t="s">
        <v>1305</v>
      </c>
      <c r="D409" t="s">
        <v>99</v>
      </c>
      <c r="E409" s="2">
        <v>45225</v>
      </c>
      <c r="F409">
        <v>1000000</v>
      </c>
      <c r="G409" s="2">
        <v>45421</v>
      </c>
      <c r="H409">
        <v>2024</v>
      </c>
      <c r="I409">
        <v>96621.15</v>
      </c>
      <c r="J409">
        <v>343499.62</v>
      </c>
      <c r="K409">
        <v>0</v>
      </c>
      <c r="L409">
        <v>440120.77</v>
      </c>
      <c r="M409" t="s">
        <v>144</v>
      </c>
    </row>
    <row r="410" spans="1:13" x14ac:dyDescent="0.25">
      <c r="A410" t="s">
        <v>1306</v>
      </c>
      <c r="B410" t="s">
        <v>1307</v>
      </c>
      <c r="C410" t="s">
        <v>1308</v>
      </c>
      <c r="D410" t="s">
        <v>99</v>
      </c>
      <c r="E410" s="2">
        <v>45159</v>
      </c>
      <c r="F410">
        <v>1000000</v>
      </c>
      <c r="G410" s="2">
        <v>45446</v>
      </c>
      <c r="H410">
        <v>2024</v>
      </c>
      <c r="I410">
        <v>22343.419999999991</v>
      </c>
      <c r="J410">
        <v>79520.81</v>
      </c>
      <c r="K410">
        <v>0</v>
      </c>
      <c r="L410">
        <v>101864.23</v>
      </c>
      <c r="M410" t="s">
        <v>126</v>
      </c>
    </row>
    <row r="411" spans="1:13" x14ac:dyDescent="0.25">
      <c r="A411" t="s">
        <v>1309</v>
      </c>
      <c r="B411" t="s">
        <v>1310</v>
      </c>
      <c r="C411" t="s">
        <v>1311</v>
      </c>
      <c r="D411" t="s">
        <v>474</v>
      </c>
      <c r="E411" s="2">
        <v>45231</v>
      </c>
      <c r="F411">
        <v>1000000</v>
      </c>
      <c r="G411" s="2">
        <v>45249</v>
      </c>
      <c r="H411">
        <v>2023</v>
      </c>
      <c r="I411">
        <v>10513.189999999999</v>
      </c>
      <c r="J411">
        <v>40076.31</v>
      </c>
      <c r="K411">
        <v>15156.92</v>
      </c>
      <c r="L411">
        <v>65746.42</v>
      </c>
      <c r="M411" t="s">
        <v>182</v>
      </c>
    </row>
    <row r="412" spans="1:13" x14ac:dyDescent="0.25">
      <c r="A412" t="s">
        <v>1312</v>
      </c>
      <c r="B412" t="s">
        <v>1313</v>
      </c>
      <c r="C412" t="s">
        <v>756</v>
      </c>
      <c r="D412" t="s">
        <v>474</v>
      </c>
      <c r="E412" s="2">
        <v>45318</v>
      </c>
      <c r="F412">
        <v>4000000</v>
      </c>
      <c r="G412" s="2">
        <v>45452</v>
      </c>
      <c r="H412">
        <v>2024</v>
      </c>
      <c r="I412">
        <v>5483.92</v>
      </c>
      <c r="J412">
        <v>45435.49</v>
      </c>
      <c r="K412">
        <v>43256.05</v>
      </c>
      <c r="L412">
        <v>94175.46</v>
      </c>
      <c r="M412" t="s">
        <v>236</v>
      </c>
    </row>
    <row r="413" spans="1:13" x14ac:dyDescent="0.25">
      <c r="A413" t="s">
        <v>1314</v>
      </c>
      <c r="B413" t="s">
        <v>1315</v>
      </c>
      <c r="C413" t="s">
        <v>1316</v>
      </c>
      <c r="D413" t="s">
        <v>99</v>
      </c>
      <c r="E413" s="2">
        <v>45284</v>
      </c>
      <c r="F413">
        <v>4000000</v>
      </c>
      <c r="G413" s="2">
        <v>45353</v>
      </c>
      <c r="H413">
        <v>2024</v>
      </c>
      <c r="I413">
        <v>211235.98999999953</v>
      </c>
      <c r="J413">
        <v>1855030.39</v>
      </c>
      <c r="K413">
        <v>0</v>
      </c>
      <c r="L413">
        <v>2066266.38</v>
      </c>
      <c r="M413" t="s">
        <v>2201</v>
      </c>
    </row>
    <row r="414" spans="1:13" x14ac:dyDescent="0.25">
      <c r="A414" t="s">
        <v>1317</v>
      </c>
      <c r="B414" t="s">
        <v>1318</v>
      </c>
      <c r="C414" t="s">
        <v>1319</v>
      </c>
      <c r="D414" t="s">
        <v>99</v>
      </c>
      <c r="E414" s="2">
        <v>45122</v>
      </c>
      <c r="F414">
        <v>1000000</v>
      </c>
      <c r="G414" s="2">
        <v>45438</v>
      </c>
      <c r="H414">
        <v>2024</v>
      </c>
      <c r="I414">
        <v>37735.429999999971</v>
      </c>
      <c r="J414">
        <v>191843.68</v>
      </c>
      <c r="K414">
        <v>0</v>
      </c>
      <c r="L414">
        <v>229579.11</v>
      </c>
      <c r="M414" t="s">
        <v>178</v>
      </c>
    </row>
    <row r="415" spans="1:13" x14ac:dyDescent="0.25">
      <c r="A415" t="s">
        <v>1320</v>
      </c>
      <c r="B415" t="s">
        <v>1321</v>
      </c>
      <c r="C415" t="s">
        <v>1322</v>
      </c>
      <c r="D415" t="s">
        <v>474</v>
      </c>
      <c r="E415" s="2">
        <v>45132</v>
      </c>
      <c r="F415">
        <v>4000000</v>
      </c>
      <c r="G415" s="2">
        <v>45439</v>
      </c>
      <c r="H415">
        <v>2024</v>
      </c>
      <c r="I415">
        <v>9029.16</v>
      </c>
      <c r="J415">
        <v>56944.94</v>
      </c>
      <c r="K415">
        <v>69536.52</v>
      </c>
      <c r="L415">
        <v>135510.62</v>
      </c>
      <c r="M415" t="s">
        <v>484</v>
      </c>
    </row>
    <row r="416" spans="1:13" x14ac:dyDescent="0.25">
      <c r="A416" t="s">
        <v>1323</v>
      </c>
      <c r="B416" t="s">
        <v>1324</v>
      </c>
      <c r="C416" t="s">
        <v>1325</v>
      </c>
      <c r="D416" t="s">
        <v>99</v>
      </c>
      <c r="E416" s="2">
        <v>45378</v>
      </c>
      <c r="F416">
        <v>1000000</v>
      </c>
      <c r="G416" s="2">
        <v>45389</v>
      </c>
      <c r="H416">
        <v>2024</v>
      </c>
      <c r="I416">
        <v>8152.0599999999995</v>
      </c>
      <c r="J416">
        <v>54388.93</v>
      </c>
      <c r="K416">
        <v>0</v>
      </c>
      <c r="L416">
        <v>62540.99</v>
      </c>
      <c r="M416" t="s">
        <v>283</v>
      </c>
    </row>
    <row r="417" spans="1:13" x14ac:dyDescent="0.25">
      <c r="A417" t="s">
        <v>1326</v>
      </c>
      <c r="B417" t="s">
        <v>1327</v>
      </c>
      <c r="C417" t="s">
        <v>1328</v>
      </c>
      <c r="D417" t="s">
        <v>99</v>
      </c>
      <c r="E417" s="2">
        <v>45277</v>
      </c>
      <c r="F417">
        <v>2000000</v>
      </c>
      <c r="G417" s="2">
        <v>45435</v>
      </c>
      <c r="H417">
        <v>2024</v>
      </c>
      <c r="I417">
        <v>45191.4</v>
      </c>
      <c r="J417">
        <v>260021.04</v>
      </c>
      <c r="K417">
        <v>0</v>
      </c>
      <c r="L417">
        <v>305212.44</v>
      </c>
      <c r="M417" t="s">
        <v>210</v>
      </c>
    </row>
    <row r="418" spans="1:13" x14ac:dyDescent="0.25">
      <c r="A418" t="s">
        <v>1329</v>
      </c>
      <c r="B418" t="s">
        <v>1330</v>
      </c>
      <c r="C418" t="s">
        <v>1331</v>
      </c>
      <c r="D418" t="s">
        <v>474</v>
      </c>
      <c r="E418" s="2">
        <v>44358</v>
      </c>
      <c r="F418">
        <v>5000000</v>
      </c>
      <c r="G418" s="2">
        <v>44546</v>
      </c>
      <c r="H418">
        <v>2021</v>
      </c>
      <c r="I418">
        <v>45749.369999999995</v>
      </c>
      <c r="J418">
        <v>382755.45</v>
      </c>
      <c r="K418">
        <v>222352.98</v>
      </c>
      <c r="L418">
        <v>650857.80000000005</v>
      </c>
      <c r="M418" t="s">
        <v>186</v>
      </c>
    </row>
    <row r="419" spans="1:13" x14ac:dyDescent="0.25">
      <c r="A419" t="s">
        <v>1332</v>
      </c>
      <c r="B419" t="s">
        <v>1333</v>
      </c>
      <c r="C419" t="s">
        <v>1334</v>
      </c>
      <c r="D419" t="s">
        <v>99</v>
      </c>
      <c r="E419" s="2">
        <v>45274</v>
      </c>
      <c r="F419">
        <v>3000000</v>
      </c>
      <c r="G419" s="2">
        <v>45464</v>
      </c>
      <c r="H419">
        <v>2024</v>
      </c>
      <c r="I419">
        <v>18968.660000000029</v>
      </c>
      <c r="J419">
        <v>66804.31</v>
      </c>
      <c r="K419">
        <v>0</v>
      </c>
      <c r="L419">
        <v>85772.97</v>
      </c>
      <c r="M419" t="s">
        <v>134</v>
      </c>
    </row>
    <row r="420" spans="1:13" x14ac:dyDescent="0.25">
      <c r="A420" t="s">
        <v>1335</v>
      </c>
      <c r="B420" t="s">
        <v>1336</v>
      </c>
      <c r="C420" t="s">
        <v>1337</v>
      </c>
      <c r="D420" t="s">
        <v>474</v>
      </c>
      <c r="E420" s="2">
        <v>45191</v>
      </c>
      <c r="F420">
        <v>1000000</v>
      </c>
      <c r="G420" s="2">
        <v>45478</v>
      </c>
      <c r="H420">
        <v>2024</v>
      </c>
      <c r="I420">
        <v>431525.83</v>
      </c>
      <c r="J420">
        <v>1293552.43</v>
      </c>
      <c r="K420">
        <v>1045101.07</v>
      </c>
      <c r="L420">
        <v>2770179.33</v>
      </c>
      <c r="M420" t="s">
        <v>375</v>
      </c>
    </row>
    <row r="421" spans="1:13" x14ac:dyDescent="0.25">
      <c r="A421" t="s">
        <v>1338</v>
      </c>
      <c r="B421" t="s">
        <v>1339</v>
      </c>
      <c r="C421" t="s">
        <v>1340</v>
      </c>
      <c r="D421" t="s">
        <v>99</v>
      </c>
      <c r="E421" s="2">
        <v>45314</v>
      </c>
      <c r="F421">
        <v>10000000</v>
      </c>
      <c r="G421" s="2">
        <v>45476</v>
      </c>
      <c r="H421">
        <v>2024</v>
      </c>
      <c r="I421">
        <v>48786.95</v>
      </c>
      <c r="J421">
        <v>200441.16</v>
      </c>
      <c r="K421">
        <v>0</v>
      </c>
      <c r="L421">
        <v>249228.11</v>
      </c>
      <c r="M421" t="s">
        <v>111</v>
      </c>
    </row>
    <row r="422" spans="1:13" x14ac:dyDescent="0.25">
      <c r="A422" t="s">
        <v>1341</v>
      </c>
      <c r="B422" t="s">
        <v>1342</v>
      </c>
      <c r="C422" t="s">
        <v>1343</v>
      </c>
      <c r="D422" t="s">
        <v>474</v>
      </c>
      <c r="E422" s="2">
        <v>45177</v>
      </c>
      <c r="F422">
        <v>10000000</v>
      </c>
      <c r="G422" s="2">
        <v>45463</v>
      </c>
      <c r="H422">
        <v>2024</v>
      </c>
      <c r="I422">
        <v>46435.430000000044</v>
      </c>
      <c r="J422">
        <v>190049.7</v>
      </c>
      <c r="K422">
        <v>23173.53</v>
      </c>
      <c r="L422">
        <v>259658.66</v>
      </c>
      <c r="M422" t="s">
        <v>111</v>
      </c>
    </row>
    <row r="423" spans="1:13" x14ac:dyDescent="0.25">
      <c r="A423" t="s">
        <v>1344</v>
      </c>
      <c r="B423" t="s">
        <v>1345</v>
      </c>
      <c r="C423" t="s">
        <v>1346</v>
      </c>
      <c r="D423" t="s">
        <v>474</v>
      </c>
      <c r="E423" s="2">
        <v>45298</v>
      </c>
      <c r="F423">
        <v>5000000</v>
      </c>
      <c r="G423" s="2">
        <v>45476</v>
      </c>
      <c r="H423">
        <v>2024</v>
      </c>
      <c r="I423">
        <v>27211.489999999972</v>
      </c>
      <c r="J423">
        <v>111922.83</v>
      </c>
      <c r="K423">
        <v>56372.57</v>
      </c>
      <c r="L423">
        <v>195506.89</v>
      </c>
      <c r="M423" t="s">
        <v>178</v>
      </c>
    </row>
    <row r="424" spans="1:13" x14ac:dyDescent="0.25">
      <c r="A424" t="s">
        <v>1347</v>
      </c>
      <c r="B424" t="s">
        <v>1348</v>
      </c>
      <c r="C424" t="s">
        <v>1349</v>
      </c>
      <c r="D424" t="s">
        <v>474</v>
      </c>
      <c r="E424" s="2">
        <v>45338</v>
      </c>
      <c r="F424">
        <v>1000000</v>
      </c>
      <c r="G424" s="2">
        <v>45471</v>
      </c>
      <c r="H424">
        <v>2024</v>
      </c>
      <c r="I424">
        <v>74968.69</v>
      </c>
      <c r="J424">
        <v>308963.12</v>
      </c>
      <c r="K424">
        <v>88733.67</v>
      </c>
      <c r="L424">
        <v>472665.48</v>
      </c>
      <c r="M424" t="s">
        <v>163</v>
      </c>
    </row>
    <row r="425" spans="1:13" x14ac:dyDescent="0.25">
      <c r="A425" t="s">
        <v>1350</v>
      </c>
      <c r="B425" t="s">
        <v>1351</v>
      </c>
      <c r="C425" t="s">
        <v>1352</v>
      </c>
      <c r="D425" t="s">
        <v>99</v>
      </c>
      <c r="E425" s="2">
        <v>45259</v>
      </c>
      <c r="F425">
        <v>3000000</v>
      </c>
      <c r="G425" s="2">
        <v>45434</v>
      </c>
      <c r="H425">
        <v>2024</v>
      </c>
      <c r="I425">
        <v>33654.149999999965</v>
      </c>
      <c r="J425">
        <v>140948.54</v>
      </c>
      <c r="K425">
        <v>0</v>
      </c>
      <c r="L425">
        <v>174602.69</v>
      </c>
      <c r="M425" t="s">
        <v>115</v>
      </c>
    </row>
    <row r="426" spans="1:13" x14ac:dyDescent="0.25">
      <c r="A426" t="s">
        <v>1353</v>
      </c>
      <c r="B426" t="s">
        <v>1354</v>
      </c>
      <c r="C426" t="s">
        <v>1355</v>
      </c>
      <c r="D426" t="s">
        <v>474</v>
      </c>
      <c r="E426" s="2">
        <v>45168</v>
      </c>
      <c r="F426">
        <v>5000000</v>
      </c>
      <c r="G426" s="2">
        <v>45477</v>
      </c>
      <c r="H426">
        <v>2024</v>
      </c>
      <c r="I426">
        <v>1577.5599999999959</v>
      </c>
      <c r="J426">
        <v>9111.4599999999991</v>
      </c>
      <c r="K426">
        <v>77983.48</v>
      </c>
      <c r="L426">
        <v>88672.5</v>
      </c>
      <c r="M426" t="s">
        <v>2202</v>
      </c>
    </row>
    <row r="427" spans="1:13" x14ac:dyDescent="0.25">
      <c r="A427" t="s">
        <v>1356</v>
      </c>
      <c r="B427" t="s">
        <v>1357</v>
      </c>
      <c r="C427" t="s">
        <v>1358</v>
      </c>
      <c r="D427" t="s">
        <v>474</v>
      </c>
      <c r="E427" s="2">
        <v>45338</v>
      </c>
      <c r="F427">
        <v>1000000</v>
      </c>
      <c r="G427" s="2">
        <v>45454</v>
      </c>
      <c r="H427">
        <v>2024</v>
      </c>
      <c r="I427">
        <v>40200.639999999963</v>
      </c>
      <c r="J427">
        <v>133150.29</v>
      </c>
      <c r="K427">
        <v>67189.119999999995</v>
      </c>
      <c r="L427">
        <v>240540.05</v>
      </c>
      <c r="M427" t="s">
        <v>210</v>
      </c>
    </row>
    <row r="428" spans="1:13" x14ac:dyDescent="0.25">
      <c r="A428" t="s">
        <v>1359</v>
      </c>
      <c r="B428" t="s">
        <v>1360</v>
      </c>
      <c r="C428" t="s">
        <v>1361</v>
      </c>
      <c r="D428" t="s">
        <v>474</v>
      </c>
      <c r="E428" s="2">
        <v>45453</v>
      </c>
      <c r="F428">
        <v>1000000</v>
      </c>
      <c r="G428" s="2">
        <v>45484</v>
      </c>
      <c r="H428">
        <v>2024</v>
      </c>
      <c r="I428">
        <v>9710.8100000000013</v>
      </c>
      <c r="J428">
        <v>63299.14</v>
      </c>
      <c r="K428">
        <v>58894.62</v>
      </c>
      <c r="L428">
        <v>131904.57</v>
      </c>
      <c r="M428" t="s">
        <v>100</v>
      </c>
    </row>
    <row r="429" spans="1:13" x14ac:dyDescent="0.25">
      <c r="A429" t="s">
        <v>1362</v>
      </c>
      <c r="B429" t="s">
        <v>1363</v>
      </c>
      <c r="C429" t="s">
        <v>1364</v>
      </c>
      <c r="D429" t="s">
        <v>474</v>
      </c>
      <c r="E429" s="2">
        <v>45224</v>
      </c>
      <c r="F429">
        <v>10000000</v>
      </c>
      <c r="G429" s="2">
        <v>45470</v>
      </c>
      <c r="H429">
        <v>2024</v>
      </c>
      <c r="I429">
        <v>99489.58</v>
      </c>
      <c r="J429">
        <v>579786.64</v>
      </c>
      <c r="K429">
        <v>121056.48</v>
      </c>
      <c r="L429">
        <v>800332.7</v>
      </c>
      <c r="M429" t="s">
        <v>186</v>
      </c>
    </row>
    <row r="430" spans="1:13" x14ac:dyDescent="0.25">
      <c r="A430" t="s">
        <v>1365</v>
      </c>
      <c r="B430" t="s">
        <v>1366</v>
      </c>
      <c r="C430" t="s">
        <v>1367</v>
      </c>
      <c r="D430" t="s">
        <v>474</v>
      </c>
      <c r="E430" s="2">
        <v>45061</v>
      </c>
      <c r="F430">
        <v>2000000</v>
      </c>
      <c r="G430" s="2">
        <v>45373</v>
      </c>
      <c r="H430">
        <v>2024</v>
      </c>
      <c r="I430">
        <v>16381.169999999991</v>
      </c>
      <c r="J430">
        <v>46402.49</v>
      </c>
      <c r="K430">
        <v>140956.07</v>
      </c>
      <c r="L430">
        <v>203739.73</v>
      </c>
      <c r="M430" t="s">
        <v>130</v>
      </c>
    </row>
    <row r="431" spans="1:13" x14ac:dyDescent="0.25">
      <c r="A431" t="s">
        <v>1368</v>
      </c>
      <c r="B431" t="s">
        <v>1369</v>
      </c>
      <c r="C431" t="s">
        <v>1370</v>
      </c>
      <c r="D431" t="s">
        <v>474</v>
      </c>
      <c r="E431" s="2">
        <v>45450</v>
      </c>
      <c r="F431">
        <v>5000000</v>
      </c>
      <c r="G431" s="2">
        <v>45492</v>
      </c>
      <c r="H431">
        <v>2024</v>
      </c>
      <c r="I431">
        <v>3889.220000000003</v>
      </c>
      <c r="J431">
        <v>35681.599999999999</v>
      </c>
      <c r="K431">
        <v>65270.41</v>
      </c>
      <c r="L431">
        <v>104841.23</v>
      </c>
      <c r="M431" t="s">
        <v>115</v>
      </c>
    </row>
    <row r="432" spans="1:13" x14ac:dyDescent="0.25">
      <c r="A432" t="s">
        <v>1371</v>
      </c>
      <c r="B432" t="s">
        <v>1372</v>
      </c>
      <c r="C432" t="s">
        <v>1373</v>
      </c>
      <c r="D432" t="s">
        <v>474</v>
      </c>
      <c r="E432" s="2">
        <v>45240</v>
      </c>
      <c r="F432">
        <v>5000000</v>
      </c>
      <c r="G432" s="2">
        <v>45485</v>
      </c>
      <c r="H432">
        <v>2024</v>
      </c>
      <c r="I432">
        <v>10305.17</v>
      </c>
      <c r="J432">
        <v>31859.45</v>
      </c>
      <c r="K432">
        <v>77735.27</v>
      </c>
      <c r="L432">
        <v>119899.89</v>
      </c>
      <c r="M432" t="s">
        <v>484</v>
      </c>
    </row>
    <row r="433" spans="1:13" x14ac:dyDescent="0.25">
      <c r="A433" t="s">
        <v>1374</v>
      </c>
      <c r="B433" t="s">
        <v>1375</v>
      </c>
      <c r="C433" t="s">
        <v>1376</v>
      </c>
      <c r="D433" t="s">
        <v>474</v>
      </c>
      <c r="E433" s="2">
        <v>45280</v>
      </c>
      <c r="F433">
        <v>5000000</v>
      </c>
      <c r="G433" s="2">
        <v>45501</v>
      </c>
      <c r="H433">
        <v>2024</v>
      </c>
      <c r="I433">
        <v>12664.260000000009</v>
      </c>
      <c r="J433">
        <v>71358.14</v>
      </c>
      <c r="K433">
        <v>2826.6</v>
      </c>
      <c r="L433">
        <v>86849</v>
      </c>
      <c r="M433" t="s">
        <v>246</v>
      </c>
    </row>
    <row r="434" spans="1:13" x14ac:dyDescent="0.25">
      <c r="A434" t="s">
        <v>1377</v>
      </c>
      <c r="B434" t="s">
        <v>1378</v>
      </c>
      <c r="C434" t="s">
        <v>1379</v>
      </c>
      <c r="D434" t="s">
        <v>474</v>
      </c>
      <c r="E434" s="2">
        <v>45442</v>
      </c>
      <c r="F434">
        <v>1000000</v>
      </c>
      <c r="G434" s="2">
        <v>45486</v>
      </c>
      <c r="H434">
        <v>2024</v>
      </c>
      <c r="I434">
        <v>28596.869999999959</v>
      </c>
      <c r="J434">
        <v>165404.54</v>
      </c>
      <c r="K434">
        <v>110114.96</v>
      </c>
      <c r="L434">
        <v>304116.37</v>
      </c>
      <c r="M434" t="s">
        <v>152</v>
      </c>
    </row>
    <row r="435" spans="1:13" x14ac:dyDescent="0.25">
      <c r="A435" t="s">
        <v>1380</v>
      </c>
      <c r="B435" t="s">
        <v>1381</v>
      </c>
      <c r="C435" t="s">
        <v>1382</v>
      </c>
      <c r="D435" t="s">
        <v>99</v>
      </c>
      <c r="E435" s="2">
        <v>44525</v>
      </c>
      <c r="F435">
        <v>2000000</v>
      </c>
      <c r="G435" s="2">
        <v>44608</v>
      </c>
      <c r="H435">
        <v>2022</v>
      </c>
      <c r="I435">
        <v>37656.120000000032</v>
      </c>
      <c r="J435">
        <v>174708.95</v>
      </c>
      <c r="K435">
        <v>0</v>
      </c>
      <c r="L435">
        <v>212365.07</v>
      </c>
      <c r="M435" t="s">
        <v>100</v>
      </c>
    </row>
    <row r="436" spans="1:13" x14ac:dyDescent="0.25">
      <c r="A436" t="s">
        <v>1383</v>
      </c>
      <c r="B436" t="s">
        <v>1384</v>
      </c>
      <c r="C436" t="s">
        <v>1385</v>
      </c>
      <c r="D436" t="s">
        <v>99</v>
      </c>
      <c r="E436" s="2">
        <v>45423</v>
      </c>
      <c r="F436">
        <v>3000000</v>
      </c>
      <c r="G436" s="2">
        <v>45476</v>
      </c>
      <c r="H436">
        <v>2024</v>
      </c>
      <c r="I436">
        <v>13614.900000000051</v>
      </c>
      <c r="J436">
        <v>51418.91</v>
      </c>
      <c r="K436">
        <v>0</v>
      </c>
      <c r="L436">
        <v>65033.81</v>
      </c>
      <c r="M436" t="s">
        <v>314</v>
      </c>
    </row>
    <row r="437" spans="1:13" x14ac:dyDescent="0.25">
      <c r="A437" t="s">
        <v>1386</v>
      </c>
      <c r="B437" t="s">
        <v>1387</v>
      </c>
      <c r="C437" t="s">
        <v>1136</v>
      </c>
      <c r="D437" t="s">
        <v>474</v>
      </c>
      <c r="E437" s="2">
        <v>45324</v>
      </c>
      <c r="F437">
        <v>5000000</v>
      </c>
      <c r="G437" s="2">
        <v>45465</v>
      </c>
      <c r="H437">
        <v>2024</v>
      </c>
      <c r="I437">
        <v>52313.610000000102</v>
      </c>
      <c r="J437">
        <v>286102.99</v>
      </c>
      <c r="K437">
        <v>641816.6</v>
      </c>
      <c r="L437">
        <v>980233.2</v>
      </c>
      <c r="M437" t="s">
        <v>119</v>
      </c>
    </row>
    <row r="438" spans="1:13" x14ac:dyDescent="0.25">
      <c r="A438" t="s">
        <v>1388</v>
      </c>
      <c r="B438" t="s">
        <v>1389</v>
      </c>
      <c r="C438" t="s">
        <v>1390</v>
      </c>
      <c r="D438" t="s">
        <v>474</v>
      </c>
      <c r="E438" s="2">
        <v>45352</v>
      </c>
      <c r="F438">
        <v>1000000</v>
      </c>
      <c r="G438" s="2">
        <v>45505</v>
      </c>
      <c r="H438">
        <v>2024</v>
      </c>
      <c r="I438">
        <v>15837.970000000041</v>
      </c>
      <c r="J438">
        <v>39924.29</v>
      </c>
      <c r="K438">
        <v>41330.19</v>
      </c>
      <c r="L438">
        <v>97092.45</v>
      </c>
      <c r="M438" t="s">
        <v>229</v>
      </c>
    </row>
    <row r="439" spans="1:13" x14ac:dyDescent="0.25">
      <c r="A439" t="s">
        <v>1391</v>
      </c>
      <c r="B439" t="s">
        <v>1392</v>
      </c>
      <c r="C439" t="s">
        <v>1393</v>
      </c>
      <c r="D439" t="s">
        <v>474</v>
      </c>
      <c r="E439" s="2">
        <v>45303</v>
      </c>
      <c r="F439">
        <v>4000000</v>
      </c>
      <c r="G439" s="2">
        <v>45503</v>
      </c>
      <c r="H439">
        <v>2024</v>
      </c>
      <c r="I439">
        <v>6210.7</v>
      </c>
      <c r="J439">
        <v>23798.57</v>
      </c>
      <c r="K439">
        <v>74599.399999999994</v>
      </c>
      <c r="L439">
        <v>104608.67</v>
      </c>
      <c r="M439" t="s">
        <v>484</v>
      </c>
    </row>
    <row r="440" spans="1:13" x14ac:dyDescent="0.25">
      <c r="A440" t="s">
        <v>1394</v>
      </c>
      <c r="B440" t="s">
        <v>1395</v>
      </c>
      <c r="C440" t="s">
        <v>1396</v>
      </c>
      <c r="D440" t="s">
        <v>474</v>
      </c>
      <c r="E440" s="2">
        <v>45334</v>
      </c>
      <c r="F440">
        <v>3000000</v>
      </c>
      <c r="G440" s="2">
        <v>45503</v>
      </c>
      <c r="H440">
        <v>2024</v>
      </c>
      <c r="I440">
        <v>59857.9</v>
      </c>
      <c r="J440">
        <v>315658.06</v>
      </c>
      <c r="K440">
        <v>21521.84</v>
      </c>
      <c r="L440">
        <v>397037.8</v>
      </c>
      <c r="M440" t="s">
        <v>144</v>
      </c>
    </row>
    <row r="441" spans="1:13" x14ac:dyDescent="0.25">
      <c r="A441" t="s">
        <v>1397</v>
      </c>
      <c r="B441" t="s">
        <v>1398</v>
      </c>
      <c r="C441" t="s">
        <v>1399</v>
      </c>
      <c r="D441" t="s">
        <v>474</v>
      </c>
      <c r="E441" s="2">
        <v>45161</v>
      </c>
      <c r="F441">
        <v>10000000</v>
      </c>
      <c r="G441" s="2">
        <v>45525</v>
      </c>
      <c r="H441">
        <v>2024</v>
      </c>
      <c r="I441">
        <v>302119.05999999959</v>
      </c>
      <c r="J441">
        <v>1278229.24</v>
      </c>
      <c r="K441">
        <v>297466.43</v>
      </c>
      <c r="L441">
        <v>1877814.73</v>
      </c>
      <c r="M441" t="s">
        <v>119</v>
      </c>
    </row>
    <row r="442" spans="1:13" x14ac:dyDescent="0.25">
      <c r="A442" t="s">
        <v>1400</v>
      </c>
      <c r="B442" t="s">
        <v>1401</v>
      </c>
      <c r="C442" t="s">
        <v>1402</v>
      </c>
      <c r="D442" t="s">
        <v>474</v>
      </c>
      <c r="E442" s="2">
        <v>45154</v>
      </c>
      <c r="F442">
        <v>5000000</v>
      </c>
      <c r="G442" s="2">
        <v>45374</v>
      </c>
      <c r="H442">
        <v>2024</v>
      </c>
      <c r="I442">
        <v>785023.32000000007</v>
      </c>
      <c r="J442">
        <v>2154730.5499999998</v>
      </c>
      <c r="K442">
        <v>1016203.47</v>
      </c>
      <c r="L442">
        <v>3955957.34</v>
      </c>
      <c r="M442" t="s">
        <v>2200</v>
      </c>
    </row>
    <row r="443" spans="1:13" x14ac:dyDescent="0.25">
      <c r="A443" t="s">
        <v>1403</v>
      </c>
      <c r="B443" t="s">
        <v>1404</v>
      </c>
      <c r="C443" t="s">
        <v>1405</v>
      </c>
      <c r="D443" t="s">
        <v>474</v>
      </c>
      <c r="E443" s="2">
        <v>45440</v>
      </c>
      <c r="F443">
        <v>1000000</v>
      </c>
      <c r="G443" s="2">
        <v>45514</v>
      </c>
      <c r="H443">
        <v>2024</v>
      </c>
      <c r="I443">
        <v>12240.050000000001</v>
      </c>
      <c r="J443">
        <v>64686.17</v>
      </c>
      <c r="K443">
        <v>12364.07</v>
      </c>
      <c r="L443">
        <v>89290.29</v>
      </c>
      <c r="M443" t="s">
        <v>126</v>
      </c>
    </row>
    <row r="444" spans="1:13" x14ac:dyDescent="0.25">
      <c r="A444" t="s">
        <v>1406</v>
      </c>
      <c r="B444" t="s">
        <v>1407</v>
      </c>
      <c r="C444" t="s">
        <v>1408</v>
      </c>
      <c r="D444" t="s">
        <v>474</v>
      </c>
      <c r="E444" s="2">
        <v>45458</v>
      </c>
      <c r="F444">
        <v>10000000</v>
      </c>
      <c r="G444" s="2">
        <v>45505</v>
      </c>
      <c r="H444">
        <v>2024</v>
      </c>
      <c r="I444">
        <v>143480.03000000009</v>
      </c>
      <c r="J444">
        <v>507282.42</v>
      </c>
      <c r="K444">
        <v>234878.11</v>
      </c>
      <c r="L444">
        <v>885640.56</v>
      </c>
      <c r="M444" t="s">
        <v>186</v>
      </c>
    </row>
    <row r="445" spans="1:13" x14ac:dyDescent="0.25">
      <c r="A445" t="s">
        <v>1409</v>
      </c>
      <c r="B445" t="s">
        <v>1410</v>
      </c>
      <c r="C445" t="s">
        <v>1411</v>
      </c>
      <c r="D445" t="s">
        <v>474</v>
      </c>
      <c r="E445" s="2">
        <v>45238</v>
      </c>
      <c r="F445">
        <v>1000000</v>
      </c>
      <c r="G445" s="2">
        <v>45438</v>
      </c>
      <c r="H445">
        <v>2024</v>
      </c>
      <c r="I445">
        <v>6900.32</v>
      </c>
      <c r="J445">
        <v>67430.33</v>
      </c>
      <c r="K445">
        <v>40452.54</v>
      </c>
      <c r="L445">
        <v>114783.19</v>
      </c>
      <c r="M445" t="s">
        <v>193</v>
      </c>
    </row>
    <row r="446" spans="1:13" x14ac:dyDescent="0.25">
      <c r="A446" t="s">
        <v>1412</v>
      </c>
      <c r="B446" t="s">
        <v>1413</v>
      </c>
      <c r="C446" t="s">
        <v>1110</v>
      </c>
      <c r="D446" t="s">
        <v>474</v>
      </c>
      <c r="E446" s="2">
        <v>45478</v>
      </c>
      <c r="F446">
        <v>5000000</v>
      </c>
      <c r="G446" s="2">
        <v>45519</v>
      </c>
      <c r="H446">
        <v>2024</v>
      </c>
      <c r="I446">
        <v>1656.2199999999989</v>
      </c>
      <c r="J446">
        <v>17453.34</v>
      </c>
      <c r="K446">
        <v>53503.05</v>
      </c>
      <c r="L446">
        <v>72612.61</v>
      </c>
      <c r="M446" t="s">
        <v>314</v>
      </c>
    </row>
    <row r="447" spans="1:13" x14ac:dyDescent="0.25">
      <c r="A447" t="s">
        <v>1414</v>
      </c>
      <c r="B447" t="s">
        <v>1415</v>
      </c>
      <c r="C447" t="s">
        <v>1416</v>
      </c>
      <c r="D447" t="s">
        <v>474</v>
      </c>
      <c r="E447" s="2">
        <v>45354</v>
      </c>
      <c r="F447">
        <v>1000000</v>
      </c>
      <c r="G447" s="2">
        <v>45529</v>
      </c>
      <c r="H447">
        <v>2024</v>
      </c>
      <c r="I447">
        <v>32478.750000000007</v>
      </c>
      <c r="J447">
        <v>111106.66</v>
      </c>
      <c r="K447">
        <v>55694.58</v>
      </c>
      <c r="L447">
        <v>199279.99</v>
      </c>
      <c r="M447" t="s">
        <v>178</v>
      </c>
    </row>
    <row r="448" spans="1:13" x14ac:dyDescent="0.25">
      <c r="A448" t="s">
        <v>1417</v>
      </c>
      <c r="B448" t="s">
        <v>1418</v>
      </c>
      <c r="C448" t="s">
        <v>565</v>
      </c>
      <c r="D448" t="s">
        <v>474</v>
      </c>
      <c r="E448" s="2">
        <v>45415</v>
      </c>
      <c r="F448">
        <v>10000000</v>
      </c>
      <c r="G448" s="2">
        <v>45530</v>
      </c>
      <c r="H448">
        <v>2024</v>
      </c>
      <c r="I448">
        <v>94127.43</v>
      </c>
      <c r="J448">
        <v>222807.71</v>
      </c>
      <c r="K448">
        <v>343855.21</v>
      </c>
      <c r="L448">
        <v>660790.35</v>
      </c>
      <c r="M448" t="s">
        <v>186</v>
      </c>
    </row>
    <row r="449" spans="1:13" x14ac:dyDescent="0.25">
      <c r="A449" t="s">
        <v>1419</v>
      </c>
      <c r="B449" t="s">
        <v>1420</v>
      </c>
      <c r="C449" t="s">
        <v>1421</v>
      </c>
      <c r="D449" t="s">
        <v>474</v>
      </c>
      <c r="E449" s="2">
        <v>45250</v>
      </c>
      <c r="F449">
        <v>5000000</v>
      </c>
      <c r="G449" s="2">
        <v>45526</v>
      </c>
      <c r="H449">
        <v>2024</v>
      </c>
      <c r="I449">
        <v>8558.869999999999</v>
      </c>
      <c r="J449">
        <v>33718.699999999997</v>
      </c>
      <c r="K449">
        <v>62932.59</v>
      </c>
      <c r="L449">
        <v>105210.16</v>
      </c>
      <c r="M449" t="s">
        <v>236</v>
      </c>
    </row>
    <row r="450" spans="1:13" x14ac:dyDescent="0.25">
      <c r="A450" t="s">
        <v>1422</v>
      </c>
      <c r="B450" t="s">
        <v>1423</v>
      </c>
      <c r="C450" t="s">
        <v>1424</v>
      </c>
      <c r="D450" t="s">
        <v>474</v>
      </c>
      <c r="E450" s="2">
        <v>45198</v>
      </c>
      <c r="F450">
        <v>1000000</v>
      </c>
      <c r="G450" s="2">
        <v>45558</v>
      </c>
      <c r="H450">
        <v>2024</v>
      </c>
      <c r="I450">
        <v>4065.42</v>
      </c>
      <c r="J450">
        <v>31185.759999999998</v>
      </c>
      <c r="K450">
        <v>50589.58</v>
      </c>
      <c r="L450">
        <v>85840.76</v>
      </c>
      <c r="M450" t="s">
        <v>174</v>
      </c>
    </row>
    <row r="451" spans="1:13" x14ac:dyDescent="0.25">
      <c r="A451" t="s">
        <v>1425</v>
      </c>
      <c r="B451" t="s">
        <v>1426</v>
      </c>
      <c r="C451" t="s">
        <v>1427</v>
      </c>
      <c r="D451" t="s">
        <v>474</v>
      </c>
      <c r="E451" s="2">
        <v>45273</v>
      </c>
      <c r="F451">
        <v>1000000</v>
      </c>
      <c r="G451" s="2">
        <v>45549</v>
      </c>
      <c r="H451">
        <v>2024</v>
      </c>
      <c r="I451">
        <v>10205.75</v>
      </c>
      <c r="J451">
        <v>45195.91</v>
      </c>
      <c r="K451">
        <v>32125.47</v>
      </c>
      <c r="L451">
        <v>87527.13</v>
      </c>
      <c r="M451" t="s">
        <v>229</v>
      </c>
    </row>
    <row r="452" spans="1:13" x14ac:dyDescent="0.25">
      <c r="A452" t="s">
        <v>1428</v>
      </c>
      <c r="B452" t="s">
        <v>1429</v>
      </c>
      <c r="C452" t="s">
        <v>1430</v>
      </c>
      <c r="D452" t="s">
        <v>474</v>
      </c>
      <c r="E452" s="2">
        <v>45301</v>
      </c>
      <c r="F452">
        <v>3000000</v>
      </c>
      <c r="G452" s="2">
        <v>45524</v>
      </c>
      <c r="H452">
        <v>2024</v>
      </c>
      <c r="I452">
        <v>34223.07999999998</v>
      </c>
      <c r="J452">
        <v>210985.54</v>
      </c>
      <c r="K452">
        <v>306574.25</v>
      </c>
      <c r="L452">
        <v>551782.87</v>
      </c>
      <c r="M452" t="s">
        <v>159</v>
      </c>
    </row>
    <row r="453" spans="1:13" x14ac:dyDescent="0.25">
      <c r="A453" t="s">
        <v>1431</v>
      </c>
      <c r="B453" t="s">
        <v>1432</v>
      </c>
      <c r="C453" t="s">
        <v>1433</v>
      </c>
      <c r="D453" t="s">
        <v>474</v>
      </c>
      <c r="E453" s="2">
        <v>45261</v>
      </c>
      <c r="F453">
        <v>5000000</v>
      </c>
      <c r="G453" s="2">
        <v>45536</v>
      </c>
      <c r="H453">
        <v>2024</v>
      </c>
      <c r="I453">
        <v>71960.14</v>
      </c>
      <c r="J453">
        <v>490529.92</v>
      </c>
      <c r="K453">
        <v>159333.6</v>
      </c>
      <c r="L453">
        <v>721823.66</v>
      </c>
      <c r="M453" t="s">
        <v>186</v>
      </c>
    </row>
    <row r="454" spans="1:13" x14ac:dyDescent="0.25">
      <c r="A454" t="s">
        <v>1434</v>
      </c>
      <c r="B454" t="s">
        <v>1435</v>
      </c>
      <c r="C454" t="s">
        <v>1436</v>
      </c>
      <c r="D454" t="s">
        <v>474</v>
      </c>
      <c r="E454" s="2">
        <v>45280</v>
      </c>
      <c r="F454">
        <v>5000000</v>
      </c>
      <c r="G454" s="2">
        <v>45559</v>
      </c>
      <c r="H454">
        <v>2024</v>
      </c>
      <c r="I454">
        <v>17810.76999999996</v>
      </c>
      <c r="J454">
        <v>114864.39</v>
      </c>
      <c r="K454">
        <v>281498.71999999997</v>
      </c>
      <c r="L454">
        <v>414173.88</v>
      </c>
      <c r="M454" t="s">
        <v>159</v>
      </c>
    </row>
    <row r="455" spans="1:13" x14ac:dyDescent="0.25">
      <c r="A455" t="s">
        <v>1437</v>
      </c>
      <c r="B455" t="s">
        <v>1438</v>
      </c>
      <c r="C455" t="s">
        <v>1439</v>
      </c>
      <c r="D455" t="s">
        <v>474</v>
      </c>
      <c r="E455" s="2">
        <v>45487</v>
      </c>
      <c r="F455">
        <v>3000000</v>
      </c>
      <c r="G455" s="2">
        <v>45536</v>
      </c>
      <c r="H455">
        <v>2024</v>
      </c>
      <c r="I455">
        <v>7016.68</v>
      </c>
      <c r="J455">
        <v>26117.919999999998</v>
      </c>
      <c r="K455">
        <v>201407.72</v>
      </c>
      <c r="L455">
        <v>234542.32</v>
      </c>
      <c r="M455" t="s">
        <v>144</v>
      </c>
    </row>
    <row r="456" spans="1:13" x14ac:dyDescent="0.25">
      <c r="A456" t="s">
        <v>1440</v>
      </c>
      <c r="B456" t="s">
        <v>1441</v>
      </c>
      <c r="C456" t="s">
        <v>1442</v>
      </c>
      <c r="D456" t="s">
        <v>474</v>
      </c>
      <c r="E456" s="2">
        <v>45477</v>
      </c>
      <c r="F456">
        <v>5000000</v>
      </c>
      <c r="G456" s="2">
        <v>45574</v>
      </c>
      <c r="H456">
        <v>2024</v>
      </c>
      <c r="I456">
        <v>0</v>
      </c>
      <c r="J456">
        <v>0</v>
      </c>
      <c r="K456">
        <v>89533.15</v>
      </c>
      <c r="L456">
        <v>89533.15</v>
      </c>
      <c r="M456" t="s">
        <v>236</v>
      </c>
    </row>
    <row r="457" spans="1:13" x14ac:dyDescent="0.25">
      <c r="A457" t="s">
        <v>1443</v>
      </c>
      <c r="B457" t="s">
        <v>1444</v>
      </c>
      <c r="C457" t="s">
        <v>1445</v>
      </c>
      <c r="D457" t="s">
        <v>474</v>
      </c>
      <c r="E457" s="2">
        <v>45219</v>
      </c>
      <c r="F457">
        <v>10000000</v>
      </c>
      <c r="G457" s="2">
        <v>45570</v>
      </c>
      <c r="H457">
        <v>2024</v>
      </c>
      <c r="I457">
        <v>0</v>
      </c>
      <c r="J457">
        <v>0</v>
      </c>
      <c r="K457">
        <v>201626.88</v>
      </c>
      <c r="L457">
        <v>201626.88</v>
      </c>
      <c r="M457" t="s">
        <v>163</v>
      </c>
    </row>
    <row r="458" spans="1:13" x14ac:dyDescent="0.25">
      <c r="A458" t="s">
        <v>1446</v>
      </c>
      <c r="B458" t="s">
        <v>1447</v>
      </c>
      <c r="C458" t="s">
        <v>1448</v>
      </c>
      <c r="D458" t="s">
        <v>474</v>
      </c>
      <c r="E458" s="2">
        <v>45208</v>
      </c>
      <c r="F458">
        <v>5000000</v>
      </c>
      <c r="G458" s="2">
        <v>45412</v>
      </c>
      <c r="H458">
        <v>2024</v>
      </c>
      <c r="I458">
        <v>0</v>
      </c>
      <c r="J458">
        <v>0</v>
      </c>
      <c r="K458">
        <v>356183.93</v>
      </c>
      <c r="L458">
        <v>356183.93</v>
      </c>
      <c r="M458" t="s">
        <v>163</v>
      </c>
    </row>
    <row r="459" spans="1:13" x14ac:dyDescent="0.25">
      <c r="E459" s="2"/>
      <c r="G459" s="2"/>
    </row>
    <row r="460" spans="1:13" x14ac:dyDescent="0.25">
      <c r="E460" s="2"/>
      <c r="G460" s="2"/>
    </row>
    <row r="461" spans="1:13" x14ac:dyDescent="0.25">
      <c r="E461" s="2"/>
      <c r="G461" s="2"/>
    </row>
    <row r="462" spans="1:13" x14ac:dyDescent="0.25">
      <c r="E462" s="2"/>
      <c r="G462" s="2"/>
    </row>
    <row r="463" spans="1:13" x14ac:dyDescent="0.25">
      <c r="E463" s="2"/>
      <c r="G463" s="2"/>
    </row>
    <row r="464" spans="1:13" x14ac:dyDescent="0.25">
      <c r="E464" s="2"/>
      <c r="G464" s="2"/>
    </row>
    <row r="465" spans="5:7" x14ac:dyDescent="0.25">
      <c r="E465" s="2"/>
      <c r="G465" s="2"/>
    </row>
    <row r="466" spans="5:7" x14ac:dyDescent="0.25">
      <c r="E466" s="2"/>
      <c r="G466" s="2"/>
    </row>
    <row r="467" spans="5:7" x14ac:dyDescent="0.25">
      <c r="E467" s="2"/>
      <c r="G467" s="2"/>
    </row>
    <row r="468" spans="5:7" x14ac:dyDescent="0.25">
      <c r="E468" s="2"/>
      <c r="G468" s="2"/>
    </row>
    <row r="469" spans="5:7" x14ac:dyDescent="0.25">
      <c r="E469" s="2"/>
      <c r="G469" s="2"/>
    </row>
    <row r="470" spans="5:7" x14ac:dyDescent="0.25">
      <c r="E470" s="2"/>
      <c r="G470" s="2"/>
    </row>
    <row r="471" spans="5:7" x14ac:dyDescent="0.25">
      <c r="E471" s="2"/>
      <c r="G471" s="2"/>
    </row>
    <row r="472" spans="5:7" x14ac:dyDescent="0.25">
      <c r="E472" s="2"/>
      <c r="G472" s="2"/>
    </row>
    <row r="473" spans="5:7" x14ac:dyDescent="0.25">
      <c r="E473" s="2"/>
      <c r="G473" s="2"/>
    </row>
    <row r="474" spans="5:7" x14ac:dyDescent="0.25">
      <c r="E474" s="2"/>
      <c r="G474" s="2"/>
    </row>
    <row r="475" spans="5:7" x14ac:dyDescent="0.25">
      <c r="E475" s="2"/>
      <c r="G475" s="2"/>
    </row>
    <row r="476" spans="5:7" x14ac:dyDescent="0.25">
      <c r="E476" s="2"/>
      <c r="G476" s="2"/>
    </row>
    <row r="477" spans="5:7" x14ac:dyDescent="0.25">
      <c r="E477" s="2"/>
      <c r="G477" s="2"/>
    </row>
    <row r="478" spans="5:7" x14ac:dyDescent="0.25">
      <c r="E478" s="2"/>
      <c r="G478" s="2"/>
    </row>
    <row r="479" spans="5:7" x14ac:dyDescent="0.25">
      <c r="E479" s="2"/>
      <c r="G479" s="2"/>
    </row>
    <row r="480" spans="5:7" x14ac:dyDescent="0.25">
      <c r="E480" s="2"/>
      <c r="G480" s="2"/>
    </row>
    <row r="481" spans="5:7" x14ac:dyDescent="0.25">
      <c r="E481" s="2"/>
      <c r="G481" s="2"/>
    </row>
    <row r="482" spans="5:7" x14ac:dyDescent="0.25">
      <c r="E482" s="2"/>
      <c r="G482" s="2"/>
    </row>
    <row r="483" spans="5:7" x14ac:dyDescent="0.25">
      <c r="E483" s="2"/>
      <c r="G483" s="2"/>
    </row>
    <row r="484" spans="5:7" x14ac:dyDescent="0.25">
      <c r="E484" s="2"/>
      <c r="G484" s="2"/>
    </row>
    <row r="485" spans="5:7" x14ac:dyDescent="0.25">
      <c r="E485" s="2"/>
      <c r="G485" s="2"/>
    </row>
    <row r="486" spans="5:7" x14ac:dyDescent="0.25">
      <c r="E486" s="2"/>
      <c r="G486" s="2"/>
    </row>
    <row r="487" spans="5:7" x14ac:dyDescent="0.25">
      <c r="E487" s="2"/>
      <c r="G487" s="2"/>
    </row>
    <row r="488" spans="5:7" x14ac:dyDescent="0.25">
      <c r="E488" s="2"/>
      <c r="G488" s="2"/>
    </row>
    <row r="489" spans="5:7" x14ac:dyDescent="0.25">
      <c r="E489" s="2"/>
      <c r="G489" s="2"/>
    </row>
    <row r="490" spans="5:7" x14ac:dyDescent="0.25">
      <c r="E490" s="2"/>
      <c r="G490" s="2"/>
    </row>
    <row r="491" spans="5:7" x14ac:dyDescent="0.25">
      <c r="E491" s="2"/>
      <c r="G491" s="2"/>
    </row>
    <row r="492" spans="5:7" x14ac:dyDescent="0.25">
      <c r="E492" s="2"/>
      <c r="G492" s="2"/>
    </row>
    <row r="493" spans="5:7" x14ac:dyDescent="0.25">
      <c r="E493" s="2"/>
      <c r="G493" s="2"/>
    </row>
    <row r="494" spans="5:7" x14ac:dyDescent="0.25">
      <c r="E494" s="2"/>
      <c r="G494" s="2"/>
    </row>
    <row r="495" spans="5:7" x14ac:dyDescent="0.25">
      <c r="E495" s="2"/>
      <c r="G495" s="2"/>
    </row>
    <row r="496" spans="5:7" x14ac:dyDescent="0.25">
      <c r="E496" s="2"/>
      <c r="G496" s="2"/>
    </row>
    <row r="497" spans="5:7" x14ac:dyDescent="0.25">
      <c r="E497" s="2"/>
      <c r="G497" s="2"/>
    </row>
    <row r="498" spans="5:7" x14ac:dyDescent="0.25">
      <c r="E498" s="2"/>
      <c r="G498" s="2"/>
    </row>
    <row r="499" spans="5:7" x14ac:dyDescent="0.25">
      <c r="E499" s="2"/>
      <c r="G499" s="2"/>
    </row>
    <row r="500" spans="5:7" x14ac:dyDescent="0.25">
      <c r="E500" s="2"/>
      <c r="G500" s="2"/>
    </row>
    <row r="501" spans="5:7" x14ac:dyDescent="0.25">
      <c r="E501" s="2"/>
      <c r="G501" s="2"/>
    </row>
    <row r="502" spans="5:7" x14ac:dyDescent="0.25">
      <c r="E502" s="2"/>
      <c r="G502" s="2"/>
    </row>
    <row r="503" spans="5:7" x14ac:dyDescent="0.25">
      <c r="E503" s="2"/>
      <c r="G503" s="2"/>
    </row>
    <row r="504" spans="5:7" x14ac:dyDescent="0.25">
      <c r="E504" s="2"/>
      <c r="G504" s="2"/>
    </row>
    <row r="505" spans="5:7" x14ac:dyDescent="0.25">
      <c r="E505" s="2"/>
      <c r="G505" s="2"/>
    </row>
    <row r="506" spans="5:7" x14ac:dyDescent="0.25">
      <c r="E506" s="2"/>
      <c r="G506" s="2"/>
    </row>
    <row r="507" spans="5:7" x14ac:dyDescent="0.25">
      <c r="E507" s="2"/>
      <c r="G507" s="2"/>
    </row>
    <row r="508" spans="5:7" x14ac:dyDescent="0.25">
      <c r="E508" s="2"/>
      <c r="G508" s="2"/>
    </row>
    <row r="509" spans="5:7" x14ac:dyDescent="0.25">
      <c r="E509" s="2"/>
      <c r="G509" s="2"/>
    </row>
    <row r="510" spans="5:7" x14ac:dyDescent="0.25">
      <c r="E510" s="2"/>
      <c r="G510" s="2"/>
    </row>
    <row r="511" spans="5:7" x14ac:dyDescent="0.25">
      <c r="E511" s="2"/>
      <c r="G511" s="2"/>
    </row>
    <row r="512" spans="5:7" x14ac:dyDescent="0.25">
      <c r="E512" s="2"/>
      <c r="G512" s="2"/>
    </row>
    <row r="513" spans="5:7" x14ac:dyDescent="0.25">
      <c r="E513" s="2"/>
      <c r="G513" s="2"/>
    </row>
    <row r="514" spans="5:7" x14ac:dyDescent="0.25">
      <c r="E514" s="2"/>
      <c r="G514" s="2"/>
    </row>
    <row r="515" spans="5:7" x14ac:dyDescent="0.25">
      <c r="E515" s="2"/>
      <c r="G515" s="2"/>
    </row>
    <row r="516" spans="5:7" x14ac:dyDescent="0.25">
      <c r="E516" s="2"/>
      <c r="G516" s="2"/>
    </row>
    <row r="517" spans="5:7" x14ac:dyDescent="0.25">
      <c r="E517" s="2"/>
      <c r="G517" s="2"/>
    </row>
    <row r="518" spans="5:7" x14ac:dyDescent="0.25">
      <c r="E518" s="2"/>
      <c r="G518" s="2"/>
    </row>
    <row r="519" spans="5:7" x14ac:dyDescent="0.25">
      <c r="E519" s="2"/>
      <c r="G519" s="2"/>
    </row>
    <row r="520" spans="5:7" x14ac:dyDescent="0.25">
      <c r="E520" s="2"/>
      <c r="G520" s="2"/>
    </row>
    <row r="521" spans="5:7" x14ac:dyDescent="0.25">
      <c r="E521" s="2"/>
      <c r="G521" s="2"/>
    </row>
    <row r="522" spans="5:7" x14ac:dyDescent="0.25">
      <c r="E522" s="2"/>
      <c r="G522" s="2"/>
    </row>
    <row r="523" spans="5:7" x14ac:dyDescent="0.25">
      <c r="E523" s="2"/>
      <c r="G523" s="2"/>
    </row>
    <row r="524" spans="5:7" x14ac:dyDescent="0.25">
      <c r="E524" s="2"/>
      <c r="G524" s="2"/>
    </row>
    <row r="525" spans="5:7" x14ac:dyDescent="0.25">
      <c r="E525" s="2"/>
      <c r="G525" s="2"/>
    </row>
    <row r="526" spans="5:7" x14ac:dyDescent="0.25">
      <c r="E526" s="2"/>
      <c r="G526" s="2"/>
    </row>
    <row r="527" spans="5:7" x14ac:dyDescent="0.25">
      <c r="E527" s="2"/>
      <c r="G527" s="2"/>
    </row>
    <row r="528" spans="5:7" x14ac:dyDescent="0.25">
      <c r="E528" s="2"/>
      <c r="G528" s="2"/>
    </row>
    <row r="529" spans="5:7" x14ac:dyDescent="0.25">
      <c r="E529" s="2"/>
      <c r="G529" s="2"/>
    </row>
    <row r="530" spans="5:7" x14ac:dyDescent="0.25">
      <c r="E530" s="2"/>
      <c r="G530" s="2"/>
    </row>
    <row r="531" spans="5:7" x14ac:dyDescent="0.25">
      <c r="E531" s="2"/>
      <c r="G531" s="2"/>
    </row>
    <row r="532" spans="5:7" x14ac:dyDescent="0.25">
      <c r="E532" s="2"/>
      <c r="G532" s="2"/>
    </row>
    <row r="533" spans="5:7" x14ac:dyDescent="0.25">
      <c r="E533" s="2"/>
      <c r="G533" s="2"/>
    </row>
    <row r="534" spans="5:7" x14ac:dyDescent="0.25">
      <c r="E534" s="2"/>
      <c r="G534" s="2"/>
    </row>
    <row r="535" spans="5:7" x14ac:dyDescent="0.25">
      <c r="E535" s="2"/>
      <c r="G535" s="2"/>
    </row>
    <row r="536" spans="5:7" x14ac:dyDescent="0.25">
      <c r="E536" s="2"/>
      <c r="G536" s="2"/>
    </row>
    <row r="537" spans="5:7" x14ac:dyDescent="0.25">
      <c r="E537" s="2"/>
      <c r="G537" s="2"/>
    </row>
    <row r="538" spans="5:7" x14ac:dyDescent="0.25">
      <c r="E538" s="2"/>
      <c r="G538" s="2"/>
    </row>
    <row r="539" spans="5:7" x14ac:dyDescent="0.25">
      <c r="E539" s="2"/>
      <c r="G539" s="2"/>
    </row>
    <row r="540" spans="5:7" x14ac:dyDescent="0.25">
      <c r="E540" s="2"/>
      <c r="G540" s="2"/>
    </row>
    <row r="541" spans="5:7" x14ac:dyDescent="0.25">
      <c r="E541" s="2"/>
      <c r="G541" s="2"/>
    </row>
    <row r="542" spans="5:7" x14ac:dyDescent="0.25">
      <c r="E542" s="2"/>
      <c r="G542" s="2"/>
    </row>
    <row r="543" spans="5:7" x14ac:dyDescent="0.25">
      <c r="E543" s="2"/>
      <c r="G543" s="2"/>
    </row>
    <row r="544" spans="5:7" x14ac:dyDescent="0.25">
      <c r="E544" s="2"/>
      <c r="G544" s="2"/>
    </row>
    <row r="545" spans="5:7" x14ac:dyDescent="0.25">
      <c r="E545" s="2"/>
      <c r="G545" s="2"/>
    </row>
    <row r="546" spans="5:7" x14ac:dyDescent="0.25">
      <c r="E546" s="2"/>
      <c r="G546" s="2"/>
    </row>
    <row r="547" spans="5:7" x14ac:dyDescent="0.25">
      <c r="E547" s="2"/>
      <c r="G547" s="2"/>
    </row>
    <row r="548" spans="5:7" x14ac:dyDescent="0.25">
      <c r="E548" s="2"/>
      <c r="G548" s="2"/>
    </row>
    <row r="549" spans="5:7" x14ac:dyDescent="0.25">
      <c r="E549" s="2"/>
      <c r="G549" s="2"/>
    </row>
    <row r="550" spans="5:7" x14ac:dyDescent="0.25">
      <c r="E550" s="2"/>
      <c r="G550" s="2"/>
    </row>
    <row r="551" spans="5:7" x14ac:dyDescent="0.25">
      <c r="E551" s="2"/>
      <c r="G551" s="2"/>
    </row>
    <row r="552" spans="5:7" x14ac:dyDescent="0.25">
      <c r="E552" s="2"/>
      <c r="G552" s="2"/>
    </row>
    <row r="553" spans="5:7" x14ac:dyDescent="0.25">
      <c r="E553" s="2"/>
      <c r="G553" s="2"/>
    </row>
    <row r="554" spans="5:7" x14ac:dyDescent="0.25">
      <c r="E554" s="2"/>
      <c r="G554" s="2"/>
    </row>
    <row r="555" spans="5:7" x14ac:dyDescent="0.25">
      <c r="E555" s="2"/>
      <c r="G555" s="2"/>
    </row>
    <row r="556" spans="5:7" x14ac:dyDescent="0.25">
      <c r="E556" s="2"/>
      <c r="G556" s="2"/>
    </row>
    <row r="557" spans="5:7" x14ac:dyDescent="0.25">
      <c r="E557" s="2"/>
      <c r="G557" s="2"/>
    </row>
    <row r="558" spans="5:7" x14ac:dyDescent="0.25">
      <c r="E558" s="2"/>
      <c r="G558" s="2"/>
    </row>
    <row r="559" spans="5:7" x14ac:dyDescent="0.25">
      <c r="E559" s="2"/>
      <c r="G559" s="2"/>
    </row>
    <row r="560" spans="5:7" x14ac:dyDescent="0.25">
      <c r="E560" s="2"/>
      <c r="G560" s="2"/>
    </row>
    <row r="561" spans="5:7" x14ac:dyDescent="0.25">
      <c r="E561" s="2"/>
      <c r="G561" s="2"/>
    </row>
    <row r="562" spans="5:7" x14ac:dyDescent="0.25">
      <c r="E562" s="2"/>
      <c r="G562" s="2"/>
    </row>
    <row r="563" spans="5:7" x14ac:dyDescent="0.25">
      <c r="E563" s="2"/>
      <c r="G563" s="2"/>
    </row>
    <row r="564" spans="5:7" x14ac:dyDescent="0.25">
      <c r="E564" s="2"/>
      <c r="G564" s="2"/>
    </row>
    <row r="565" spans="5:7" x14ac:dyDescent="0.25">
      <c r="E565" s="2"/>
      <c r="G565" s="2"/>
    </row>
    <row r="566" spans="5:7" x14ac:dyDescent="0.25">
      <c r="E566" s="2"/>
      <c r="G566" s="2"/>
    </row>
    <row r="567" spans="5:7" x14ac:dyDescent="0.25">
      <c r="E567" s="2"/>
      <c r="G567" s="2"/>
    </row>
    <row r="568" spans="5:7" x14ac:dyDescent="0.25">
      <c r="E568" s="2"/>
      <c r="G568" s="2"/>
    </row>
    <row r="569" spans="5:7" x14ac:dyDescent="0.25">
      <c r="E569" s="2"/>
      <c r="G569" s="2"/>
    </row>
    <row r="570" spans="5:7" x14ac:dyDescent="0.25">
      <c r="E570" s="2"/>
      <c r="G570" s="2"/>
    </row>
    <row r="571" spans="5:7" x14ac:dyDescent="0.25">
      <c r="E571" s="2"/>
      <c r="G571" s="2"/>
    </row>
    <row r="572" spans="5:7" x14ac:dyDescent="0.25">
      <c r="E572" s="2"/>
      <c r="G572" s="2"/>
    </row>
    <row r="573" spans="5:7" x14ac:dyDescent="0.25">
      <c r="E573" s="2"/>
      <c r="G573" s="2"/>
    </row>
    <row r="574" spans="5:7" x14ac:dyDescent="0.25">
      <c r="E574" s="2"/>
      <c r="G574" s="2"/>
    </row>
    <row r="575" spans="5:7" x14ac:dyDescent="0.25">
      <c r="E575" s="2"/>
      <c r="G575" s="2"/>
    </row>
    <row r="576" spans="5:7" x14ac:dyDescent="0.25">
      <c r="E576" s="2"/>
      <c r="G576" s="2"/>
    </row>
    <row r="577" spans="5:7" x14ac:dyDescent="0.25">
      <c r="E577" s="2"/>
      <c r="G577" s="2"/>
    </row>
    <row r="578" spans="5:7" x14ac:dyDescent="0.25">
      <c r="E578" s="2"/>
      <c r="G578" s="2"/>
    </row>
    <row r="579" spans="5:7" x14ac:dyDescent="0.25">
      <c r="E579" s="2"/>
      <c r="G579" s="2"/>
    </row>
    <row r="580" spans="5:7" x14ac:dyDescent="0.25">
      <c r="E580" s="2"/>
      <c r="G580" s="2"/>
    </row>
    <row r="581" spans="5:7" x14ac:dyDescent="0.25">
      <c r="E581" s="2"/>
      <c r="G581" s="2"/>
    </row>
    <row r="582" spans="5:7" x14ac:dyDescent="0.25">
      <c r="E582" s="2"/>
      <c r="G582" s="2"/>
    </row>
    <row r="583" spans="5:7" x14ac:dyDescent="0.25">
      <c r="E583" s="2"/>
      <c r="G583" s="2"/>
    </row>
    <row r="584" spans="5:7" x14ac:dyDescent="0.25">
      <c r="E584" s="2"/>
      <c r="G584" s="2"/>
    </row>
    <row r="585" spans="5:7" x14ac:dyDescent="0.25">
      <c r="E585" s="2"/>
      <c r="G585" s="2"/>
    </row>
    <row r="586" spans="5:7" x14ac:dyDescent="0.25">
      <c r="E586" s="2"/>
      <c r="G586" s="2"/>
    </row>
    <row r="587" spans="5:7" x14ac:dyDescent="0.25">
      <c r="E587" s="2"/>
      <c r="G587" s="2"/>
    </row>
    <row r="588" spans="5:7" x14ac:dyDescent="0.25">
      <c r="E588" s="2"/>
      <c r="G588" s="2"/>
    </row>
    <row r="589" spans="5:7" x14ac:dyDescent="0.25">
      <c r="E589" s="2"/>
      <c r="G589" s="2"/>
    </row>
    <row r="590" spans="5:7" x14ac:dyDescent="0.25">
      <c r="E590" s="2"/>
      <c r="G590" s="2"/>
    </row>
    <row r="591" spans="5:7" x14ac:dyDescent="0.25">
      <c r="E591" s="2"/>
      <c r="G591" s="2"/>
    </row>
    <row r="592" spans="5:7" x14ac:dyDescent="0.25">
      <c r="E592" s="2"/>
      <c r="G592" s="2"/>
    </row>
    <row r="593" spans="5:7" x14ac:dyDescent="0.25">
      <c r="E593" s="2"/>
      <c r="G593" s="2"/>
    </row>
    <row r="594" spans="5:7" x14ac:dyDescent="0.25">
      <c r="E594" s="2"/>
      <c r="G594" s="2"/>
    </row>
    <row r="595" spans="5:7" x14ac:dyDescent="0.25">
      <c r="E595" s="2"/>
      <c r="G595" s="2"/>
    </row>
    <row r="596" spans="5:7" x14ac:dyDescent="0.25">
      <c r="E596" s="2"/>
      <c r="G596" s="2"/>
    </row>
    <row r="597" spans="5:7" x14ac:dyDescent="0.25">
      <c r="E597" s="2"/>
      <c r="G597" s="2"/>
    </row>
    <row r="598" spans="5:7" x14ac:dyDescent="0.25">
      <c r="E598" s="2"/>
      <c r="G598" s="2"/>
    </row>
    <row r="599" spans="5:7" x14ac:dyDescent="0.25">
      <c r="E599" s="2"/>
      <c r="G599" s="2"/>
    </row>
    <row r="600" spans="5:7" x14ac:dyDescent="0.25">
      <c r="E600" s="2"/>
      <c r="G600" s="2"/>
    </row>
    <row r="601" spans="5:7" x14ac:dyDescent="0.25">
      <c r="E601" s="2"/>
      <c r="G601" s="2"/>
    </row>
    <row r="602" spans="5:7" x14ac:dyDescent="0.25">
      <c r="E602" s="2"/>
      <c r="G602" s="2"/>
    </row>
    <row r="603" spans="5:7" x14ac:dyDescent="0.25">
      <c r="E603" s="2"/>
      <c r="G603" s="2"/>
    </row>
    <row r="604" spans="5:7" x14ac:dyDescent="0.25">
      <c r="E604" s="2"/>
      <c r="G604" s="2"/>
    </row>
    <row r="605" spans="5:7" x14ac:dyDescent="0.25">
      <c r="E605" s="2"/>
      <c r="G605" s="2"/>
    </row>
    <row r="606" spans="5:7" x14ac:dyDescent="0.25">
      <c r="E606" s="2"/>
      <c r="G606" s="2"/>
    </row>
    <row r="607" spans="5:7" x14ac:dyDescent="0.25">
      <c r="E607" s="2"/>
      <c r="G607" s="2"/>
    </row>
    <row r="608" spans="5:7" x14ac:dyDescent="0.25">
      <c r="E608" s="2"/>
      <c r="G608" s="2"/>
    </row>
    <row r="609" spans="5:7" x14ac:dyDescent="0.25">
      <c r="E609" s="2"/>
      <c r="G609" s="2"/>
    </row>
    <row r="610" spans="5:7" x14ac:dyDescent="0.25">
      <c r="E610" s="2"/>
      <c r="G610" s="2"/>
    </row>
    <row r="611" spans="5:7" x14ac:dyDescent="0.25">
      <c r="E611" s="2"/>
      <c r="G611" s="2"/>
    </row>
    <row r="612" spans="5:7" x14ac:dyDescent="0.25">
      <c r="E612" s="2"/>
      <c r="G612" s="2"/>
    </row>
    <row r="613" spans="5:7" x14ac:dyDescent="0.25">
      <c r="E613" s="2"/>
      <c r="G613" s="2"/>
    </row>
    <row r="614" spans="5:7" x14ac:dyDescent="0.25">
      <c r="E614" s="2"/>
      <c r="G614" s="2"/>
    </row>
    <row r="615" spans="5:7" x14ac:dyDescent="0.25">
      <c r="E615" s="2"/>
      <c r="G615" s="2"/>
    </row>
    <row r="616" spans="5:7" x14ac:dyDescent="0.25">
      <c r="E616" s="2"/>
      <c r="G616" s="2"/>
    </row>
    <row r="617" spans="5:7" x14ac:dyDescent="0.25">
      <c r="E617" s="2"/>
      <c r="G617" s="2"/>
    </row>
    <row r="618" spans="5:7" x14ac:dyDescent="0.25">
      <c r="E618" s="2"/>
      <c r="G618" s="2"/>
    </row>
    <row r="619" spans="5:7" x14ac:dyDescent="0.25">
      <c r="E619" s="2"/>
      <c r="G619" s="2"/>
    </row>
    <row r="620" spans="5:7" x14ac:dyDescent="0.25">
      <c r="E620" s="2"/>
      <c r="G620" s="2"/>
    </row>
    <row r="621" spans="5:7" x14ac:dyDescent="0.25">
      <c r="E621" s="2"/>
      <c r="G621" s="2"/>
    </row>
    <row r="622" spans="5:7" x14ac:dyDescent="0.25">
      <c r="E622" s="2"/>
      <c r="G622" s="2"/>
    </row>
    <row r="623" spans="5:7" x14ac:dyDescent="0.25">
      <c r="E623" s="2"/>
      <c r="G623" s="2"/>
    </row>
    <row r="624" spans="5:7" x14ac:dyDescent="0.25">
      <c r="E624" s="2"/>
      <c r="G624" s="2"/>
    </row>
    <row r="625" spans="5:7" x14ac:dyDescent="0.25">
      <c r="E625" s="2"/>
      <c r="G625" s="2"/>
    </row>
    <row r="626" spans="5:7" x14ac:dyDescent="0.25">
      <c r="E626" s="2"/>
      <c r="G626" s="2"/>
    </row>
    <row r="627" spans="5:7" x14ac:dyDescent="0.25">
      <c r="E627" s="2"/>
      <c r="G627" s="2"/>
    </row>
    <row r="628" spans="5:7" x14ac:dyDescent="0.25">
      <c r="E628" s="2"/>
      <c r="G628" s="2"/>
    </row>
    <row r="629" spans="5:7" x14ac:dyDescent="0.25">
      <c r="E629" s="2"/>
      <c r="G629" s="2"/>
    </row>
    <row r="630" spans="5:7" x14ac:dyDescent="0.25">
      <c r="E630" s="2"/>
      <c r="G630" s="2"/>
    </row>
    <row r="631" spans="5:7" x14ac:dyDescent="0.25">
      <c r="E631" s="2"/>
      <c r="G631" s="2"/>
    </row>
    <row r="632" spans="5:7" x14ac:dyDescent="0.25">
      <c r="E632" s="2"/>
      <c r="G632" s="2"/>
    </row>
    <row r="633" spans="5:7" x14ac:dyDescent="0.25">
      <c r="E633" s="2"/>
      <c r="G633" s="2"/>
    </row>
    <row r="634" spans="5:7" x14ac:dyDescent="0.25">
      <c r="E634" s="2"/>
      <c r="G634" s="2"/>
    </row>
    <row r="635" spans="5:7" x14ac:dyDescent="0.25">
      <c r="E635" s="2"/>
      <c r="G635" s="2"/>
    </row>
    <row r="636" spans="5:7" x14ac:dyDescent="0.25">
      <c r="E636" s="2"/>
      <c r="G636" s="2"/>
    </row>
    <row r="637" spans="5:7" x14ac:dyDescent="0.25">
      <c r="E637" s="2"/>
      <c r="G637" s="2"/>
    </row>
    <row r="638" spans="5:7" x14ac:dyDescent="0.25">
      <c r="E638" s="2"/>
      <c r="G638" s="2"/>
    </row>
    <row r="639" spans="5:7" x14ac:dyDescent="0.25">
      <c r="E639" s="2"/>
      <c r="G639" s="2"/>
    </row>
    <row r="640" spans="5:7" x14ac:dyDescent="0.25">
      <c r="E640" s="2"/>
      <c r="G640" s="2"/>
    </row>
    <row r="641" spans="5:7" x14ac:dyDescent="0.25">
      <c r="E641" s="2"/>
      <c r="G641" s="2"/>
    </row>
    <row r="642" spans="5:7" x14ac:dyDescent="0.25">
      <c r="E642" s="2"/>
      <c r="G642" s="2"/>
    </row>
    <row r="643" spans="5:7" x14ac:dyDescent="0.25">
      <c r="E643" s="2"/>
      <c r="G643" s="2"/>
    </row>
    <row r="644" spans="5:7" x14ac:dyDescent="0.25">
      <c r="E644" s="2"/>
      <c r="G644" s="2"/>
    </row>
    <row r="645" spans="5:7" x14ac:dyDescent="0.25">
      <c r="E645" s="2"/>
      <c r="G645" s="2"/>
    </row>
    <row r="646" spans="5:7" x14ac:dyDescent="0.25">
      <c r="E646" s="2"/>
      <c r="G646" s="2"/>
    </row>
    <row r="647" spans="5:7" x14ac:dyDescent="0.25">
      <c r="E647" s="2"/>
      <c r="G647" s="2"/>
    </row>
    <row r="648" spans="5:7" x14ac:dyDescent="0.25">
      <c r="E648" s="2"/>
      <c r="G648" s="2"/>
    </row>
    <row r="649" spans="5:7" x14ac:dyDescent="0.25">
      <c r="E649" s="2"/>
      <c r="G649" s="2"/>
    </row>
    <row r="650" spans="5:7" x14ac:dyDescent="0.25">
      <c r="E650" s="2"/>
      <c r="G650" s="2"/>
    </row>
    <row r="651" spans="5:7" x14ac:dyDescent="0.25">
      <c r="E651" s="2"/>
      <c r="G651" s="2"/>
    </row>
    <row r="652" spans="5:7" x14ac:dyDescent="0.25">
      <c r="E652" s="2"/>
      <c r="G652" s="2"/>
    </row>
    <row r="653" spans="5:7" x14ac:dyDescent="0.25">
      <c r="E653" s="2"/>
      <c r="G653" s="2"/>
    </row>
    <row r="654" spans="5:7" x14ac:dyDescent="0.25">
      <c r="E654" s="2"/>
      <c r="G654" s="2"/>
    </row>
    <row r="655" spans="5:7" x14ac:dyDescent="0.25">
      <c r="E655" s="2"/>
      <c r="G655" s="2"/>
    </row>
    <row r="656" spans="5:7" x14ac:dyDescent="0.25">
      <c r="E656" s="2"/>
      <c r="G656" s="2"/>
    </row>
    <row r="657" spans="5:7" x14ac:dyDescent="0.25">
      <c r="E657" s="2"/>
      <c r="G657" s="2"/>
    </row>
    <row r="658" spans="5:7" x14ac:dyDescent="0.25">
      <c r="E658" s="2"/>
      <c r="G658" s="2"/>
    </row>
    <row r="659" spans="5:7" x14ac:dyDescent="0.25">
      <c r="E659" s="2"/>
      <c r="G659" s="2"/>
    </row>
    <row r="660" spans="5:7" x14ac:dyDescent="0.25">
      <c r="E660" s="2"/>
      <c r="G660" s="2"/>
    </row>
    <row r="661" spans="5:7" x14ac:dyDescent="0.25">
      <c r="E661" s="2"/>
      <c r="G661" s="2"/>
    </row>
    <row r="662" spans="5:7" x14ac:dyDescent="0.25">
      <c r="E662" s="2"/>
      <c r="G662" s="2"/>
    </row>
    <row r="663" spans="5:7" x14ac:dyDescent="0.25">
      <c r="E663" s="2"/>
      <c r="G663" s="2"/>
    </row>
    <row r="664" spans="5:7" x14ac:dyDescent="0.25">
      <c r="E664" s="2"/>
      <c r="G664" s="2"/>
    </row>
    <row r="665" spans="5:7" x14ac:dyDescent="0.25">
      <c r="E665" s="2"/>
      <c r="G665" s="2"/>
    </row>
    <row r="666" spans="5:7" x14ac:dyDescent="0.25">
      <c r="E666" s="2"/>
      <c r="G666" s="2"/>
    </row>
    <row r="667" spans="5:7" x14ac:dyDescent="0.25">
      <c r="E667" s="2"/>
      <c r="G667" s="2"/>
    </row>
    <row r="668" spans="5:7" x14ac:dyDescent="0.25">
      <c r="E668" s="2"/>
      <c r="G668" s="2"/>
    </row>
    <row r="669" spans="5:7" x14ac:dyDescent="0.25">
      <c r="E669" s="2"/>
      <c r="G669" s="2"/>
    </row>
    <row r="670" spans="5:7" x14ac:dyDescent="0.25">
      <c r="E670" s="2"/>
      <c r="G670" s="2"/>
    </row>
    <row r="671" spans="5:7" x14ac:dyDescent="0.25">
      <c r="E671" s="2"/>
      <c r="G671" s="2"/>
    </row>
    <row r="672" spans="5:7" x14ac:dyDescent="0.25">
      <c r="E672" s="2"/>
      <c r="G672" s="2"/>
    </row>
    <row r="673" spans="5:7" x14ac:dyDescent="0.25">
      <c r="E673" s="2"/>
      <c r="G673" s="2"/>
    </row>
    <row r="674" spans="5:7" x14ac:dyDescent="0.25">
      <c r="E674" s="2"/>
      <c r="G674" s="2"/>
    </row>
    <row r="675" spans="5:7" x14ac:dyDescent="0.25">
      <c r="E675" s="2"/>
      <c r="G675" s="2"/>
    </row>
    <row r="676" spans="5:7" x14ac:dyDescent="0.25">
      <c r="E676" s="2"/>
      <c r="G676" s="2"/>
    </row>
    <row r="677" spans="5:7" x14ac:dyDescent="0.25">
      <c r="E677" s="2"/>
      <c r="G677" s="2"/>
    </row>
    <row r="678" spans="5:7" x14ac:dyDescent="0.25">
      <c r="E678" s="2"/>
      <c r="G678" s="2"/>
    </row>
    <row r="679" spans="5:7" x14ac:dyDescent="0.25">
      <c r="E679" s="2"/>
      <c r="G679" s="2"/>
    </row>
    <row r="680" spans="5:7" x14ac:dyDescent="0.25">
      <c r="E680" s="2"/>
      <c r="G680" s="2"/>
    </row>
    <row r="681" spans="5:7" x14ac:dyDescent="0.25">
      <c r="E681" s="2"/>
      <c r="G681" s="2"/>
    </row>
    <row r="682" spans="5:7" x14ac:dyDescent="0.25">
      <c r="E682" s="2"/>
      <c r="G682" s="2"/>
    </row>
    <row r="683" spans="5:7" x14ac:dyDescent="0.25">
      <c r="E683" s="2"/>
      <c r="G683" s="2"/>
    </row>
    <row r="684" spans="5:7" x14ac:dyDescent="0.25">
      <c r="E684" s="2"/>
      <c r="G684" s="2"/>
    </row>
    <row r="685" spans="5:7" x14ac:dyDescent="0.25">
      <c r="E685" s="2"/>
      <c r="G685" s="2"/>
    </row>
    <row r="686" spans="5:7" x14ac:dyDescent="0.25">
      <c r="E686" s="2"/>
      <c r="G686" s="2"/>
    </row>
    <row r="687" spans="5:7" x14ac:dyDescent="0.25">
      <c r="E687" s="2"/>
      <c r="G687" s="2"/>
    </row>
    <row r="688" spans="5:7" x14ac:dyDescent="0.25">
      <c r="E688" s="2"/>
      <c r="G688" s="2"/>
    </row>
    <row r="689" spans="5:7" x14ac:dyDescent="0.25">
      <c r="E689" s="2"/>
      <c r="G689" s="2"/>
    </row>
    <row r="690" spans="5:7" x14ac:dyDescent="0.25">
      <c r="E690" s="2"/>
      <c r="G690" s="2"/>
    </row>
    <row r="691" spans="5:7" x14ac:dyDescent="0.25">
      <c r="E691" s="2"/>
      <c r="G691" s="2"/>
    </row>
    <row r="692" spans="5:7" x14ac:dyDescent="0.25">
      <c r="E692" s="2"/>
      <c r="G692" s="2"/>
    </row>
    <row r="693" spans="5:7" x14ac:dyDescent="0.25">
      <c r="E693" s="2"/>
      <c r="G693" s="2"/>
    </row>
    <row r="694" spans="5:7" x14ac:dyDescent="0.25">
      <c r="E694" s="2"/>
      <c r="G694" s="2"/>
    </row>
    <row r="695" spans="5:7" x14ac:dyDescent="0.25">
      <c r="E695" s="2"/>
      <c r="G695" s="2"/>
    </row>
    <row r="696" spans="5:7" x14ac:dyDescent="0.25">
      <c r="E696" s="2"/>
      <c r="G696" s="2"/>
    </row>
    <row r="697" spans="5:7" x14ac:dyDescent="0.25">
      <c r="E697" s="2"/>
      <c r="G697" s="2"/>
    </row>
    <row r="698" spans="5:7" x14ac:dyDescent="0.25">
      <c r="E698" s="2"/>
      <c r="G698" s="2"/>
    </row>
    <row r="699" spans="5:7" x14ac:dyDescent="0.25">
      <c r="E699" s="2"/>
      <c r="G699" s="2"/>
    </row>
    <row r="700" spans="5:7" x14ac:dyDescent="0.25">
      <c r="E700" s="2"/>
      <c r="G700" s="2"/>
    </row>
    <row r="701" spans="5:7" x14ac:dyDescent="0.25">
      <c r="E701" s="2"/>
      <c r="G701" s="2"/>
    </row>
    <row r="702" spans="5:7" x14ac:dyDescent="0.25">
      <c r="E702" s="2"/>
      <c r="G702" s="2"/>
    </row>
    <row r="703" spans="5:7" x14ac:dyDescent="0.25">
      <c r="E703" s="2"/>
      <c r="G703" s="2"/>
    </row>
    <row r="704" spans="5:7" x14ac:dyDescent="0.25">
      <c r="E704" s="2"/>
      <c r="G704" s="2"/>
    </row>
    <row r="705" spans="5:7" x14ac:dyDescent="0.25">
      <c r="E705" s="2"/>
      <c r="G705" s="2"/>
    </row>
    <row r="706" spans="5:7" x14ac:dyDescent="0.25">
      <c r="E706" s="2"/>
      <c r="G706" s="2"/>
    </row>
    <row r="707" spans="5:7" x14ac:dyDescent="0.25">
      <c r="E707" s="2"/>
      <c r="G707" s="2"/>
    </row>
    <row r="708" spans="5:7" x14ac:dyDescent="0.25">
      <c r="E708" s="2"/>
      <c r="G708" s="2"/>
    </row>
    <row r="709" spans="5:7" x14ac:dyDescent="0.25">
      <c r="E709" s="2"/>
      <c r="G709" s="2"/>
    </row>
    <row r="710" spans="5:7" x14ac:dyDescent="0.25">
      <c r="E710" s="2"/>
      <c r="G710" s="2"/>
    </row>
    <row r="711" spans="5:7" x14ac:dyDescent="0.25">
      <c r="E711" s="2"/>
      <c r="G711" s="2"/>
    </row>
    <row r="712" spans="5:7" x14ac:dyDescent="0.25">
      <c r="E712" s="2"/>
      <c r="G712" s="2"/>
    </row>
    <row r="713" spans="5:7" x14ac:dyDescent="0.25">
      <c r="E713" s="2"/>
      <c r="G713" s="2"/>
    </row>
    <row r="714" spans="5:7" x14ac:dyDescent="0.25">
      <c r="E714" s="2"/>
      <c r="G714" s="2"/>
    </row>
    <row r="715" spans="5:7" x14ac:dyDescent="0.25">
      <c r="E715" s="2"/>
      <c r="G715" s="2"/>
    </row>
    <row r="716" spans="5:7" x14ac:dyDescent="0.25">
      <c r="E716" s="2"/>
      <c r="G716" s="2"/>
    </row>
    <row r="717" spans="5:7" x14ac:dyDescent="0.25">
      <c r="E717" s="2"/>
      <c r="G717" s="2"/>
    </row>
    <row r="718" spans="5:7" x14ac:dyDescent="0.25">
      <c r="E718" s="2"/>
      <c r="G718" s="2"/>
    </row>
    <row r="719" spans="5:7" x14ac:dyDescent="0.25">
      <c r="E719" s="2"/>
      <c r="G719" s="2"/>
    </row>
    <row r="720" spans="5:7" x14ac:dyDescent="0.25">
      <c r="E720" s="2"/>
      <c r="G720" s="2"/>
    </row>
    <row r="721" spans="5:7" x14ac:dyDescent="0.25">
      <c r="E721" s="2"/>
      <c r="G721" s="2"/>
    </row>
    <row r="722" spans="5:7" x14ac:dyDescent="0.25">
      <c r="E722" s="2"/>
      <c r="G722" s="2"/>
    </row>
    <row r="723" spans="5:7" x14ac:dyDescent="0.25">
      <c r="E723" s="2"/>
      <c r="G723" s="2"/>
    </row>
    <row r="724" spans="5:7" x14ac:dyDescent="0.25">
      <c r="E724" s="2"/>
      <c r="G724" s="2"/>
    </row>
    <row r="725" spans="5:7" x14ac:dyDescent="0.25">
      <c r="E725" s="2"/>
      <c r="G725" s="2"/>
    </row>
    <row r="726" spans="5:7" x14ac:dyDescent="0.25">
      <c r="E726" s="2"/>
      <c r="G726" s="2"/>
    </row>
    <row r="727" spans="5:7" x14ac:dyDescent="0.25">
      <c r="E727" s="2"/>
      <c r="G727" s="2"/>
    </row>
    <row r="728" spans="5:7" x14ac:dyDescent="0.25">
      <c r="E728" s="2"/>
      <c r="G728" s="2"/>
    </row>
    <row r="729" spans="5:7" x14ac:dyDescent="0.25">
      <c r="E729" s="2"/>
      <c r="G729" s="2"/>
    </row>
    <row r="730" spans="5:7" x14ac:dyDescent="0.25">
      <c r="E730" s="2"/>
      <c r="G730" s="2"/>
    </row>
    <row r="731" spans="5:7" x14ac:dyDescent="0.25">
      <c r="E731" s="2"/>
      <c r="G731" s="2"/>
    </row>
    <row r="732" spans="5:7" x14ac:dyDescent="0.25">
      <c r="E732" s="2"/>
      <c r="G732" s="2"/>
    </row>
    <row r="733" spans="5:7" x14ac:dyDescent="0.25">
      <c r="E733" s="2"/>
      <c r="G733" s="2"/>
    </row>
    <row r="734" spans="5:7" x14ac:dyDescent="0.25">
      <c r="E734" s="2"/>
      <c r="G734" s="2"/>
    </row>
    <row r="735" spans="5:7" x14ac:dyDescent="0.25">
      <c r="E735" s="2"/>
      <c r="G735" s="2"/>
    </row>
    <row r="736" spans="5:7" x14ac:dyDescent="0.25">
      <c r="E736" s="2"/>
      <c r="G736" s="2"/>
    </row>
    <row r="737" spans="5:7" x14ac:dyDescent="0.25">
      <c r="E737" s="2"/>
      <c r="G737" s="2"/>
    </row>
    <row r="738" spans="5:7" x14ac:dyDescent="0.25">
      <c r="E738" s="2"/>
      <c r="G738" s="2"/>
    </row>
    <row r="739" spans="5:7" x14ac:dyDescent="0.25">
      <c r="E739" s="2"/>
      <c r="G739" s="2"/>
    </row>
    <row r="740" spans="5:7" x14ac:dyDescent="0.25">
      <c r="E740" s="2"/>
      <c r="G740" s="2"/>
    </row>
    <row r="741" spans="5:7" x14ac:dyDescent="0.25">
      <c r="E741" s="2"/>
      <c r="G741" s="2"/>
    </row>
    <row r="742" spans="5:7" x14ac:dyDescent="0.25">
      <c r="E742" s="2"/>
      <c r="G742" s="2"/>
    </row>
    <row r="743" spans="5:7" x14ac:dyDescent="0.25">
      <c r="E743" s="2"/>
      <c r="G743" s="2"/>
    </row>
    <row r="744" spans="5:7" x14ac:dyDescent="0.25">
      <c r="E744" s="2"/>
      <c r="G744" s="2"/>
    </row>
    <row r="745" spans="5:7" x14ac:dyDescent="0.25">
      <c r="E745" s="2"/>
      <c r="G745" s="2"/>
    </row>
    <row r="746" spans="5:7" x14ac:dyDescent="0.25">
      <c r="E746" s="2"/>
      <c r="G746" s="2"/>
    </row>
    <row r="747" spans="5:7" x14ac:dyDescent="0.25">
      <c r="E747" s="2"/>
      <c r="G747" s="2"/>
    </row>
    <row r="748" spans="5:7" x14ac:dyDescent="0.25">
      <c r="E748" s="2"/>
      <c r="G748" s="2"/>
    </row>
    <row r="749" spans="5:7" x14ac:dyDescent="0.25">
      <c r="E749" s="2"/>
      <c r="G749" s="2"/>
    </row>
    <row r="750" spans="5:7" x14ac:dyDescent="0.25">
      <c r="E750" s="2"/>
      <c r="G750" s="2"/>
    </row>
    <row r="751" spans="5:7" x14ac:dyDescent="0.25">
      <c r="E751" s="2"/>
      <c r="G751" s="2"/>
    </row>
    <row r="752" spans="5:7" x14ac:dyDescent="0.25">
      <c r="E752" s="2"/>
      <c r="G752" s="2"/>
    </row>
    <row r="753" spans="5:7" x14ac:dyDescent="0.25">
      <c r="E753" s="2"/>
      <c r="G753" s="2"/>
    </row>
    <row r="754" spans="5:7" x14ac:dyDescent="0.25">
      <c r="E754" s="2"/>
      <c r="G754" s="2"/>
    </row>
    <row r="755" spans="5:7" x14ac:dyDescent="0.25">
      <c r="E755" s="2"/>
      <c r="G755" s="2"/>
    </row>
    <row r="756" spans="5:7" x14ac:dyDescent="0.25">
      <c r="E756" s="2"/>
      <c r="G756" s="2"/>
    </row>
    <row r="757" spans="5:7" x14ac:dyDescent="0.25">
      <c r="E757" s="2"/>
      <c r="G757" s="2"/>
    </row>
    <row r="758" spans="5:7" x14ac:dyDescent="0.25">
      <c r="E758" s="2"/>
      <c r="G758" s="2"/>
    </row>
    <row r="759" spans="5:7" x14ac:dyDescent="0.25">
      <c r="E759" s="2"/>
      <c r="G759" s="2"/>
    </row>
    <row r="760" spans="5:7" x14ac:dyDescent="0.25">
      <c r="E760" s="2"/>
      <c r="G760" s="2"/>
    </row>
    <row r="761" spans="5:7" x14ac:dyDescent="0.25">
      <c r="E761" s="2"/>
      <c r="G761" s="2"/>
    </row>
    <row r="762" spans="5:7" x14ac:dyDescent="0.25">
      <c r="E762" s="2"/>
      <c r="G762" s="2"/>
    </row>
    <row r="763" spans="5:7" x14ac:dyDescent="0.25">
      <c r="E763" s="2"/>
      <c r="G763" s="2"/>
    </row>
    <row r="764" spans="5:7" x14ac:dyDescent="0.25">
      <c r="E764" s="2"/>
      <c r="G764" s="2"/>
    </row>
    <row r="765" spans="5:7" x14ac:dyDescent="0.25">
      <c r="E765" s="2"/>
      <c r="G765" s="2"/>
    </row>
    <row r="766" spans="5:7" x14ac:dyDescent="0.25">
      <c r="E766" s="2"/>
      <c r="G766" s="2"/>
    </row>
    <row r="767" spans="5:7" x14ac:dyDescent="0.25">
      <c r="E767" s="2"/>
      <c r="G767" s="2"/>
    </row>
    <row r="768" spans="5:7" x14ac:dyDescent="0.25">
      <c r="E768" s="2"/>
      <c r="G768" s="2"/>
    </row>
    <row r="769" spans="5:7" x14ac:dyDescent="0.25">
      <c r="E769" s="2"/>
      <c r="G769" s="2"/>
    </row>
    <row r="770" spans="5:7" x14ac:dyDescent="0.25">
      <c r="E770" s="2"/>
      <c r="G770" s="2"/>
    </row>
    <row r="771" spans="5:7" x14ac:dyDescent="0.25">
      <c r="E771" s="2"/>
      <c r="G771" s="2"/>
    </row>
    <row r="772" spans="5:7" x14ac:dyDescent="0.25">
      <c r="E772" s="2"/>
      <c r="G772" s="2"/>
    </row>
    <row r="773" spans="5:7" x14ac:dyDescent="0.25">
      <c r="E773" s="2"/>
      <c r="G773" s="2"/>
    </row>
    <row r="774" spans="5:7" x14ac:dyDescent="0.25">
      <c r="E774" s="2"/>
      <c r="G774" s="2"/>
    </row>
    <row r="775" spans="5:7" x14ac:dyDescent="0.25">
      <c r="E775" s="2"/>
      <c r="G775" s="2"/>
    </row>
    <row r="776" spans="5:7" x14ac:dyDescent="0.25">
      <c r="E776" s="2"/>
      <c r="G776" s="2"/>
    </row>
    <row r="777" spans="5:7" x14ac:dyDescent="0.25">
      <c r="E777" s="2"/>
      <c r="G777" s="2"/>
    </row>
    <row r="778" spans="5:7" x14ac:dyDescent="0.25">
      <c r="E778" s="2"/>
      <c r="G778" s="2"/>
    </row>
    <row r="779" spans="5:7" x14ac:dyDescent="0.25">
      <c r="E779" s="2"/>
      <c r="G779" s="2"/>
    </row>
    <row r="780" spans="5:7" x14ac:dyDescent="0.25">
      <c r="E780" s="2"/>
      <c r="G780" s="2"/>
    </row>
    <row r="781" spans="5:7" x14ac:dyDescent="0.25">
      <c r="E781" s="2"/>
      <c r="G781" s="2"/>
    </row>
    <row r="782" spans="5:7" x14ac:dyDescent="0.25">
      <c r="E782" s="2"/>
      <c r="G782" s="2"/>
    </row>
    <row r="783" spans="5:7" x14ac:dyDescent="0.25">
      <c r="E783" s="2"/>
      <c r="G783" s="2"/>
    </row>
    <row r="784" spans="5:7" x14ac:dyDescent="0.25">
      <c r="E784" s="2"/>
      <c r="G784" s="2"/>
    </row>
    <row r="785" spans="5:7" x14ac:dyDescent="0.25">
      <c r="E785" s="2"/>
      <c r="G785" s="2"/>
    </row>
    <row r="786" spans="5:7" x14ac:dyDescent="0.25">
      <c r="E786" s="2"/>
      <c r="G786" s="2"/>
    </row>
    <row r="787" spans="5:7" x14ac:dyDescent="0.25">
      <c r="E787" s="2"/>
      <c r="G787" s="2"/>
    </row>
    <row r="788" spans="5:7" x14ac:dyDescent="0.25">
      <c r="E788" s="2"/>
      <c r="G788" s="2"/>
    </row>
    <row r="789" spans="5:7" x14ac:dyDescent="0.25">
      <c r="E789" s="2"/>
      <c r="G789" s="2"/>
    </row>
    <row r="790" spans="5:7" x14ac:dyDescent="0.25">
      <c r="E790" s="2"/>
      <c r="G790" s="2"/>
    </row>
    <row r="791" spans="5:7" x14ac:dyDescent="0.25">
      <c r="E791" s="2"/>
      <c r="G791" s="2"/>
    </row>
    <row r="792" spans="5:7" x14ac:dyDescent="0.25">
      <c r="E792" s="2"/>
      <c r="G792" s="2"/>
    </row>
    <row r="793" spans="5:7" x14ac:dyDescent="0.25">
      <c r="E793" s="2"/>
      <c r="G793" s="2"/>
    </row>
    <row r="794" spans="5:7" x14ac:dyDescent="0.25">
      <c r="E794" s="2"/>
      <c r="G794" s="2"/>
    </row>
    <row r="795" spans="5:7" x14ac:dyDescent="0.25">
      <c r="E795" s="2"/>
      <c r="G795" s="2"/>
    </row>
    <row r="796" spans="5:7" x14ac:dyDescent="0.25">
      <c r="E796" s="2"/>
      <c r="G796" s="2"/>
    </row>
    <row r="797" spans="5:7" x14ac:dyDescent="0.25">
      <c r="E797" s="2"/>
      <c r="G797" s="2"/>
    </row>
    <row r="798" spans="5:7" x14ac:dyDescent="0.25">
      <c r="E798" s="2"/>
      <c r="G798" s="2"/>
    </row>
    <row r="799" spans="5:7" x14ac:dyDescent="0.25">
      <c r="E799" s="2"/>
      <c r="G799" s="2"/>
    </row>
    <row r="800" spans="5:7" x14ac:dyDescent="0.25">
      <c r="E800" s="2"/>
      <c r="G800" s="2"/>
    </row>
    <row r="801" spans="5:7" x14ac:dyDescent="0.25">
      <c r="E801" s="2"/>
      <c r="G801" s="2"/>
    </row>
    <row r="802" spans="5:7" x14ac:dyDescent="0.25">
      <c r="E802" s="2"/>
      <c r="G802" s="2"/>
    </row>
    <row r="803" spans="5:7" x14ac:dyDescent="0.25">
      <c r="E803" s="2"/>
      <c r="G803" s="2"/>
    </row>
    <row r="804" spans="5:7" x14ac:dyDescent="0.25">
      <c r="E804" s="2"/>
      <c r="G804" s="2"/>
    </row>
    <row r="805" spans="5:7" x14ac:dyDescent="0.25">
      <c r="E805" s="2"/>
      <c r="G805" s="2"/>
    </row>
    <row r="806" spans="5:7" x14ac:dyDescent="0.25">
      <c r="E806" s="2"/>
      <c r="G806" s="2"/>
    </row>
    <row r="807" spans="5:7" x14ac:dyDescent="0.25">
      <c r="E807" s="2"/>
      <c r="G807" s="2"/>
    </row>
    <row r="808" spans="5:7" x14ac:dyDescent="0.25">
      <c r="E808" s="2"/>
      <c r="G808" s="2"/>
    </row>
    <row r="809" spans="5:7" x14ac:dyDescent="0.25">
      <c r="E809" s="2"/>
      <c r="G809" s="2"/>
    </row>
    <row r="810" spans="5:7" x14ac:dyDescent="0.25">
      <c r="E810" s="2"/>
      <c r="G810" s="2"/>
    </row>
    <row r="811" spans="5:7" x14ac:dyDescent="0.25">
      <c r="E811" s="2"/>
      <c r="G811" s="2"/>
    </row>
    <row r="812" spans="5:7" x14ac:dyDescent="0.25">
      <c r="E812" s="2"/>
      <c r="G812" s="2"/>
    </row>
    <row r="813" spans="5:7" x14ac:dyDescent="0.25">
      <c r="E813" s="2"/>
      <c r="G813" s="2"/>
    </row>
    <row r="814" spans="5:7" x14ac:dyDescent="0.25">
      <c r="E814" s="2"/>
      <c r="G814" s="2"/>
    </row>
    <row r="815" spans="5:7" x14ac:dyDescent="0.25">
      <c r="E815" s="2"/>
      <c r="G815" s="2"/>
    </row>
    <row r="816" spans="5:7" x14ac:dyDescent="0.25">
      <c r="E816" s="2"/>
      <c r="G816" s="2"/>
    </row>
    <row r="817" spans="5:7" x14ac:dyDescent="0.25">
      <c r="E817" s="2"/>
      <c r="G817" s="2"/>
    </row>
    <row r="818" spans="5:7" x14ac:dyDescent="0.25">
      <c r="E818" s="2"/>
      <c r="G818" s="2"/>
    </row>
    <row r="819" spans="5:7" x14ac:dyDescent="0.25">
      <c r="E819" s="2"/>
      <c r="G819" s="2"/>
    </row>
    <row r="820" spans="5:7" x14ac:dyDescent="0.25">
      <c r="E820" s="2"/>
      <c r="G820" s="2"/>
    </row>
    <row r="821" spans="5:7" x14ac:dyDescent="0.25">
      <c r="E821" s="2"/>
      <c r="G821" s="2"/>
    </row>
    <row r="822" spans="5:7" x14ac:dyDescent="0.25">
      <c r="E822" s="2"/>
      <c r="G822" s="2"/>
    </row>
    <row r="823" spans="5:7" x14ac:dyDescent="0.25">
      <c r="E823" s="2"/>
      <c r="G823" s="2"/>
    </row>
    <row r="824" spans="5:7" x14ac:dyDescent="0.25">
      <c r="E824" s="2"/>
      <c r="G824" s="2"/>
    </row>
    <row r="825" spans="5:7" x14ac:dyDescent="0.25">
      <c r="E825" s="2"/>
      <c r="G825" s="2"/>
    </row>
    <row r="826" spans="5:7" x14ac:dyDescent="0.25">
      <c r="E826" s="2"/>
      <c r="G826" s="2"/>
    </row>
    <row r="827" spans="5:7" x14ac:dyDescent="0.25">
      <c r="E827" s="2"/>
      <c r="G827" s="2"/>
    </row>
    <row r="828" spans="5:7" x14ac:dyDescent="0.25">
      <c r="E828" s="2"/>
      <c r="G828" s="2"/>
    </row>
    <row r="829" spans="5:7" x14ac:dyDescent="0.25">
      <c r="E829" s="2"/>
      <c r="G829" s="2"/>
    </row>
    <row r="830" spans="5:7" x14ac:dyDescent="0.25">
      <c r="E830" s="2"/>
      <c r="G830" s="2"/>
    </row>
    <row r="831" spans="5:7" x14ac:dyDescent="0.25">
      <c r="E831" s="2"/>
      <c r="G831" s="2"/>
    </row>
    <row r="832" spans="5:7" x14ac:dyDescent="0.25">
      <c r="E832" s="2"/>
      <c r="G832" s="2"/>
    </row>
    <row r="833" spans="5:7" x14ac:dyDescent="0.25">
      <c r="E833" s="2"/>
      <c r="G833" s="2"/>
    </row>
    <row r="834" spans="5:7" x14ac:dyDescent="0.25">
      <c r="E834" s="2"/>
      <c r="G834" s="2"/>
    </row>
    <row r="835" spans="5:7" x14ac:dyDescent="0.25">
      <c r="E835" s="2"/>
      <c r="G835" s="2"/>
    </row>
    <row r="836" spans="5:7" x14ac:dyDescent="0.25">
      <c r="E836" s="2"/>
      <c r="G836" s="2"/>
    </row>
    <row r="837" spans="5:7" x14ac:dyDescent="0.25">
      <c r="E837" s="2"/>
      <c r="G837" s="2"/>
    </row>
    <row r="838" spans="5:7" x14ac:dyDescent="0.25">
      <c r="E838" s="2"/>
      <c r="G838" s="2"/>
    </row>
    <row r="839" spans="5:7" x14ac:dyDescent="0.25">
      <c r="E839" s="2"/>
      <c r="G839" s="2"/>
    </row>
    <row r="840" spans="5:7" x14ac:dyDescent="0.25">
      <c r="E840" s="2"/>
      <c r="G840" s="2"/>
    </row>
    <row r="841" spans="5:7" x14ac:dyDescent="0.25">
      <c r="E841" s="2"/>
      <c r="G841" s="2"/>
    </row>
    <row r="842" spans="5:7" x14ac:dyDescent="0.25">
      <c r="E842" s="2"/>
      <c r="G842" s="2"/>
    </row>
    <row r="843" spans="5:7" x14ac:dyDescent="0.25">
      <c r="E843" s="2"/>
      <c r="G843" s="2"/>
    </row>
    <row r="844" spans="5:7" x14ac:dyDescent="0.25">
      <c r="E844" s="2"/>
      <c r="G844" s="2"/>
    </row>
    <row r="845" spans="5:7" x14ac:dyDescent="0.25">
      <c r="E845" s="2"/>
      <c r="G845" s="2"/>
    </row>
    <row r="846" spans="5:7" x14ac:dyDescent="0.25">
      <c r="E846" s="2"/>
      <c r="G846" s="2"/>
    </row>
    <row r="847" spans="5:7" x14ac:dyDescent="0.25">
      <c r="E847" s="2"/>
      <c r="G847" s="2"/>
    </row>
    <row r="848" spans="5:7" x14ac:dyDescent="0.25">
      <c r="E848" s="2"/>
      <c r="G848" s="2"/>
    </row>
    <row r="849" spans="5:7" x14ac:dyDescent="0.25">
      <c r="E849" s="2"/>
      <c r="G849" s="2"/>
    </row>
    <row r="850" spans="5:7" x14ac:dyDescent="0.25">
      <c r="E850" s="2"/>
      <c r="G850" s="2"/>
    </row>
    <row r="851" spans="5:7" x14ac:dyDescent="0.25">
      <c r="E851" s="2"/>
      <c r="G851" s="2"/>
    </row>
    <row r="852" spans="5:7" x14ac:dyDescent="0.25">
      <c r="E852" s="2"/>
      <c r="G852" s="2"/>
    </row>
    <row r="853" spans="5:7" x14ac:dyDescent="0.25">
      <c r="E853" s="2"/>
      <c r="G853" s="2"/>
    </row>
    <row r="854" spans="5:7" x14ac:dyDescent="0.25">
      <c r="E854" s="2"/>
      <c r="G854" s="2"/>
    </row>
    <row r="855" spans="5:7" x14ac:dyDescent="0.25">
      <c r="E855" s="2"/>
      <c r="G855" s="2"/>
    </row>
    <row r="856" spans="5:7" x14ac:dyDescent="0.25">
      <c r="E856" s="2"/>
      <c r="G856" s="2"/>
    </row>
    <row r="857" spans="5:7" x14ac:dyDescent="0.25">
      <c r="E857" s="2"/>
      <c r="G857" s="2"/>
    </row>
    <row r="858" spans="5:7" x14ac:dyDescent="0.25">
      <c r="E858" s="2"/>
      <c r="G858" s="2"/>
    </row>
    <row r="859" spans="5:7" x14ac:dyDescent="0.25">
      <c r="E859" s="2"/>
      <c r="G859" s="2"/>
    </row>
    <row r="860" spans="5:7" x14ac:dyDescent="0.25">
      <c r="E860" s="2"/>
      <c r="G860" s="2"/>
    </row>
    <row r="861" spans="5:7" x14ac:dyDescent="0.25">
      <c r="E861" s="2"/>
      <c r="G861" s="2"/>
    </row>
    <row r="862" spans="5:7" x14ac:dyDescent="0.25">
      <c r="E862" s="2"/>
      <c r="G862" s="2"/>
    </row>
    <row r="863" spans="5:7" x14ac:dyDescent="0.25">
      <c r="E863" s="2"/>
      <c r="G863" s="2"/>
    </row>
    <row r="864" spans="5:7" x14ac:dyDescent="0.25">
      <c r="E864" s="2"/>
      <c r="G864" s="2"/>
    </row>
    <row r="865" spans="5:7" x14ac:dyDescent="0.25">
      <c r="E865" s="2"/>
      <c r="G865" s="2"/>
    </row>
    <row r="866" spans="5:7" x14ac:dyDescent="0.25">
      <c r="E866" s="2"/>
      <c r="G866" s="2"/>
    </row>
    <row r="867" spans="5:7" x14ac:dyDescent="0.25">
      <c r="E867" s="2"/>
      <c r="G867" s="2"/>
    </row>
    <row r="868" spans="5:7" x14ac:dyDescent="0.25">
      <c r="E868" s="2"/>
      <c r="G868" s="2"/>
    </row>
    <row r="869" spans="5:7" x14ac:dyDescent="0.25">
      <c r="E869" s="2"/>
      <c r="G869" s="2"/>
    </row>
    <row r="870" spans="5:7" x14ac:dyDescent="0.25">
      <c r="E870" s="2"/>
      <c r="G870" s="2"/>
    </row>
    <row r="871" spans="5:7" x14ac:dyDescent="0.25">
      <c r="E871" s="2"/>
      <c r="G871" s="2"/>
    </row>
    <row r="872" spans="5:7" x14ac:dyDescent="0.25">
      <c r="E872" s="2"/>
      <c r="G872" s="2"/>
    </row>
    <row r="873" spans="5:7" x14ac:dyDescent="0.25">
      <c r="E873" s="2"/>
      <c r="G873" s="2"/>
    </row>
    <row r="874" spans="5:7" x14ac:dyDescent="0.25">
      <c r="E874" s="2"/>
      <c r="G874" s="2"/>
    </row>
    <row r="875" spans="5:7" x14ac:dyDescent="0.25">
      <c r="E875" s="2"/>
      <c r="G875" s="2"/>
    </row>
    <row r="876" spans="5:7" x14ac:dyDescent="0.25">
      <c r="E876" s="2"/>
      <c r="G876" s="2"/>
    </row>
    <row r="877" spans="5:7" x14ac:dyDescent="0.25">
      <c r="E877" s="2"/>
      <c r="G877" s="2"/>
    </row>
    <row r="878" spans="5:7" x14ac:dyDescent="0.25">
      <c r="E878" s="2"/>
      <c r="G878" s="2"/>
    </row>
    <row r="879" spans="5:7" x14ac:dyDescent="0.25">
      <c r="E879" s="2"/>
      <c r="G879" s="2"/>
    </row>
    <row r="880" spans="5:7" x14ac:dyDescent="0.25">
      <c r="E880" s="2"/>
      <c r="G880" s="2"/>
    </row>
    <row r="881" spans="5:7" x14ac:dyDescent="0.25">
      <c r="E881" s="2"/>
      <c r="G881" s="2"/>
    </row>
    <row r="882" spans="5:7" x14ac:dyDescent="0.25">
      <c r="E882" s="2"/>
      <c r="G882" s="2"/>
    </row>
    <row r="883" spans="5:7" x14ac:dyDescent="0.25">
      <c r="E883" s="2"/>
      <c r="G883" s="2"/>
    </row>
    <row r="884" spans="5:7" x14ac:dyDescent="0.25">
      <c r="E884" s="2"/>
      <c r="G884" s="2"/>
    </row>
    <row r="885" spans="5:7" x14ac:dyDescent="0.25">
      <c r="E885" s="2"/>
      <c r="G885" s="2"/>
    </row>
    <row r="886" spans="5:7" x14ac:dyDescent="0.25">
      <c r="E886" s="2"/>
      <c r="G886" s="2"/>
    </row>
    <row r="887" spans="5:7" x14ac:dyDescent="0.25">
      <c r="E887" s="2"/>
      <c r="G887" s="2"/>
    </row>
    <row r="888" spans="5:7" x14ac:dyDescent="0.25">
      <c r="E888" s="2"/>
      <c r="G888" s="2"/>
    </row>
    <row r="889" spans="5:7" x14ac:dyDescent="0.25">
      <c r="E889" s="2"/>
      <c r="G889" s="2"/>
    </row>
    <row r="890" spans="5:7" x14ac:dyDescent="0.25">
      <c r="E890" s="2"/>
      <c r="G890" s="2"/>
    </row>
    <row r="891" spans="5:7" x14ac:dyDescent="0.25">
      <c r="E891" s="2"/>
      <c r="G891" s="2"/>
    </row>
    <row r="892" spans="5:7" x14ac:dyDescent="0.25">
      <c r="E892" s="2"/>
      <c r="G892" s="2"/>
    </row>
    <row r="893" spans="5:7" x14ac:dyDescent="0.25">
      <c r="E893" s="2"/>
      <c r="G893" s="2"/>
    </row>
    <row r="894" spans="5:7" x14ac:dyDescent="0.25">
      <c r="E894" s="2"/>
      <c r="G894" s="2"/>
    </row>
    <row r="895" spans="5:7" x14ac:dyDescent="0.25">
      <c r="E895" s="2"/>
      <c r="G895" s="2"/>
    </row>
    <row r="896" spans="5:7" x14ac:dyDescent="0.25">
      <c r="E896" s="2"/>
      <c r="G896" s="2"/>
    </row>
    <row r="897" spans="5:7" x14ac:dyDescent="0.25">
      <c r="E897" s="2"/>
      <c r="G897" s="2"/>
    </row>
    <row r="898" spans="5:7" x14ac:dyDescent="0.25">
      <c r="E898" s="2"/>
      <c r="G898" s="2"/>
    </row>
    <row r="899" spans="5:7" x14ac:dyDescent="0.25">
      <c r="E899" s="2"/>
      <c r="G899" s="2"/>
    </row>
    <row r="900" spans="5:7" x14ac:dyDescent="0.25">
      <c r="E900" s="2"/>
      <c r="G900" s="2"/>
    </row>
    <row r="901" spans="5:7" x14ac:dyDescent="0.25">
      <c r="E901" s="2"/>
      <c r="G901" s="2"/>
    </row>
    <row r="902" spans="5:7" x14ac:dyDescent="0.25">
      <c r="E902" s="2"/>
      <c r="G902" s="2"/>
    </row>
    <row r="903" spans="5:7" x14ac:dyDescent="0.25">
      <c r="E903" s="2"/>
      <c r="G903" s="2"/>
    </row>
    <row r="904" spans="5:7" x14ac:dyDescent="0.25">
      <c r="E904" s="2"/>
      <c r="G904" s="2"/>
    </row>
    <row r="905" spans="5:7" x14ac:dyDescent="0.25">
      <c r="E905" s="2"/>
      <c r="G905" s="2"/>
    </row>
    <row r="906" spans="5:7" x14ac:dyDescent="0.25">
      <c r="E906" s="2"/>
      <c r="G906" s="2"/>
    </row>
    <row r="907" spans="5:7" x14ac:dyDescent="0.25">
      <c r="E907" s="2"/>
      <c r="G907" s="2"/>
    </row>
    <row r="908" spans="5:7" x14ac:dyDescent="0.25">
      <c r="E908" s="2"/>
      <c r="G908" s="2"/>
    </row>
    <row r="909" spans="5:7" x14ac:dyDescent="0.25">
      <c r="E909" s="2"/>
      <c r="G909" s="2"/>
    </row>
    <row r="910" spans="5:7" x14ac:dyDescent="0.25">
      <c r="E910" s="2"/>
      <c r="G910" s="2"/>
    </row>
    <row r="911" spans="5:7" x14ac:dyDescent="0.25">
      <c r="E911" s="2"/>
      <c r="G911" s="2"/>
    </row>
    <row r="912" spans="5:7" x14ac:dyDescent="0.25">
      <c r="E912" s="2"/>
      <c r="G912" s="2"/>
    </row>
    <row r="913" spans="5:7" x14ac:dyDescent="0.25">
      <c r="E913" s="2"/>
      <c r="G913" s="2"/>
    </row>
    <row r="914" spans="5:7" x14ac:dyDescent="0.25">
      <c r="E914" s="2"/>
      <c r="G914" s="2"/>
    </row>
    <row r="915" spans="5:7" x14ac:dyDescent="0.25">
      <c r="E915" s="2"/>
      <c r="G915" s="2"/>
    </row>
    <row r="916" spans="5:7" x14ac:dyDescent="0.25">
      <c r="E916" s="2"/>
      <c r="G916" s="2"/>
    </row>
    <row r="917" spans="5:7" x14ac:dyDescent="0.25">
      <c r="E917" s="2"/>
      <c r="G917" s="2"/>
    </row>
    <row r="918" spans="5:7" x14ac:dyDescent="0.25">
      <c r="E918" s="2"/>
      <c r="G918" s="2"/>
    </row>
    <row r="919" spans="5:7" x14ac:dyDescent="0.25">
      <c r="E919" s="2"/>
      <c r="G919" s="2"/>
    </row>
    <row r="920" spans="5:7" x14ac:dyDescent="0.25">
      <c r="E920" s="2"/>
      <c r="G920" s="2"/>
    </row>
    <row r="921" spans="5:7" x14ac:dyDescent="0.25">
      <c r="E921" s="2"/>
      <c r="G921" s="2"/>
    </row>
    <row r="922" spans="5:7" x14ac:dyDescent="0.25">
      <c r="E922" s="2"/>
      <c r="G922" s="2"/>
    </row>
    <row r="923" spans="5:7" x14ac:dyDescent="0.25">
      <c r="E923" s="2"/>
      <c r="G923" s="2"/>
    </row>
    <row r="924" spans="5:7" x14ac:dyDescent="0.25">
      <c r="E924" s="2"/>
      <c r="G924" s="2"/>
    </row>
    <row r="925" spans="5:7" x14ac:dyDescent="0.25">
      <c r="E925" s="2"/>
      <c r="G925" s="2"/>
    </row>
    <row r="926" spans="5:7" x14ac:dyDescent="0.25">
      <c r="E926" s="2"/>
      <c r="G926" s="2"/>
    </row>
    <row r="927" spans="5:7" x14ac:dyDescent="0.25">
      <c r="E927" s="2"/>
      <c r="G927" s="2"/>
    </row>
    <row r="928" spans="5:7" x14ac:dyDescent="0.25">
      <c r="E928" s="2"/>
      <c r="G928" s="2"/>
    </row>
    <row r="929" spans="5:7" x14ac:dyDescent="0.25">
      <c r="E929" s="2"/>
      <c r="G929" s="2"/>
    </row>
    <row r="930" spans="5:7" x14ac:dyDescent="0.25">
      <c r="E930" s="2"/>
      <c r="G930" s="2"/>
    </row>
    <row r="931" spans="5:7" x14ac:dyDescent="0.25">
      <c r="E931" s="2"/>
      <c r="G931" s="2"/>
    </row>
    <row r="932" spans="5:7" x14ac:dyDescent="0.25">
      <c r="E932" s="2"/>
      <c r="G932" s="2"/>
    </row>
    <row r="933" spans="5:7" x14ac:dyDescent="0.25">
      <c r="E933" s="2"/>
      <c r="G933" s="2"/>
    </row>
    <row r="934" spans="5:7" x14ac:dyDescent="0.25">
      <c r="E934" s="2"/>
      <c r="G934" s="2"/>
    </row>
    <row r="935" spans="5:7" x14ac:dyDescent="0.25">
      <c r="E935" s="2"/>
      <c r="G935" s="2"/>
    </row>
    <row r="936" spans="5:7" x14ac:dyDescent="0.25">
      <c r="E936" s="2"/>
      <c r="G936" s="2"/>
    </row>
    <row r="937" spans="5:7" x14ac:dyDescent="0.25">
      <c r="E937" s="2"/>
      <c r="G937" s="2"/>
    </row>
    <row r="938" spans="5:7" x14ac:dyDescent="0.25">
      <c r="E938" s="2"/>
      <c r="G938" s="2"/>
    </row>
    <row r="939" spans="5:7" x14ac:dyDescent="0.25">
      <c r="E939" s="2"/>
      <c r="G939" s="2"/>
    </row>
    <row r="940" spans="5:7" x14ac:dyDescent="0.25">
      <c r="E940" s="2"/>
      <c r="G940" s="2"/>
    </row>
    <row r="941" spans="5:7" x14ac:dyDescent="0.25">
      <c r="E941" s="2"/>
      <c r="G941" s="2"/>
    </row>
    <row r="942" spans="5:7" x14ac:dyDescent="0.25">
      <c r="E942" s="2"/>
      <c r="G942" s="2"/>
    </row>
    <row r="943" spans="5:7" x14ac:dyDescent="0.25">
      <c r="E943" s="2"/>
      <c r="G943" s="2"/>
    </row>
    <row r="944" spans="5:7" x14ac:dyDescent="0.25">
      <c r="E944" s="2"/>
      <c r="G944" s="2"/>
    </row>
    <row r="945" spans="5:7" x14ac:dyDescent="0.25">
      <c r="E945" s="2"/>
      <c r="G945" s="2"/>
    </row>
    <row r="946" spans="5:7" x14ac:dyDescent="0.25">
      <c r="E946" s="2"/>
      <c r="G946" s="2"/>
    </row>
    <row r="947" spans="5:7" x14ac:dyDescent="0.25">
      <c r="E947" s="2"/>
      <c r="G947" s="2"/>
    </row>
    <row r="948" spans="5:7" x14ac:dyDescent="0.25">
      <c r="E948" s="2"/>
      <c r="G948" s="2"/>
    </row>
    <row r="949" spans="5:7" x14ac:dyDescent="0.25">
      <c r="E949" s="2"/>
      <c r="G949" s="2"/>
    </row>
    <row r="950" spans="5:7" x14ac:dyDescent="0.25">
      <c r="E950" s="2"/>
      <c r="G950" s="2"/>
    </row>
    <row r="951" spans="5:7" x14ac:dyDescent="0.25">
      <c r="E951" s="2"/>
      <c r="G951" s="2"/>
    </row>
    <row r="952" spans="5:7" x14ac:dyDescent="0.25">
      <c r="E952" s="2"/>
      <c r="G952" s="2"/>
    </row>
    <row r="953" spans="5:7" x14ac:dyDescent="0.25">
      <c r="E953" s="2"/>
      <c r="G953" s="2"/>
    </row>
    <row r="954" spans="5:7" x14ac:dyDescent="0.25">
      <c r="E954" s="2"/>
      <c r="G954" s="2"/>
    </row>
    <row r="955" spans="5:7" x14ac:dyDescent="0.25">
      <c r="E955" s="2"/>
      <c r="G955" s="2"/>
    </row>
    <row r="956" spans="5:7" x14ac:dyDescent="0.25">
      <c r="E956" s="2"/>
      <c r="G956" s="2"/>
    </row>
    <row r="957" spans="5:7" x14ac:dyDescent="0.25">
      <c r="E957" s="2"/>
      <c r="G957" s="2"/>
    </row>
    <row r="958" spans="5:7" x14ac:dyDescent="0.25">
      <c r="E958" s="2"/>
      <c r="G958" s="2"/>
    </row>
    <row r="959" spans="5:7" x14ac:dyDescent="0.25">
      <c r="E959" s="2"/>
      <c r="G959" s="2"/>
    </row>
    <row r="960" spans="5:7" x14ac:dyDescent="0.25">
      <c r="E960" s="2"/>
      <c r="G960" s="2"/>
    </row>
    <row r="961" spans="5:7" x14ac:dyDescent="0.25">
      <c r="E961" s="2"/>
      <c r="G961" s="2"/>
    </row>
    <row r="962" spans="5:7" x14ac:dyDescent="0.25">
      <c r="E962" s="2"/>
      <c r="G962" s="2"/>
    </row>
    <row r="963" spans="5:7" x14ac:dyDescent="0.25">
      <c r="E963" s="2"/>
      <c r="G963" s="2"/>
    </row>
    <row r="964" spans="5:7" x14ac:dyDescent="0.25">
      <c r="E964" s="2"/>
      <c r="G964" s="2"/>
    </row>
    <row r="965" spans="5:7" x14ac:dyDescent="0.25">
      <c r="E965" s="2"/>
      <c r="G965" s="2"/>
    </row>
    <row r="966" spans="5:7" x14ac:dyDescent="0.25">
      <c r="E966" s="2"/>
      <c r="G966" s="2"/>
    </row>
    <row r="967" spans="5:7" x14ac:dyDescent="0.25">
      <c r="E967" s="2"/>
      <c r="G967" s="2"/>
    </row>
    <row r="968" spans="5:7" x14ac:dyDescent="0.25">
      <c r="E968" s="2"/>
      <c r="G968" s="2"/>
    </row>
    <row r="969" spans="5:7" x14ac:dyDescent="0.25">
      <c r="E969" s="2"/>
      <c r="G969" s="2"/>
    </row>
    <row r="970" spans="5:7" x14ac:dyDescent="0.25">
      <c r="E970" s="2"/>
      <c r="G970" s="2"/>
    </row>
    <row r="971" spans="5:7" x14ac:dyDescent="0.25">
      <c r="E971" s="2"/>
      <c r="G971" s="2"/>
    </row>
    <row r="972" spans="5:7" x14ac:dyDescent="0.25">
      <c r="E972" s="2"/>
      <c r="G972" s="2"/>
    </row>
    <row r="973" spans="5:7" x14ac:dyDescent="0.25">
      <c r="E973" s="2"/>
      <c r="G973" s="2"/>
    </row>
    <row r="974" spans="5:7" x14ac:dyDescent="0.25">
      <c r="E974" s="2"/>
      <c r="G974" s="2"/>
    </row>
    <row r="975" spans="5:7" x14ac:dyDescent="0.25">
      <c r="E975" s="2"/>
      <c r="G975" s="2"/>
    </row>
    <row r="976" spans="5:7" x14ac:dyDescent="0.25">
      <c r="E976" s="2"/>
      <c r="G976" s="2"/>
    </row>
    <row r="977" spans="5:7" x14ac:dyDescent="0.25">
      <c r="E977" s="2"/>
      <c r="G977" s="2"/>
    </row>
    <row r="978" spans="5:7" x14ac:dyDescent="0.25">
      <c r="E978" s="2"/>
      <c r="G978" s="2"/>
    </row>
    <row r="979" spans="5:7" x14ac:dyDescent="0.25">
      <c r="E979" s="2"/>
      <c r="G979" s="2"/>
    </row>
    <row r="980" spans="5:7" x14ac:dyDescent="0.25">
      <c r="E980" s="2"/>
      <c r="G980" s="2"/>
    </row>
    <row r="981" spans="5:7" x14ac:dyDescent="0.25">
      <c r="E981" s="2"/>
      <c r="G981" s="2"/>
    </row>
    <row r="982" spans="5:7" x14ac:dyDescent="0.25">
      <c r="E982" s="2"/>
      <c r="G982" s="2"/>
    </row>
    <row r="983" spans="5:7" x14ac:dyDescent="0.25">
      <c r="E983" s="2"/>
      <c r="G983" s="2"/>
    </row>
    <row r="984" spans="5:7" x14ac:dyDescent="0.25">
      <c r="E984" s="2"/>
      <c r="G984" s="2"/>
    </row>
    <row r="985" spans="5:7" x14ac:dyDescent="0.25">
      <c r="E985" s="2"/>
      <c r="G985" s="2"/>
    </row>
    <row r="986" spans="5:7" x14ac:dyDescent="0.25">
      <c r="E986" s="2"/>
      <c r="G986" s="2"/>
    </row>
    <row r="987" spans="5:7" x14ac:dyDescent="0.25">
      <c r="E987" s="2"/>
      <c r="G987" s="2"/>
    </row>
    <row r="988" spans="5:7" x14ac:dyDescent="0.25">
      <c r="E988" s="2"/>
      <c r="G988" s="2"/>
    </row>
    <row r="989" spans="5:7" x14ac:dyDescent="0.25">
      <c r="E989" s="2"/>
      <c r="G989" s="2"/>
    </row>
    <row r="990" spans="5:7" x14ac:dyDescent="0.25">
      <c r="E990" s="2"/>
      <c r="G990" s="2"/>
    </row>
    <row r="991" spans="5:7" x14ac:dyDescent="0.25">
      <c r="E991" s="2"/>
      <c r="G991" s="2"/>
    </row>
    <row r="992" spans="5:7" x14ac:dyDescent="0.25">
      <c r="E992" s="2"/>
      <c r="G992" s="2"/>
    </row>
    <row r="993" spans="5:7" x14ac:dyDescent="0.25">
      <c r="E993" s="2"/>
      <c r="G993" s="2"/>
    </row>
    <row r="994" spans="5:7" x14ac:dyDescent="0.25">
      <c r="E994" s="2"/>
      <c r="G994" s="2"/>
    </row>
    <row r="995" spans="5:7" x14ac:dyDescent="0.25">
      <c r="E995" s="2"/>
      <c r="G995" s="2"/>
    </row>
    <row r="996" spans="5:7" x14ac:dyDescent="0.25">
      <c r="E996" s="2"/>
      <c r="G996" s="2"/>
    </row>
    <row r="997" spans="5:7" x14ac:dyDescent="0.25">
      <c r="E997" s="2"/>
      <c r="G997" s="2"/>
    </row>
    <row r="998" spans="5:7" x14ac:dyDescent="0.25">
      <c r="E998" s="2"/>
      <c r="G998" s="2"/>
    </row>
    <row r="999" spans="5:7" x14ac:dyDescent="0.25">
      <c r="E999" s="2"/>
      <c r="G999" s="2"/>
    </row>
    <row r="1000" spans="5:7" x14ac:dyDescent="0.25">
      <c r="E1000" s="2"/>
      <c r="G1000" s="2"/>
    </row>
    <row r="1001" spans="5:7" x14ac:dyDescent="0.25">
      <c r="E1001" s="2"/>
      <c r="G1001" s="2"/>
    </row>
    <row r="1002" spans="5:7" x14ac:dyDescent="0.25">
      <c r="E1002" s="2"/>
      <c r="G1002" s="2"/>
    </row>
    <row r="1003" spans="5:7" x14ac:dyDescent="0.25">
      <c r="E1003" s="2"/>
      <c r="G1003" s="2"/>
    </row>
    <row r="1004" spans="5:7" x14ac:dyDescent="0.25">
      <c r="E1004" s="2"/>
      <c r="G1004" s="2"/>
    </row>
    <row r="1005" spans="5:7" x14ac:dyDescent="0.25">
      <c r="E1005" s="2"/>
      <c r="G1005" s="2"/>
    </row>
    <row r="1006" spans="5:7" x14ac:dyDescent="0.25">
      <c r="E1006" s="2"/>
      <c r="G1006" s="2"/>
    </row>
    <row r="1007" spans="5:7" x14ac:dyDescent="0.25">
      <c r="E1007" s="2"/>
      <c r="G1007" s="2"/>
    </row>
    <row r="1008" spans="5:7" x14ac:dyDescent="0.25">
      <c r="E1008" s="2"/>
      <c r="G1008" s="2"/>
    </row>
    <row r="1009" spans="5:7" x14ac:dyDescent="0.25">
      <c r="E1009" s="2"/>
      <c r="G1009" s="2"/>
    </row>
    <row r="1010" spans="5:7" x14ac:dyDescent="0.25">
      <c r="E1010" s="2"/>
      <c r="G1010" s="2"/>
    </row>
    <row r="1011" spans="5:7" x14ac:dyDescent="0.25">
      <c r="E1011" s="2"/>
      <c r="G1011" s="2"/>
    </row>
    <row r="1012" spans="5:7" x14ac:dyDescent="0.25">
      <c r="E1012" s="2"/>
      <c r="G1012" s="2"/>
    </row>
    <row r="1013" spans="5:7" x14ac:dyDescent="0.25">
      <c r="E1013" s="2"/>
      <c r="G1013" s="2"/>
    </row>
    <row r="1014" spans="5:7" x14ac:dyDescent="0.25">
      <c r="E1014" s="2"/>
      <c r="G1014" s="2"/>
    </row>
    <row r="1015" spans="5:7" x14ac:dyDescent="0.25">
      <c r="E1015" s="2"/>
      <c r="G1015" s="2"/>
    </row>
    <row r="1016" spans="5:7" x14ac:dyDescent="0.25">
      <c r="E1016" s="2"/>
      <c r="G1016" s="2"/>
    </row>
    <row r="1017" spans="5:7" x14ac:dyDescent="0.25">
      <c r="E1017" s="2"/>
      <c r="G1017" s="2"/>
    </row>
    <row r="1018" spans="5:7" x14ac:dyDescent="0.25">
      <c r="E1018" s="2"/>
      <c r="G1018" s="2"/>
    </row>
    <row r="1019" spans="5:7" x14ac:dyDescent="0.25">
      <c r="E1019" s="2"/>
      <c r="G1019" s="2"/>
    </row>
    <row r="1020" spans="5:7" x14ac:dyDescent="0.25">
      <c r="E1020" s="2"/>
      <c r="G1020" s="2"/>
    </row>
    <row r="1021" spans="5:7" x14ac:dyDescent="0.25">
      <c r="E1021" s="2"/>
      <c r="G1021" s="2"/>
    </row>
    <row r="1022" spans="5:7" x14ac:dyDescent="0.25">
      <c r="E1022" s="2"/>
      <c r="G1022" s="2"/>
    </row>
    <row r="1023" spans="5:7" x14ac:dyDescent="0.25">
      <c r="E1023" s="2"/>
      <c r="G1023" s="2"/>
    </row>
    <row r="1024" spans="5:7" x14ac:dyDescent="0.25">
      <c r="E1024" s="2"/>
      <c r="G1024" s="2"/>
    </row>
    <row r="1025" spans="5:7" x14ac:dyDescent="0.25">
      <c r="E1025" s="2"/>
      <c r="G1025" s="2"/>
    </row>
    <row r="1026" spans="5:7" x14ac:dyDescent="0.25">
      <c r="E1026" s="2"/>
      <c r="G1026" s="2"/>
    </row>
    <row r="1027" spans="5:7" x14ac:dyDescent="0.25">
      <c r="E1027" s="2"/>
      <c r="G1027" s="2"/>
    </row>
    <row r="1028" spans="5:7" x14ac:dyDescent="0.25">
      <c r="E1028" s="2"/>
      <c r="G1028" s="2"/>
    </row>
    <row r="1029" spans="5:7" x14ac:dyDescent="0.25">
      <c r="E1029" s="2"/>
      <c r="G1029" s="2"/>
    </row>
    <row r="1030" spans="5:7" x14ac:dyDescent="0.25">
      <c r="E1030" s="2"/>
      <c r="G1030" s="2"/>
    </row>
    <row r="1031" spans="5:7" x14ac:dyDescent="0.25">
      <c r="E1031" s="2"/>
      <c r="G1031" s="2"/>
    </row>
    <row r="1032" spans="5:7" x14ac:dyDescent="0.25">
      <c r="E1032" s="2"/>
      <c r="G1032" s="2"/>
    </row>
    <row r="1033" spans="5:7" x14ac:dyDescent="0.25">
      <c r="E1033" s="2"/>
      <c r="G1033" s="2"/>
    </row>
    <row r="1034" spans="5:7" x14ac:dyDescent="0.25">
      <c r="E1034" s="2"/>
      <c r="G1034" s="2"/>
    </row>
    <row r="1035" spans="5:7" x14ac:dyDescent="0.25">
      <c r="E1035" s="2"/>
      <c r="G1035" s="2"/>
    </row>
    <row r="1036" spans="5:7" x14ac:dyDescent="0.25">
      <c r="E1036" s="2"/>
      <c r="G1036" s="2"/>
    </row>
    <row r="1037" spans="5:7" x14ac:dyDescent="0.25">
      <c r="E1037" s="2"/>
      <c r="G1037" s="2"/>
    </row>
    <row r="1038" spans="5:7" x14ac:dyDescent="0.25">
      <c r="E1038" s="2"/>
      <c r="G1038" s="2"/>
    </row>
    <row r="1039" spans="5:7" x14ac:dyDescent="0.25">
      <c r="E1039" s="2"/>
      <c r="G1039" s="2"/>
    </row>
    <row r="1040" spans="5:7" x14ac:dyDescent="0.25">
      <c r="E1040" s="2"/>
      <c r="G1040" s="2"/>
    </row>
    <row r="1041" spans="5:7" x14ac:dyDescent="0.25">
      <c r="E1041" s="2"/>
      <c r="G1041" s="2"/>
    </row>
    <row r="1042" spans="5:7" x14ac:dyDescent="0.25">
      <c r="E1042" s="2"/>
      <c r="G1042" s="2"/>
    </row>
    <row r="1043" spans="5:7" x14ac:dyDescent="0.25">
      <c r="E1043" s="2"/>
      <c r="G1043" s="2"/>
    </row>
    <row r="1044" spans="5:7" x14ac:dyDescent="0.25">
      <c r="E1044" s="2"/>
      <c r="G1044" s="2"/>
    </row>
    <row r="1045" spans="5:7" x14ac:dyDescent="0.25">
      <c r="E1045" s="2"/>
      <c r="G1045" s="2"/>
    </row>
    <row r="1046" spans="5:7" x14ac:dyDescent="0.25">
      <c r="E1046" s="2"/>
      <c r="G1046" s="2"/>
    </row>
    <row r="1047" spans="5:7" x14ac:dyDescent="0.25">
      <c r="E1047" s="2"/>
      <c r="G1047" s="2"/>
    </row>
    <row r="1048" spans="5:7" x14ac:dyDescent="0.25">
      <c r="E1048" s="2"/>
      <c r="G1048" s="2"/>
    </row>
    <row r="1049" spans="5:7" x14ac:dyDescent="0.25">
      <c r="E1049" s="2"/>
      <c r="G1049" s="2"/>
    </row>
    <row r="1050" spans="5:7" x14ac:dyDescent="0.25">
      <c r="E1050" s="2"/>
      <c r="G1050" s="2"/>
    </row>
    <row r="1051" spans="5:7" x14ac:dyDescent="0.25">
      <c r="E1051" s="2"/>
      <c r="G1051" s="2"/>
    </row>
    <row r="1052" spans="5:7" x14ac:dyDescent="0.25">
      <c r="E1052" s="2"/>
      <c r="G1052" s="2"/>
    </row>
    <row r="1053" spans="5:7" x14ac:dyDescent="0.25">
      <c r="E1053" s="2"/>
      <c r="G1053" s="2"/>
    </row>
    <row r="1054" spans="5:7" x14ac:dyDescent="0.25">
      <c r="E1054" s="2"/>
      <c r="G1054" s="2"/>
    </row>
    <row r="1055" spans="5:7" x14ac:dyDescent="0.25">
      <c r="E1055" s="2"/>
      <c r="G1055" s="2"/>
    </row>
    <row r="1056" spans="5:7" x14ac:dyDescent="0.25">
      <c r="E1056" s="2"/>
      <c r="G1056" s="2"/>
    </row>
    <row r="1057" spans="5:7" x14ac:dyDescent="0.25">
      <c r="E1057" s="2"/>
      <c r="G1057" s="2"/>
    </row>
    <row r="1058" spans="5:7" x14ac:dyDescent="0.25">
      <c r="E1058" s="2"/>
      <c r="G1058" s="2"/>
    </row>
    <row r="1059" spans="5:7" x14ac:dyDescent="0.25">
      <c r="E1059" s="2"/>
      <c r="G1059" s="2"/>
    </row>
    <row r="1060" spans="5:7" x14ac:dyDescent="0.25">
      <c r="E1060" s="2"/>
      <c r="G1060" s="2"/>
    </row>
    <row r="1061" spans="5:7" x14ac:dyDescent="0.25">
      <c r="E1061" s="2"/>
      <c r="G1061" s="2"/>
    </row>
    <row r="1062" spans="5:7" x14ac:dyDescent="0.25">
      <c r="E1062" s="2"/>
      <c r="G1062" s="2"/>
    </row>
    <row r="1063" spans="5:7" x14ac:dyDescent="0.25">
      <c r="E1063" s="2"/>
      <c r="G1063" s="2"/>
    </row>
    <row r="1064" spans="5:7" x14ac:dyDescent="0.25">
      <c r="E1064" s="2"/>
      <c r="G1064" s="2"/>
    </row>
    <row r="1065" spans="5:7" x14ac:dyDescent="0.25">
      <c r="E1065" s="2"/>
      <c r="G1065" s="2"/>
    </row>
    <row r="1066" spans="5:7" x14ac:dyDescent="0.25">
      <c r="E1066" s="2"/>
      <c r="G1066" s="2"/>
    </row>
    <row r="1067" spans="5:7" x14ac:dyDescent="0.25">
      <c r="E1067" s="2"/>
      <c r="G1067" s="2"/>
    </row>
    <row r="1068" spans="5:7" x14ac:dyDescent="0.25">
      <c r="E1068" s="2"/>
      <c r="G1068" s="2"/>
    </row>
    <row r="1069" spans="5:7" x14ac:dyDescent="0.25">
      <c r="E1069" s="2"/>
      <c r="G1069" s="2"/>
    </row>
    <row r="1070" spans="5:7" x14ac:dyDescent="0.25">
      <c r="E1070" s="2"/>
      <c r="G1070" s="2"/>
    </row>
    <row r="1071" spans="5:7" x14ac:dyDescent="0.25">
      <c r="E1071" s="2"/>
      <c r="G1071" s="2"/>
    </row>
    <row r="1072" spans="5:7" x14ac:dyDescent="0.25">
      <c r="E1072" s="2"/>
      <c r="G1072" s="2"/>
    </row>
    <row r="1073" spans="5:7" x14ac:dyDescent="0.25">
      <c r="E1073" s="2"/>
      <c r="G1073" s="2"/>
    </row>
    <row r="1074" spans="5:7" x14ac:dyDescent="0.25">
      <c r="E1074" s="2"/>
      <c r="G1074" s="2"/>
    </row>
    <row r="1075" spans="5:7" x14ac:dyDescent="0.25">
      <c r="E1075" s="2"/>
      <c r="G1075" s="2"/>
    </row>
    <row r="1076" spans="5:7" x14ac:dyDescent="0.25">
      <c r="E1076" s="2"/>
      <c r="G1076" s="2"/>
    </row>
    <row r="1077" spans="5:7" x14ac:dyDescent="0.25">
      <c r="E1077" s="2"/>
      <c r="G1077" s="2"/>
    </row>
    <row r="1078" spans="5:7" x14ac:dyDescent="0.25">
      <c r="E1078" s="2"/>
      <c r="G1078" s="2"/>
    </row>
    <row r="1079" spans="5:7" x14ac:dyDescent="0.25">
      <c r="E1079" s="2"/>
      <c r="G1079" s="2"/>
    </row>
    <row r="1080" spans="5:7" x14ac:dyDescent="0.25">
      <c r="E1080" s="2"/>
      <c r="G1080" s="2"/>
    </row>
    <row r="1081" spans="5:7" x14ac:dyDescent="0.25">
      <c r="E1081" s="2"/>
      <c r="G1081" s="2"/>
    </row>
    <row r="1082" spans="5:7" x14ac:dyDescent="0.25">
      <c r="E1082" s="2"/>
      <c r="G1082" s="2"/>
    </row>
    <row r="1083" spans="5:7" x14ac:dyDescent="0.25">
      <c r="E1083" s="2"/>
      <c r="G1083" s="2"/>
    </row>
    <row r="1084" spans="5:7" x14ac:dyDescent="0.25">
      <c r="E1084" s="2"/>
      <c r="G1084" s="2"/>
    </row>
    <row r="1085" spans="5:7" x14ac:dyDescent="0.25">
      <c r="E1085" s="2"/>
      <c r="G1085" s="2"/>
    </row>
    <row r="1086" spans="5:7" x14ac:dyDescent="0.25">
      <c r="E1086" s="2"/>
      <c r="G1086" s="2"/>
    </row>
    <row r="1087" spans="5:7" x14ac:dyDescent="0.25">
      <c r="E1087" s="2"/>
      <c r="G1087" s="2"/>
    </row>
    <row r="1088" spans="5:7" x14ac:dyDescent="0.25">
      <c r="E1088" s="2"/>
      <c r="G1088" s="2"/>
    </row>
    <row r="1089" spans="5:7" x14ac:dyDescent="0.25">
      <c r="E1089" s="2"/>
      <c r="G1089" s="2"/>
    </row>
    <row r="1090" spans="5:7" x14ac:dyDescent="0.25">
      <c r="E1090" s="2"/>
      <c r="G1090" s="2"/>
    </row>
    <row r="1091" spans="5:7" x14ac:dyDescent="0.25">
      <c r="E1091" s="2"/>
      <c r="G1091" s="2"/>
    </row>
    <row r="1092" spans="5:7" x14ac:dyDescent="0.25">
      <c r="E1092" s="2"/>
      <c r="G1092" s="2"/>
    </row>
    <row r="1093" spans="5:7" x14ac:dyDescent="0.25">
      <c r="E1093" s="2"/>
      <c r="G1093" s="2"/>
    </row>
    <row r="1094" spans="5:7" x14ac:dyDescent="0.25">
      <c r="E1094" s="2"/>
      <c r="G1094" s="2"/>
    </row>
    <row r="1095" spans="5:7" x14ac:dyDescent="0.25">
      <c r="E1095" s="2"/>
      <c r="G1095" s="2"/>
    </row>
    <row r="1096" spans="5:7" x14ac:dyDescent="0.25">
      <c r="E1096" s="2"/>
      <c r="G1096" s="2"/>
    </row>
    <row r="1097" spans="5:7" x14ac:dyDescent="0.25">
      <c r="E1097" s="2"/>
      <c r="G1097" s="2"/>
    </row>
    <row r="1098" spans="5:7" x14ac:dyDescent="0.25">
      <c r="E1098" s="2"/>
      <c r="G1098" s="2"/>
    </row>
    <row r="1099" spans="5:7" x14ac:dyDescent="0.25">
      <c r="E1099" s="2"/>
      <c r="G1099" s="2"/>
    </row>
    <row r="1100" spans="5:7" x14ac:dyDescent="0.25">
      <c r="E1100" s="2"/>
      <c r="G1100" s="2"/>
    </row>
    <row r="1101" spans="5:7" x14ac:dyDescent="0.25">
      <c r="E1101" s="2"/>
      <c r="G1101" s="2"/>
    </row>
    <row r="1102" spans="5:7" x14ac:dyDescent="0.25">
      <c r="E1102" s="2"/>
      <c r="G1102" s="2"/>
    </row>
    <row r="1103" spans="5:7" x14ac:dyDescent="0.25">
      <c r="E1103" s="2"/>
      <c r="G1103" s="2"/>
    </row>
    <row r="1104" spans="5:7" x14ac:dyDescent="0.25">
      <c r="E1104" s="2"/>
      <c r="G1104" s="2"/>
    </row>
    <row r="1105" spans="5:7" x14ac:dyDescent="0.25">
      <c r="E1105" s="2"/>
      <c r="G1105" s="2"/>
    </row>
    <row r="1106" spans="5:7" x14ac:dyDescent="0.25">
      <c r="E1106" s="2"/>
      <c r="G1106" s="2"/>
    </row>
    <row r="1107" spans="5:7" x14ac:dyDescent="0.25">
      <c r="E1107" s="2"/>
      <c r="G1107" s="2"/>
    </row>
    <row r="1108" spans="5:7" x14ac:dyDescent="0.25">
      <c r="E1108" s="2"/>
      <c r="G1108" s="2"/>
    </row>
    <row r="1109" spans="5:7" x14ac:dyDescent="0.25">
      <c r="E1109" s="2"/>
      <c r="G1109" s="2"/>
    </row>
    <row r="1110" spans="5:7" x14ac:dyDescent="0.25">
      <c r="E1110" s="2"/>
      <c r="G1110" s="2"/>
    </row>
    <row r="1111" spans="5:7" x14ac:dyDescent="0.25">
      <c r="E1111" s="2"/>
      <c r="G1111" s="2"/>
    </row>
    <row r="1112" spans="5:7" x14ac:dyDescent="0.25">
      <c r="E1112" s="2"/>
      <c r="G1112" s="2"/>
    </row>
    <row r="1113" spans="5:7" x14ac:dyDescent="0.25">
      <c r="E1113" s="2"/>
      <c r="G1113" s="2"/>
    </row>
    <row r="1114" spans="5:7" x14ac:dyDescent="0.25">
      <c r="E1114" s="2"/>
      <c r="G1114" s="2"/>
    </row>
    <row r="1115" spans="5:7" x14ac:dyDescent="0.25">
      <c r="E1115" s="2"/>
      <c r="G1115" s="2"/>
    </row>
    <row r="1116" spans="5:7" x14ac:dyDescent="0.25">
      <c r="E1116" s="2"/>
      <c r="G1116" s="2"/>
    </row>
    <row r="1117" spans="5:7" x14ac:dyDescent="0.25">
      <c r="E1117" s="2"/>
      <c r="G1117" s="2"/>
    </row>
    <row r="1118" spans="5:7" x14ac:dyDescent="0.25">
      <c r="E1118" s="2"/>
      <c r="G1118" s="2"/>
    </row>
    <row r="1119" spans="5:7" x14ac:dyDescent="0.25">
      <c r="E1119" s="2"/>
      <c r="G1119" s="2"/>
    </row>
    <row r="1120" spans="5:7" x14ac:dyDescent="0.25">
      <c r="E1120" s="2"/>
      <c r="G1120" s="2"/>
    </row>
    <row r="1121" spans="5:7" x14ac:dyDescent="0.25">
      <c r="E1121" s="2"/>
      <c r="G1121" s="2"/>
    </row>
    <row r="1122" spans="5:7" x14ac:dyDescent="0.25">
      <c r="E1122" s="2"/>
      <c r="G1122" s="2"/>
    </row>
    <row r="1123" spans="5:7" x14ac:dyDescent="0.25">
      <c r="E1123" s="2"/>
      <c r="G1123" s="2"/>
    </row>
    <row r="1124" spans="5:7" x14ac:dyDescent="0.25">
      <c r="E1124" s="2"/>
      <c r="G1124" s="2"/>
    </row>
    <row r="1125" spans="5:7" x14ac:dyDescent="0.25">
      <c r="E1125" s="2"/>
      <c r="G1125" s="2"/>
    </row>
    <row r="1126" spans="5:7" x14ac:dyDescent="0.25">
      <c r="E1126" s="2"/>
      <c r="G1126" s="2"/>
    </row>
    <row r="1127" spans="5:7" x14ac:dyDescent="0.25">
      <c r="E1127" s="2"/>
      <c r="G1127" s="2"/>
    </row>
    <row r="1128" spans="5:7" x14ac:dyDescent="0.25">
      <c r="E1128" s="2"/>
      <c r="G1128" s="2"/>
    </row>
    <row r="1129" spans="5:7" x14ac:dyDescent="0.25">
      <c r="E1129" s="2"/>
      <c r="G1129" s="2"/>
    </row>
    <row r="1130" spans="5:7" x14ac:dyDescent="0.25">
      <c r="E1130" s="2"/>
      <c r="G1130" s="2"/>
    </row>
    <row r="1131" spans="5:7" x14ac:dyDescent="0.25">
      <c r="E1131" s="2"/>
      <c r="G1131" s="2"/>
    </row>
    <row r="1132" spans="5:7" x14ac:dyDescent="0.25">
      <c r="E1132" s="2"/>
      <c r="G1132" s="2"/>
    </row>
    <row r="1133" spans="5:7" x14ac:dyDescent="0.25">
      <c r="E1133" s="2"/>
      <c r="G1133" s="2"/>
    </row>
    <row r="1134" spans="5:7" x14ac:dyDescent="0.25">
      <c r="E1134" s="2"/>
      <c r="G1134" s="2"/>
    </row>
    <row r="1135" spans="5:7" x14ac:dyDescent="0.25">
      <c r="E1135" s="2"/>
      <c r="G1135" s="2"/>
    </row>
    <row r="1136" spans="5:7" x14ac:dyDescent="0.25">
      <c r="E1136" s="2"/>
      <c r="G1136" s="2"/>
    </row>
    <row r="1137" spans="5:7" x14ac:dyDescent="0.25">
      <c r="E1137" s="2"/>
      <c r="G1137" s="2"/>
    </row>
    <row r="1138" spans="5:7" x14ac:dyDescent="0.25">
      <c r="E1138" s="2"/>
      <c r="G1138" s="2"/>
    </row>
    <row r="1139" spans="5:7" x14ac:dyDescent="0.25">
      <c r="E1139" s="2"/>
      <c r="G1139" s="2"/>
    </row>
    <row r="1140" spans="5:7" x14ac:dyDescent="0.25">
      <c r="E1140" s="2"/>
      <c r="G1140" s="2"/>
    </row>
    <row r="1141" spans="5:7" x14ac:dyDescent="0.25">
      <c r="E1141" s="2"/>
      <c r="G1141" s="2"/>
    </row>
    <row r="1142" spans="5:7" x14ac:dyDescent="0.25">
      <c r="E1142" s="2"/>
      <c r="G1142" s="2"/>
    </row>
    <row r="1143" spans="5:7" x14ac:dyDescent="0.25">
      <c r="E1143" s="2"/>
      <c r="G1143" s="2"/>
    </row>
    <row r="1144" spans="5:7" x14ac:dyDescent="0.25">
      <c r="E1144" s="2"/>
      <c r="G1144" s="2"/>
    </row>
    <row r="1145" spans="5:7" x14ac:dyDescent="0.25">
      <c r="E1145" s="2"/>
      <c r="G1145" s="2"/>
    </row>
    <row r="1146" spans="5:7" x14ac:dyDescent="0.25">
      <c r="E1146" s="2"/>
      <c r="G1146" s="2"/>
    </row>
    <row r="1147" spans="5:7" x14ac:dyDescent="0.25">
      <c r="E1147" s="2"/>
      <c r="G1147" s="2"/>
    </row>
    <row r="1148" spans="5:7" x14ac:dyDescent="0.25">
      <c r="E1148" s="2"/>
      <c r="G1148" s="2"/>
    </row>
    <row r="1149" spans="5:7" x14ac:dyDescent="0.25">
      <c r="E1149" s="2"/>
      <c r="G1149" s="2"/>
    </row>
    <row r="1150" spans="5:7" x14ac:dyDescent="0.25">
      <c r="E1150" s="2"/>
      <c r="G1150" s="2"/>
    </row>
    <row r="1151" spans="5:7" x14ac:dyDescent="0.25">
      <c r="E1151" s="2"/>
      <c r="G1151" s="2"/>
    </row>
    <row r="1152" spans="5:7" x14ac:dyDescent="0.25">
      <c r="E1152" s="2"/>
      <c r="G1152" s="2"/>
    </row>
    <row r="1153" spans="5:7" x14ac:dyDescent="0.25">
      <c r="E1153" s="2"/>
      <c r="G1153" s="2"/>
    </row>
    <row r="1154" spans="5:7" x14ac:dyDescent="0.25">
      <c r="E1154" s="2"/>
      <c r="G1154" s="2"/>
    </row>
    <row r="1155" spans="5:7" x14ac:dyDescent="0.25">
      <c r="E1155" s="2"/>
      <c r="G1155" s="2"/>
    </row>
    <row r="1156" spans="5:7" x14ac:dyDescent="0.25">
      <c r="E1156" s="2"/>
      <c r="G1156" s="2"/>
    </row>
    <row r="1157" spans="5:7" x14ac:dyDescent="0.25">
      <c r="E1157" s="2"/>
      <c r="G1157" s="2"/>
    </row>
    <row r="1158" spans="5:7" x14ac:dyDescent="0.25">
      <c r="E1158" s="2"/>
      <c r="G1158" s="2"/>
    </row>
    <row r="1159" spans="5:7" x14ac:dyDescent="0.25">
      <c r="E1159" s="2"/>
      <c r="G1159" s="2"/>
    </row>
    <row r="1160" spans="5:7" x14ac:dyDescent="0.25">
      <c r="E1160" s="2"/>
      <c r="G1160" s="2"/>
    </row>
    <row r="1161" spans="5:7" x14ac:dyDescent="0.25">
      <c r="E1161" s="2"/>
      <c r="G1161" s="2"/>
    </row>
    <row r="1162" spans="5:7" x14ac:dyDescent="0.25">
      <c r="E1162" s="2"/>
      <c r="G1162" s="2"/>
    </row>
    <row r="1163" spans="5:7" x14ac:dyDescent="0.25">
      <c r="E1163" s="2"/>
      <c r="G1163" s="2"/>
    </row>
    <row r="1164" spans="5:7" x14ac:dyDescent="0.25">
      <c r="E1164" s="2"/>
      <c r="G1164" s="2"/>
    </row>
    <row r="1165" spans="5:7" x14ac:dyDescent="0.25">
      <c r="E1165" s="2"/>
      <c r="G1165" s="2"/>
    </row>
    <row r="1166" spans="5:7" x14ac:dyDescent="0.25">
      <c r="E1166" s="2"/>
      <c r="G1166" s="2"/>
    </row>
    <row r="1167" spans="5:7" x14ac:dyDescent="0.25">
      <c r="E1167" s="2"/>
      <c r="G1167" s="2"/>
    </row>
    <row r="1168" spans="5:7" x14ac:dyDescent="0.25">
      <c r="E1168" s="2"/>
      <c r="G1168" s="2"/>
    </row>
    <row r="1169" spans="5:7" x14ac:dyDescent="0.25">
      <c r="E1169" s="2"/>
      <c r="G1169" s="2"/>
    </row>
    <row r="1170" spans="5:7" x14ac:dyDescent="0.25">
      <c r="E1170" s="2"/>
      <c r="G1170" s="2"/>
    </row>
    <row r="1171" spans="5:7" x14ac:dyDescent="0.25">
      <c r="E1171" s="2"/>
      <c r="G1171" s="2"/>
    </row>
    <row r="1172" spans="5:7" x14ac:dyDescent="0.25">
      <c r="E1172" s="2"/>
      <c r="G1172" s="2"/>
    </row>
    <row r="1173" spans="5:7" x14ac:dyDescent="0.25">
      <c r="E1173" s="2"/>
      <c r="G1173" s="2"/>
    </row>
    <row r="1174" spans="5:7" x14ac:dyDescent="0.25">
      <c r="E1174" s="2"/>
      <c r="G1174" s="2"/>
    </row>
    <row r="1175" spans="5:7" x14ac:dyDescent="0.25">
      <c r="E1175" s="2"/>
      <c r="G1175" s="2"/>
    </row>
    <row r="1176" spans="5:7" x14ac:dyDescent="0.25">
      <c r="E1176" s="2"/>
      <c r="G1176" s="2"/>
    </row>
    <row r="1177" spans="5:7" x14ac:dyDescent="0.25">
      <c r="E1177" s="2"/>
      <c r="G1177" s="2"/>
    </row>
    <row r="1178" spans="5:7" x14ac:dyDescent="0.25">
      <c r="E1178" s="2"/>
      <c r="G1178" s="2"/>
    </row>
    <row r="1179" spans="5:7" x14ac:dyDescent="0.25">
      <c r="E1179" s="2"/>
      <c r="G1179" s="2"/>
    </row>
    <row r="1180" spans="5:7" x14ac:dyDescent="0.25">
      <c r="E1180" s="2"/>
      <c r="G1180" s="2"/>
    </row>
    <row r="1181" spans="5:7" x14ac:dyDescent="0.25">
      <c r="E1181" s="2"/>
      <c r="G1181" s="2"/>
    </row>
    <row r="1182" spans="5:7" x14ac:dyDescent="0.25">
      <c r="E1182" s="2"/>
      <c r="G1182" s="2"/>
    </row>
    <row r="1183" spans="5:7" x14ac:dyDescent="0.25">
      <c r="E1183" s="2"/>
      <c r="G1183" s="2"/>
    </row>
    <row r="1184" spans="5:7" x14ac:dyDescent="0.25">
      <c r="E1184" s="2"/>
      <c r="G1184" s="2"/>
    </row>
    <row r="1185" spans="5:7" x14ac:dyDescent="0.25">
      <c r="E1185" s="2"/>
      <c r="G1185" s="2"/>
    </row>
    <row r="1186" spans="5:7" x14ac:dyDescent="0.25">
      <c r="E1186" s="2"/>
      <c r="G1186" s="2"/>
    </row>
    <row r="1187" spans="5:7" x14ac:dyDescent="0.25">
      <c r="E1187" s="2"/>
      <c r="G1187" s="2"/>
    </row>
    <row r="1188" spans="5:7" x14ac:dyDescent="0.25">
      <c r="E1188" s="2"/>
      <c r="G1188" s="2"/>
    </row>
    <row r="1189" spans="5:7" x14ac:dyDescent="0.25">
      <c r="E1189" s="2"/>
      <c r="G1189" s="2"/>
    </row>
    <row r="1190" spans="5:7" x14ac:dyDescent="0.25">
      <c r="E1190" s="2"/>
      <c r="G1190" s="2"/>
    </row>
    <row r="1191" spans="5:7" x14ac:dyDescent="0.25">
      <c r="E1191" s="2"/>
      <c r="G1191" s="2"/>
    </row>
    <row r="1192" spans="5:7" x14ac:dyDescent="0.25">
      <c r="E1192" s="2"/>
      <c r="G1192" s="2"/>
    </row>
    <row r="1193" spans="5:7" x14ac:dyDescent="0.25">
      <c r="E1193" s="2"/>
      <c r="G1193" s="2"/>
    </row>
    <row r="1194" spans="5:7" x14ac:dyDescent="0.25">
      <c r="E1194" s="2"/>
      <c r="G1194" s="2"/>
    </row>
    <row r="1195" spans="5:7" x14ac:dyDescent="0.25">
      <c r="E1195" s="2"/>
      <c r="G1195" s="2"/>
    </row>
    <row r="1196" spans="5:7" x14ac:dyDescent="0.25">
      <c r="E1196" s="2"/>
      <c r="G1196" s="2"/>
    </row>
    <row r="1197" spans="5:7" x14ac:dyDescent="0.25">
      <c r="E1197" s="2"/>
      <c r="G1197" s="2"/>
    </row>
    <row r="1198" spans="5:7" x14ac:dyDescent="0.25">
      <c r="E1198" s="2"/>
      <c r="G1198" s="2"/>
    </row>
    <row r="1199" spans="5:7" x14ac:dyDescent="0.25">
      <c r="E1199" s="2"/>
      <c r="G1199" s="2"/>
    </row>
    <row r="1200" spans="5:7" x14ac:dyDescent="0.25">
      <c r="E1200" s="2"/>
      <c r="G1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C47-CAB3-4C76-9894-3007F102F657}">
  <dimension ref="A1:O1193"/>
  <sheetViews>
    <sheetView topLeftCell="A147" workbookViewId="0">
      <selection activeCell="O165" sqref="O165"/>
    </sheetView>
  </sheetViews>
  <sheetFormatPr defaultRowHeight="15" x14ac:dyDescent="0.25"/>
  <cols>
    <col min="1" max="1" width="41.42578125" bestFit="1" customWidth="1"/>
    <col min="2" max="2" width="14.140625" bestFit="1" customWidth="1"/>
    <col min="3" max="3" width="15.140625" bestFit="1" customWidth="1"/>
    <col min="4" max="4" width="11.85546875" bestFit="1" customWidth="1"/>
    <col min="5" max="5" width="13.85546875" bestFit="1" customWidth="1"/>
    <col min="6" max="6" width="9.7109375" bestFit="1" customWidth="1"/>
    <col min="7" max="7" width="14.140625" bestFit="1" customWidth="1"/>
    <col min="8" max="8" width="13.42578125" bestFit="1" customWidth="1"/>
    <col min="9" max="9" width="13.140625" bestFit="1" customWidth="1"/>
    <col min="10" max="11" width="12" bestFit="1" customWidth="1"/>
    <col min="12" max="12" width="11" bestFit="1" customWidth="1"/>
    <col min="13" max="13" width="15.28515625" bestFit="1" customWidth="1"/>
    <col min="14" max="14" width="13.42578125" bestFit="1" customWidth="1"/>
    <col min="15" max="15" width="56.28515625" bestFit="1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04/01/2025</v>
      </c>
    </row>
    <row r="4" spans="1:15" x14ac:dyDescent="0.25">
      <c r="A4" t="str">
        <f>'WP by State &amp; Segment'!A4</f>
        <v>Data as of: 11/30/2024</v>
      </c>
    </row>
    <row r="6" spans="1:15" x14ac:dyDescent="0.25">
      <c r="A6" t="s">
        <v>87</v>
      </c>
    </row>
    <row r="7" spans="1:15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</row>
    <row r="8" spans="1:15" x14ac:dyDescent="0.25">
      <c r="A8" t="s">
        <v>1449</v>
      </c>
      <c r="B8" t="s">
        <v>1450</v>
      </c>
      <c r="C8" t="s">
        <v>1451</v>
      </c>
      <c r="D8" t="s">
        <v>99</v>
      </c>
      <c r="E8" s="2">
        <v>43841</v>
      </c>
      <c r="F8" t="s">
        <v>20</v>
      </c>
      <c r="G8">
        <v>1000000</v>
      </c>
      <c r="H8" s="2">
        <v>43999</v>
      </c>
      <c r="I8">
        <v>2020</v>
      </c>
      <c r="J8">
        <v>2714.1465634797</v>
      </c>
      <c r="K8">
        <v>8046.8434365203002</v>
      </c>
      <c r="L8">
        <v>71539.53</v>
      </c>
      <c r="M8">
        <v>0</v>
      </c>
      <c r="N8">
        <v>82300.52</v>
      </c>
      <c r="O8" t="s">
        <v>1452</v>
      </c>
    </row>
    <row r="9" spans="1:15" x14ac:dyDescent="0.25">
      <c r="A9" t="s">
        <v>1453</v>
      </c>
      <c r="B9" t="s">
        <v>1454</v>
      </c>
      <c r="C9" t="s">
        <v>1455</v>
      </c>
      <c r="D9" t="s">
        <v>99</v>
      </c>
      <c r="E9" s="2">
        <v>43868</v>
      </c>
      <c r="F9" t="s">
        <v>50</v>
      </c>
      <c r="G9">
        <v>1000000</v>
      </c>
      <c r="H9" s="2">
        <v>44018</v>
      </c>
      <c r="I9">
        <v>2020</v>
      </c>
      <c r="J9">
        <v>3735.6033000284901</v>
      </c>
      <c r="K9">
        <v>13809.5766999715</v>
      </c>
      <c r="L9">
        <v>84563.23</v>
      </c>
      <c r="M9">
        <v>0</v>
      </c>
      <c r="N9">
        <v>102108.41</v>
      </c>
      <c r="O9" t="s">
        <v>1456</v>
      </c>
    </row>
    <row r="10" spans="1:15" x14ac:dyDescent="0.25">
      <c r="A10" t="s">
        <v>1457</v>
      </c>
      <c r="B10" t="s">
        <v>1458</v>
      </c>
      <c r="C10" t="s">
        <v>1459</v>
      </c>
      <c r="D10" t="s">
        <v>99</v>
      </c>
      <c r="E10" s="2">
        <v>43883</v>
      </c>
      <c r="F10" t="s">
        <v>28</v>
      </c>
      <c r="G10">
        <v>5000000</v>
      </c>
      <c r="H10" s="2">
        <v>44034</v>
      </c>
      <c r="I10">
        <v>2020</v>
      </c>
      <c r="J10">
        <v>2156.79212244991</v>
      </c>
      <c r="K10">
        <v>7579.1378775500898</v>
      </c>
      <c r="L10">
        <v>80104.960000000006</v>
      </c>
      <c r="M10">
        <v>0</v>
      </c>
      <c r="N10">
        <v>89840.89</v>
      </c>
      <c r="O10" t="s">
        <v>1460</v>
      </c>
    </row>
    <row r="11" spans="1:15" x14ac:dyDescent="0.25">
      <c r="A11" t="s">
        <v>1461</v>
      </c>
      <c r="B11" t="s">
        <v>1462</v>
      </c>
      <c r="C11" t="s">
        <v>1463</v>
      </c>
      <c r="D11" t="s">
        <v>99</v>
      </c>
      <c r="E11" s="2">
        <v>44007</v>
      </c>
      <c r="F11" t="s">
        <v>16</v>
      </c>
      <c r="G11">
        <v>1000000</v>
      </c>
      <c r="H11" s="2">
        <v>44031</v>
      </c>
      <c r="I11">
        <v>2020</v>
      </c>
      <c r="J11">
        <v>4039.2197748519002</v>
      </c>
      <c r="K11">
        <v>9673.9002251480997</v>
      </c>
      <c r="L11">
        <v>120166.86</v>
      </c>
      <c r="M11">
        <v>0</v>
      </c>
      <c r="N11">
        <v>133879.98000000001</v>
      </c>
      <c r="O11" t="s">
        <v>1464</v>
      </c>
    </row>
    <row r="12" spans="1:15" x14ac:dyDescent="0.25">
      <c r="A12" t="s">
        <v>1465</v>
      </c>
      <c r="B12" t="s">
        <v>1466</v>
      </c>
      <c r="C12" t="s">
        <v>1467</v>
      </c>
      <c r="D12" t="s">
        <v>99</v>
      </c>
      <c r="E12" s="2">
        <v>43932</v>
      </c>
      <c r="F12" t="s">
        <v>21</v>
      </c>
      <c r="G12">
        <v>1000000</v>
      </c>
      <c r="H12" s="2">
        <v>43960</v>
      </c>
      <c r="I12">
        <v>2020</v>
      </c>
      <c r="J12">
        <v>3224.8394398058599</v>
      </c>
      <c r="K12">
        <v>7555.9505601941401</v>
      </c>
      <c r="L12">
        <v>58734.46</v>
      </c>
      <c r="M12">
        <v>0</v>
      </c>
      <c r="N12">
        <v>69515.25</v>
      </c>
      <c r="O12" t="s">
        <v>126</v>
      </c>
    </row>
    <row r="13" spans="1:15" x14ac:dyDescent="0.25">
      <c r="A13" t="s">
        <v>1468</v>
      </c>
      <c r="B13" t="s">
        <v>1469</v>
      </c>
      <c r="C13" t="s">
        <v>1470</v>
      </c>
      <c r="D13" t="s">
        <v>99</v>
      </c>
      <c r="E13" s="2">
        <v>43962</v>
      </c>
      <c r="F13" t="s">
        <v>16</v>
      </c>
      <c r="G13">
        <v>1000000</v>
      </c>
      <c r="H13" s="2">
        <v>43977</v>
      </c>
      <c r="I13">
        <v>2020</v>
      </c>
      <c r="J13">
        <v>7922.3268217904397</v>
      </c>
      <c r="K13">
        <v>20821.563178209599</v>
      </c>
      <c r="L13">
        <v>102224.33</v>
      </c>
      <c r="M13">
        <v>0</v>
      </c>
      <c r="N13">
        <v>130968.22</v>
      </c>
      <c r="O13" t="s">
        <v>111</v>
      </c>
    </row>
    <row r="14" spans="1:15" x14ac:dyDescent="0.25">
      <c r="A14" t="s">
        <v>1471</v>
      </c>
      <c r="B14" t="s">
        <v>1472</v>
      </c>
      <c r="C14" t="s">
        <v>1473</v>
      </c>
      <c r="D14" t="s">
        <v>99</v>
      </c>
      <c r="E14" s="2">
        <v>43887</v>
      </c>
      <c r="F14" t="s">
        <v>33</v>
      </c>
      <c r="G14">
        <v>1000000</v>
      </c>
      <c r="H14" s="2">
        <v>44061</v>
      </c>
      <c r="I14">
        <v>2020</v>
      </c>
      <c r="J14">
        <v>4413.1164302126799</v>
      </c>
      <c r="K14">
        <v>12768.073569787301</v>
      </c>
      <c r="L14">
        <v>130137.98</v>
      </c>
      <c r="M14">
        <v>0</v>
      </c>
      <c r="N14">
        <v>147319.17000000001</v>
      </c>
      <c r="O14" t="s">
        <v>1464</v>
      </c>
    </row>
    <row r="15" spans="1:15" x14ac:dyDescent="0.25">
      <c r="A15" t="s">
        <v>1474</v>
      </c>
      <c r="B15" t="s">
        <v>1475</v>
      </c>
      <c r="C15" t="s">
        <v>1476</v>
      </c>
      <c r="D15" t="s">
        <v>99</v>
      </c>
      <c r="E15" s="2">
        <v>43876</v>
      </c>
      <c r="F15" t="s">
        <v>14</v>
      </c>
      <c r="G15">
        <v>1000000</v>
      </c>
      <c r="H15" s="2">
        <v>44086</v>
      </c>
      <c r="I15">
        <v>2020</v>
      </c>
      <c r="J15">
        <v>8855.2641011618798</v>
      </c>
      <c r="K15">
        <v>29379.9058988381</v>
      </c>
      <c r="L15">
        <v>136157.35</v>
      </c>
      <c r="M15">
        <v>0</v>
      </c>
      <c r="N15">
        <v>174392.52</v>
      </c>
      <c r="O15" t="s">
        <v>1477</v>
      </c>
    </row>
    <row r="16" spans="1:15" x14ac:dyDescent="0.25">
      <c r="A16" t="s">
        <v>1478</v>
      </c>
      <c r="B16" t="s">
        <v>1479</v>
      </c>
      <c r="C16" t="s">
        <v>1480</v>
      </c>
      <c r="D16" t="s">
        <v>99</v>
      </c>
      <c r="E16" s="2">
        <v>43864</v>
      </c>
      <c r="F16" t="s">
        <v>44</v>
      </c>
      <c r="G16">
        <v>1000000</v>
      </c>
      <c r="H16" s="2">
        <v>44121</v>
      </c>
      <c r="I16">
        <v>2020</v>
      </c>
      <c r="J16">
        <v>5859.2713138558402</v>
      </c>
      <c r="K16">
        <v>14584.2786861442</v>
      </c>
      <c r="L16">
        <v>97574.95</v>
      </c>
      <c r="M16">
        <v>0</v>
      </c>
      <c r="N16">
        <v>118018.5</v>
      </c>
      <c r="O16" t="s">
        <v>1481</v>
      </c>
    </row>
    <row r="17" spans="1:15" x14ac:dyDescent="0.25">
      <c r="A17" t="s">
        <v>1482</v>
      </c>
      <c r="B17" t="s">
        <v>1483</v>
      </c>
      <c r="C17" t="s">
        <v>1484</v>
      </c>
      <c r="D17" t="s">
        <v>99</v>
      </c>
      <c r="E17" s="2">
        <v>43839</v>
      </c>
      <c r="F17" t="s">
        <v>40</v>
      </c>
      <c r="G17">
        <v>5000000</v>
      </c>
      <c r="H17" s="2">
        <v>44119</v>
      </c>
      <c r="I17">
        <v>2020</v>
      </c>
      <c r="J17">
        <v>23021.692708616501</v>
      </c>
      <c r="K17">
        <v>60695.667291383499</v>
      </c>
      <c r="L17">
        <v>325236.15999999997</v>
      </c>
      <c r="M17">
        <v>0</v>
      </c>
      <c r="N17">
        <v>408953.52</v>
      </c>
      <c r="O17" t="s">
        <v>1485</v>
      </c>
    </row>
    <row r="18" spans="1:15" x14ac:dyDescent="0.25">
      <c r="A18" t="s">
        <v>1486</v>
      </c>
      <c r="B18" t="s">
        <v>1487</v>
      </c>
      <c r="C18" t="s">
        <v>1488</v>
      </c>
      <c r="D18" t="s">
        <v>99</v>
      </c>
      <c r="E18" s="2">
        <v>43859</v>
      </c>
      <c r="F18" t="s">
        <v>8</v>
      </c>
      <c r="G18">
        <v>5000000</v>
      </c>
      <c r="H18" s="2">
        <v>44141</v>
      </c>
      <c r="I18">
        <v>2020</v>
      </c>
      <c r="J18">
        <v>7862.1024691596003</v>
      </c>
      <c r="K18">
        <v>19487.7875308404</v>
      </c>
      <c r="L18">
        <v>99973.07</v>
      </c>
      <c r="M18">
        <v>0</v>
      </c>
      <c r="N18">
        <v>127322.96</v>
      </c>
      <c r="O18" t="s">
        <v>111</v>
      </c>
    </row>
    <row r="19" spans="1:15" x14ac:dyDescent="0.25">
      <c r="A19" t="s">
        <v>1489</v>
      </c>
      <c r="B19" t="s">
        <v>1490</v>
      </c>
      <c r="C19" t="s">
        <v>1491</v>
      </c>
      <c r="D19" t="s">
        <v>99</v>
      </c>
      <c r="E19" s="2">
        <v>43968</v>
      </c>
      <c r="F19" t="s">
        <v>20</v>
      </c>
      <c r="G19">
        <v>1000000</v>
      </c>
      <c r="H19" s="2">
        <v>44171</v>
      </c>
      <c r="I19">
        <v>2020</v>
      </c>
      <c r="J19">
        <v>32263.938021333801</v>
      </c>
      <c r="K19">
        <v>78408.211978666193</v>
      </c>
      <c r="L19">
        <v>483876.28</v>
      </c>
      <c r="M19">
        <v>0</v>
      </c>
      <c r="N19">
        <v>594548.43000000005</v>
      </c>
      <c r="O19" t="s">
        <v>1492</v>
      </c>
    </row>
    <row r="20" spans="1:15" x14ac:dyDescent="0.25">
      <c r="A20" t="s">
        <v>1493</v>
      </c>
      <c r="B20" t="s">
        <v>1494</v>
      </c>
      <c r="C20" t="s">
        <v>1495</v>
      </c>
      <c r="D20" t="s">
        <v>99</v>
      </c>
      <c r="E20" s="2">
        <v>43895</v>
      </c>
      <c r="F20" t="s">
        <v>44</v>
      </c>
      <c r="G20">
        <v>3000000</v>
      </c>
      <c r="H20" s="2">
        <v>44146</v>
      </c>
      <c r="I20">
        <v>2020</v>
      </c>
      <c r="J20">
        <v>4207.8269089932101</v>
      </c>
      <c r="K20">
        <v>16643.963091006801</v>
      </c>
      <c r="L20">
        <v>197922.84</v>
      </c>
      <c r="M20">
        <v>0</v>
      </c>
      <c r="N20">
        <v>218774.63</v>
      </c>
      <c r="O20" t="s">
        <v>159</v>
      </c>
    </row>
    <row r="21" spans="1:15" x14ac:dyDescent="0.25">
      <c r="A21" t="s">
        <v>1496</v>
      </c>
      <c r="B21" t="s">
        <v>1497</v>
      </c>
      <c r="C21" t="s">
        <v>1498</v>
      </c>
      <c r="D21" t="s">
        <v>99</v>
      </c>
      <c r="E21" s="2">
        <v>43867</v>
      </c>
      <c r="F21" t="s">
        <v>29</v>
      </c>
      <c r="G21">
        <v>5000000</v>
      </c>
      <c r="H21" s="2">
        <v>44179</v>
      </c>
      <c r="I21">
        <v>2020</v>
      </c>
      <c r="J21">
        <v>10555.097759833199</v>
      </c>
      <c r="K21">
        <v>30111.302240166799</v>
      </c>
      <c r="L21">
        <v>284580.90999999997</v>
      </c>
      <c r="M21">
        <v>0</v>
      </c>
      <c r="N21">
        <v>325247.31</v>
      </c>
      <c r="O21" t="s">
        <v>1499</v>
      </c>
    </row>
    <row r="22" spans="1:15" x14ac:dyDescent="0.25">
      <c r="A22" t="s">
        <v>1500</v>
      </c>
      <c r="B22" t="s">
        <v>1501</v>
      </c>
      <c r="C22" t="s">
        <v>1502</v>
      </c>
      <c r="D22" t="s">
        <v>99</v>
      </c>
      <c r="E22" s="2">
        <v>44092</v>
      </c>
      <c r="F22" t="s">
        <v>51</v>
      </c>
      <c r="G22">
        <v>5000000</v>
      </c>
      <c r="H22" s="2">
        <v>44147</v>
      </c>
      <c r="I22">
        <v>2020</v>
      </c>
      <c r="J22">
        <v>2579.41568215083</v>
      </c>
      <c r="K22">
        <v>7300.0043178491696</v>
      </c>
      <c r="L22">
        <v>57430.55</v>
      </c>
      <c r="M22">
        <v>0</v>
      </c>
      <c r="N22">
        <v>67309.97</v>
      </c>
      <c r="O22" t="s">
        <v>126</v>
      </c>
    </row>
    <row r="23" spans="1:15" x14ac:dyDescent="0.25">
      <c r="A23" t="s">
        <v>1503</v>
      </c>
      <c r="B23" t="s">
        <v>1504</v>
      </c>
      <c r="C23" t="s">
        <v>1505</v>
      </c>
      <c r="D23" t="s">
        <v>99</v>
      </c>
      <c r="E23" s="2">
        <v>43928</v>
      </c>
      <c r="F23" t="s">
        <v>16</v>
      </c>
      <c r="G23">
        <v>2000000</v>
      </c>
      <c r="H23" s="2">
        <v>44218</v>
      </c>
      <c r="I23">
        <v>2021</v>
      </c>
      <c r="J23">
        <v>4025.4375255599398</v>
      </c>
      <c r="K23">
        <v>10041.472474440099</v>
      </c>
      <c r="L23">
        <v>111982.28</v>
      </c>
      <c r="M23">
        <v>0</v>
      </c>
      <c r="N23">
        <v>126049.19</v>
      </c>
      <c r="O23" t="s">
        <v>1506</v>
      </c>
    </row>
    <row r="24" spans="1:15" x14ac:dyDescent="0.25">
      <c r="A24" t="s">
        <v>1507</v>
      </c>
      <c r="B24" t="s">
        <v>1508</v>
      </c>
      <c r="C24" t="s">
        <v>1509</v>
      </c>
      <c r="D24" t="s">
        <v>99</v>
      </c>
      <c r="E24" s="2">
        <v>43995</v>
      </c>
      <c r="F24" t="s">
        <v>11</v>
      </c>
      <c r="G24">
        <v>2000000</v>
      </c>
      <c r="H24" s="2">
        <v>44126</v>
      </c>
      <c r="I24">
        <v>2020</v>
      </c>
      <c r="J24">
        <v>4837.5380777617702</v>
      </c>
      <c r="K24">
        <v>17564.211922238199</v>
      </c>
      <c r="L24">
        <v>77300.960000000006</v>
      </c>
      <c r="M24">
        <v>0</v>
      </c>
      <c r="N24">
        <v>99702.71</v>
      </c>
      <c r="O24" t="s">
        <v>1460</v>
      </c>
    </row>
    <row r="25" spans="1:15" x14ac:dyDescent="0.25">
      <c r="A25" t="s">
        <v>1510</v>
      </c>
      <c r="B25" t="s">
        <v>1511</v>
      </c>
      <c r="C25" t="s">
        <v>1512</v>
      </c>
      <c r="D25" t="s">
        <v>99</v>
      </c>
      <c r="E25" s="2">
        <v>44037</v>
      </c>
      <c r="F25" t="s">
        <v>30</v>
      </c>
      <c r="G25">
        <v>1000000</v>
      </c>
      <c r="H25" s="2">
        <v>44199</v>
      </c>
      <c r="I25">
        <v>2021</v>
      </c>
      <c r="J25">
        <v>4911.7119409656698</v>
      </c>
      <c r="K25">
        <v>12926.0780590343</v>
      </c>
      <c r="L25">
        <v>67689.98</v>
      </c>
      <c r="M25">
        <v>0</v>
      </c>
      <c r="N25">
        <v>85527.77</v>
      </c>
      <c r="O25" t="s">
        <v>1513</v>
      </c>
    </row>
    <row r="26" spans="1:15" x14ac:dyDescent="0.25">
      <c r="A26" t="s">
        <v>1514</v>
      </c>
      <c r="B26" t="s">
        <v>1515</v>
      </c>
      <c r="C26" t="s">
        <v>1516</v>
      </c>
      <c r="D26" t="s">
        <v>99</v>
      </c>
      <c r="E26" s="2">
        <v>43973</v>
      </c>
      <c r="F26" t="s">
        <v>49</v>
      </c>
      <c r="G26">
        <v>1000000</v>
      </c>
      <c r="H26" s="2">
        <v>44074</v>
      </c>
      <c r="I26">
        <v>2020</v>
      </c>
      <c r="J26">
        <v>5982.5157832307996</v>
      </c>
      <c r="K26">
        <v>14830.824216769201</v>
      </c>
      <c r="L26">
        <v>70365.710000000006</v>
      </c>
      <c r="M26">
        <v>0</v>
      </c>
      <c r="N26">
        <v>91179.05</v>
      </c>
      <c r="O26" t="s">
        <v>1452</v>
      </c>
    </row>
    <row r="27" spans="1:15" x14ac:dyDescent="0.25">
      <c r="A27" t="s">
        <v>1517</v>
      </c>
      <c r="B27" t="s">
        <v>1518</v>
      </c>
      <c r="C27" t="s">
        <v>1519</v>
      </c>
      <c r="D27" t="s">
        <v>99</v>
      </c>
      <c r="E27" s="2">
        <v>43894</v>
      </c>
      <c r="F27" t="s">
        <v>44</v>
      </c>
      <c r="G27">
        <v>1000000</v>
      </c>
      <c r="H27" s="2">
        <v>44119</v>
      </c>
      <c r="I27">
        <v>2020</v>
      </c>
      <c r="J27">
        <v>20325.400929724801</v>
      </c>
      <c r="K27">
        <v>80411.429070275204</v>
      </c>
      <c r="L27">
        <v>583553.53</v>
      </c>
      <c r="M27">
        <v>0</v>
      </c>
      <c r="N27">
        <v>684290.36</v>
      </c>
      <c r="O27" t="s">
        <v>119</v>
      </c>
    </row>
    <row r="28" spans="1:15" x14ac:dyDescent="0.25">
      <c r="A28" t="s">
        <v>1520</v>
      </c>
      <c r="B28" t="s">
        <v>1521</v>
      </c>
      <c r="C28" t="s">
        <v>1522</v>
      </c>
      <c r="D28" t="s">
        <v>99</v>
      </c>
      <c r="E28" s="2">
        <v>43995</v>
      </c>
      <c r="F28" t="s">
        <v>54</v>
      </c>
      <c r="G28">
        <v>1000000</v>
      </c>
      <c r="H28" s="2">
        <v>44277</v>
      </c>
      <c r="I28">
        <v>2021</v>
      </c>
      <c r="J28">
        <v>5566.0646373315503</v>
      </c>
      <c r="K28">
        <v>17733.795362668399</v>
      </c>
      <c r="L28">
        <v>132056.92000000001</v>
      </c>
      <c r="M28">
        <v>0</v>
      </c>
      <c r="N28">
        <v>155356.78</v>
      </c>
      <c r="O28" t="s">
        <v>1477</v>
      </c>
    </row>
    <row r="29" spans="1:15" x14ac:dyDescent="0.25">
      <c r="A29" t="s">
        <v>1523</v>
      </c>
      <c r="B29" t="s">
        <v>1524</v>
      </c>
      <c r="C29" t="s">
        <v>1525</v>
      </c>
      <c r="D29" t="s">
        <v>99</v>
      </c>
      <c r="E29" s="2">
        <v>44100</v>
      </c>
      <c r="F29" t="s">
        <v>54</v>
      </c>
      <c r="G29">
        <v>1000000</v>
      </c>
      <c r="H29" s="2">
        <v>44250</v>
      </c>
      <c r="I29">
        <v>2021</v>
      </c>
      <c r="J29">
        <v>1773.5083240972399</v>
      </c>
      <c r="K29">
        <v>6181.5016759027603</v>
      </c>
      <c r="L29">
        <v>75486.92</v>
      </c>
      <c r="M29">
        <v>0</v>
      </c>
      <c r="N29">
        <v>83441.929999999993</v>
      </c>
      <c r="O29" t="s">
        <v>1452</v>
      </c>
    </row>
    <row r="30" spans="1:15" x14ac:dyDescent="0.25">
      <c r="A30" t="s">
        <v>1526</v>
      </c>
      <c r="B30" t="s">
        <v>1527</v>
      </c>
      <c r="C30" t="s">
        <v>1528</v>
      </c>
      <c r="D30" t="s">
        <v>99</v>
      </c>
      <c r="E30" s="2">
        <v>44021</v>
      </c>
      <c r="F30" t="s">
        <v>11</v>
      </c>
      <c r="G30">
        <v>1000000</v>
      </c>
      <c r="H30" s="2">
        <v>44292</v>
      </c>
      <c r="I30">
        <v>2021</v>
      </c>
      <c r="J30">
        <v>11652.798272259701</v>
      </c>
      <c r="K30">
        <v>36751.9917277403</v>
      </c>
      <c r="L30">
        <v>278805.21999999997</v>
      </c>
      <c r="M30">
        <v>0</v>
      </c>
      <c r="N30">
        <v>327210.01</v>
      </c>
      <c r="O30" t="s">
        <v>1499</v>
      </c>
    </row>
    <row r="31" spans="1:15" x14ac:dyDescent="0.25">
      <c r="A31" t="s">
        <v>1529</v>
      </c>
      <c r="B31" t="s">
        <v>1530</v>
      </c>
      <c r="C31" t="s">
        <v>1531</v>
      </c>
      <c r="D31" t="s">
        <v>99</v>
      </c>
      <c r="E31" s="2">
        <v>43895</v>
      </c>
      <c r="F31" t="s">
        <v>12</v>
      </c>
      <c r="G31">
        <v>10000000</v>
      </c>
      <c r="H31" s="2">
        <v>44209</v>
      </c>
      <c r="I31">
        <v>2021</v>
      </c>
      <c r="J31">
        <v>8106.43950635901</v>
      </c>
      <c r="K31">
        <v>28731.020493641001</v>
      </c>
      <c r="L31">
        <v>342150.76</v>
      </c>
      <c r="M31">
        <v>0</v>
      </c>
      <c r="N31">
        <v>378988.22</v>
      </c>
      <c r="O31" t="s">
        <v>1485</v>
      </c>
    </row>
    <row r="32" spans="1:15" x14ac:dyDescent="0.25">
      <c r="A32" t="s">
        <v>1532</v>
      </c>
      <c r="B32" t="s">
        <v>1533</v>
      </c>
      <c r="C32" t="s">
        <v>1534</v>
      </c>
      <c r="D32" t="s">
        <v>99</v>
      </c>
      <c r="E32" s="2">
        <v>44240</v>
      </c>
      <c r="F32" t="s">
        <v>54</v>
      </c>
      <c r="G32">
        <v>1000000</v>
      </c>
      <c r="H32" s="2">
        <v>44299</v>
      </c>
      <c r="I32">
        <v>2021</v>
      </c>
      <c r="J32">
        <v>5139.8173691376396</v>
      </c>
      <c r="K32">
        <v>13888.0726308624</v>
      </c>
      <c r="L32">
        <v>80672.95</v>
      </c>
      <c r="M32">
        <v>0</v>
      </c>
      <c r="N32">
        <v>99700.84</v>
      </c>
      <c r="O32" t="s">
        <v>1460</v>
      </c>
    </row>
    <row r="33" spans="1:15" x14ac:dyDescent="0.25">
      <c r="A33" t="s">
        <v>1535</v>
      </c>
      <c r="B33" t="s">
        <v>1536</v>
      </c>
      <c r="C33" t="s">
        <v>1537</v>
      </c>
      <c r="D33" t="s">
        <v>99</v>
      </c>
      <c r="E33" s="2">
        <v>44237</v>
      </c>
      <c r="F33" t="s">
        <v>21</v>
      </c>
      <c r="G33">
        <v>1000000</v>
      </c>
      <c r="H33" s="2">
        <v>44275</v>
      </c>
      <c r="I33">
        <v>2021</v>
      </c>
      <c r="J33">
        <v>10278.6755667298</v>
      </c>
      <c r="K33">
        <v>37598.254433270202</v>
      </c>
      <c r="L33">
        <v>209466.17</v>
      </c>
      <c r="M33">
        <v>0</v>
      </c>
      <c r="N33">
        <v>257343.1</v>
      </c>
      <c r="O33" t="s">
        <v>159</v>
      </c>
    </row>
    <row r="34" spans="1:15" x14ac:dyDescent="0.25">
      <c r="A34" t="s">
        <v>1538</v>
      </c>
      <c r="B34" t="s">
        <v>1539</v>
      </c>
      <c r="C34" t="s">
        <v>1540</v>
      </c>
      <c r="D34" t="s">
        <v>99</v>
      </c>
      <c r="E34" s="2">
        <v>44202</v>
      </c>
      <c r="F34" t="s">
        <v>41</v>
      </c>
      <c r="G34">
        <v>4000000</v>
      </c>
      <c r="H34" s="2">
        <v>44326</v>
      </c>
      <c r="I34">
        <v>2021</v>
      </c>
      <c r="J34">
        <v>4974.1977473721699</v>
      </c>
      <c r="K34">
        <v>14906.3222526278</v>
      </c>
      <c r="L34">
        <v>107347.44</v>
      </c>
      <c r="M34">
        <v>0</v>
      </c>
      <c r="N34">
        <v>127227.96</v>
      </c>
      <c r="O34" t="s">
        <v>111</v>
      </c>
    </row>
    <row r="35" spans="1:15" x14ac:dyDescent="0.25">
      <c r="A35" t="s">
        <v>1541</v>
      </c>
      <c r="B35" t="s">
        <v>1542</v>
      </c>
      <c r="C35" t="s">
        <v>1543</v>
      </c>
      <c r="D35" t="s">
        <v>99</v>
      </c>
      <c r="E35" s="2">
        <v>44274</v>
      </c>
      <c r="F35" t="s">
        <v>17</v>
      </c>
      <c r="G35">
        <v>4000000</v>
      </c>
      <c r="H35" s="2">
        <v>44330</v>
      </c>
      <c r="I35">
        <v>2021</v>
      </c>
      <c r="J35">
        <v>7623.5479342513199</v>
      </c>
      <c r="K35">
        <v>23344.0920657487</v>
      </c>
      <c r="L35">
        <v>176998.36</v>
      </c>
      <c r="M35">
        <v>0</v>
      </c>
      <c r="N35">
        <v>207966</v>
      </c>
      <c r="O35" t="s">
        <v>163</v>
      </c>
    </row>
    <row r="36" spans="1:15" x14ac:dyDescent="0.25">
      <c r="A36" t="s">
        <v>1544</v>
      </c>
      <c r="B36" t="s">
        <v>1545</v>
      </c>
      <c r="C36" t="s">
        <v>1546</v>
      </c>
      <c r="D36" t="s">
        <v>99</v>
      </c>
      <c r="E36" s="2">
        <v>43965</v>
      </c>
      <c r="F36" t="s">
        <v>12</v>
      </c>
      <c r="G36">
        <v>2000000</v>
      </c>
      <c r="H36" s="2">
        <v>44307</v>
      </c>
      <c r="I36">
        <v>2021</v>
      </c>
      <c r="J36">
        <v>3470.8635250607199</v>
      </c>
      <c r="K36">
        <v>10149.606474939301</v>
      </c>
      <c r="L36">
        <v>50422.97</v>
      </c>
      <c r="M36">
        <v>0</v>
      </c>
      <c r="N36">
        <v>64043.44</v>
      </c>
      <c r="O36" t="s">
        <v>1547</v>
      </c>
    </row>
    <row r="37" spans="1:15" x14ac:dyDescent="0.25">
      <c r="A37" t="s">
        <v>1548</v>
      </c>
      <c r="B37" t="s">
        <v>1549</v>
      </c>
      <c r="C37" t="s">
        <v>1550</v>
      </c>
      <c r="D37" t="s">
        <v>99</v>
      </c>
      <c r="E37" s="2">
        <v>43959</v>
      </c>
      <c r="F37" t="s">
        <v>40</v>
      </c>
      <c r="G37">
        <v>1000000</v>
      </c>
      <c r="H37" s="2">
        <v>44277</v>
      </c>
      <c r="I37">
        <v>2021</v>
      </c>
      <c r="J37">
        <v>9032.5537458526906</v>
      </c>
      <c r="K37">
        <v>26511.756254147302</v>
      </c>
      <c r="L37">
        <v>130058.22</v>
      </c>
      <c r="M37">
        <v>0</v>
      </c>
      <c r="N37">
        <v>165602.53</v>
      </c>
      <c r="O37" t="s">
        <v>1464</v>
      </c>
    </row>
    <row r="38" spans="1:15" x14ac:dyDescent="0.25">
      <c r="A38" t="s">
        <v>1551</v>
      </c>
      <c r="B38" t="s">
        <v>1552</v>
      </c>
      <c r="C38" t="s">
        <v>1553</v>
      </c>
      <c r="D38" t="s">
        <v>99</v>
      </c>
      <c r="E38" s="2">
        <v>44268</v>
      </c>
      <c r="F38" t="s">
        <v>29</v>
      </c>
      <c r="G38">
        <v>1000000</v>
      </c>
      <c r="H38" s="2">
        <v>44332</v>
      </c>
      <c r="I38">
        <v>2021</v>
      </c>
      <c r="J38">
        <v>7694.8950235521497</v>
      </c>
      <c r="K38">
        <v>21594.504976447799</v>
      </c>
      <c r="L38">
        <v>106910.29</v>
      </c>
      <c r="M38">
        <v>0</v>
      </c>
      <c r="N38">
        <v>136199.69</v>
      </c>
      <c r="O38" t="s">
        <v>111</v>
      </c>
    </row>
    <row r="39" spans="1:15" x14ac:dyDescent="0.25">
      <c r="A39" t="s">
        <v>1554</v>
      </c>
      <c r="B39" t="s">
        <v>1555</v>
      </c>
      <c r="C39" t="s">
        <v>1556</v>
      </c>
      <c r="D39" t="s">
        <v>99</v>
      </c>
      <c r="E39" s="2">
        <v>44206</v>
      </c>
      <c r="F39" t="s">
        <v>53</v>
      </c>
      <c r="G39">
        <v>1000000</v>
      </c>
      <c r="H39" s="2">
        <v>44274</v>
      </c>
      <c r="I39">
        <v>2021</v>
      </c>
      <c r="J39">
        <v>2905.21271217394</v>
      </c>
      <c r="K39">
        <v>11015.3372878261</v>
      </c>
      <c r="L39">
        <v>97269.62</v>
      </c>
      <c r="M39">
        <v>0</v>
      </c>
      <c r="N39">
        <v>111190.17</v>
      </c>
      <c r="O39" t="s">
        <v>1481</v>
      </c>
    </row>
    <row r="40" spans="1:15" x14ac:dyDescent="0.25">
      <c r="A40" t="s">
        <v>1557</v>
      </c>
      <c r="B40" t="s">
        <v>1558</v>
      </c>
      <c r="C40" t="s">
        <v>1559</v>
      </c>
      <c r="D40" t="s">
        <v>99</v>
      </c>
      <c r="E40" s="2">
        <v>44324</v>
      </c>
      <c r="F40" t="s">
        <v>11</v>
      </c>
      <c r="G40">
        <v>2000000</v>
      </c>
      <c r="H40" s="2">
        <v>44340</v>
      </c>
      <c r="I40">
        <v>2021</v>
      </c>
      <c r="J40">
        <v>3455.5885272987798</v>
      </c>
      <c r="K40">
        <v>13636.121472701199</v>
      </c>
      <c r="L40">
        <v>134243.22</v>
      </c>
      <c r="M40">
        <v>0</v>
      </c>
      <c r="N40">
        <v>151334.93</v>
      </c>
      <c r="O40" t="s">
        <v>1477</v>
      </c>
    </row>
    <row r="41" spans="1:15" x14ac:dyDescent="0.25">
      <c r="A41" t="s">
        <v>1560</v>
      </c>
      <c r="B41" t="s">
        <v>1561</v>
      </c>
      <c r="C41" t="s">
        <v>1562</v>
      </c>
      <c r="D41" t="s">
        <v>99</v>
      </c>
      <c r="E41" s="2">
        <v>44346</v>
      </c>
      <c r="F41" t="s">
        <v>11</v>
      </c>
      <c r="G41">
        <v>1000000</v>
      </c>
      <c r="H41" s="2">
        <v>44355</v>
      </c>
      <c r="I41">
        <v>2021</v>
      </c>
      <c r="J41">
        <v>6477.6280175499496</v>
      </c>
      <c r="K41">
        <v>17708.181982450002</v>
      </c>
      <c r="L41">
        <v>147125.5</v>
      </c>
      <c r="M41">
        <v>0</v>
      </c>
      <c r="N41">
        <v>171311.31</v>
      </c>
      <c r="O41" t="s">
        <v>1563</v>
      </c>
    </row>
    <row r="42" spans="1:15" x14ac:dyDescent="0.25">
      <c r="A42" t="s">
        <v>1564</v>
      </c>
      <c r="B42" t="s">
        <v>1565</v>
      </c>
      <c r="C42" t="s">
        <v>1566</v>
      </c>
      <c r="D42" t="s">
        <v>99</v>
      </c>
      <c r="E42" s="2">
        <v>44197</v>
      </c>
      <c r="F42" t="s">
        <v>40</v>
      </c>
      <c r="G42">
        <v>4000000</v>
      </c>
      <c r="H42" s="2">
        <v>44358</v>
      </c>
      <c r="I42">
        <v>2021</v>
      </c>
      <c r="J42">
        <v>5017.7058512753601</v>
      </c>
      <c r="K42">
        <v>14099.3641487246</v>
      </c>
      <c r="L42">
        <v>121855.13</v>
      </c>
      <c r="M42">
        <v>0</v>
      </c>
      <c r="N42">
        <v>140972.20000000001</v>
      </c>
      <c r="O42" t="s">
        <v>1464</v>
      </c>
    </row>
    <row r="43" spans="1:15" x14ac:dyDescent="0.25">
      <c r="A43" t="s">
        <v>1567</v>
      </c>
      <c r="B43" t="s">
        <v>1568</v>
      </c>
      <c r="C43" t="s">
        <v>1569</v>
      </c>
      <c r="D43" t="s">
        <v>99</v>
      </c>
      <c r="E43" s="2">
        <v>44336</v>
      </c>
      <c r="F43" t="s">
        <v>11</v>
      </c>
      <c r="G43">
        <v>1000000</v>
      </c>
      <c r="H43" s="2">
        <v>44413</v>
      </c>
      <c r="I43">
        <v>2021</v>
      </c>
      <c r="J43">
        <v>3130.40775403207</v>
      </c>
      <c r="K43">
        <v>8321.4722459679306</v>
      </c>
      <c r="L43">
        <v>64739.25</v>
      </c>
      <c r="M43">
        <v>0</v>
      </c>
      <c r="N43">
        <v>76191.13</v>
      </c>
      <c r="O43" t="s">
        <v>1513</v>
      </c>
    </row>
    <row r="44" spans="1:15" x14ac:dyDescent="0.25">
      <c r="A44" t="s">
        <v>1570</v>
      </c>
      <c r="B44" t="s">
        <v>1571</v>
      </c>
      <c r="C44" t="s">
        <v>1572</v>
      </c>
      <c r="D44" t="s">
        <v>99</v>
      </c>
      <c r="E44" s="2">
        <v>44109</v>
      </c>
      <c r="F44" t="s">
        <v>55</v>
      </c>
      <c r="G44">
        <v>1000000</v>
      </c>
      <c r="H44" s="2">
        <v>44276</v>
      </c>
      <c r="I44">
        <v>2021</v>
      </c>
      <c r="J44">
        <v>3062.9409046114702</v>
      </c>
      <c r="K44">
        <v>9148.1390953885293</v>
      </c>
      <c r="L44">
        <v>88775.12</v>
      </c>
      <c r="M44">
        <v>0</v>
      </c>
      <c r="N44">
        <v>100986.2</v>
      </c>
      <c r="O44" t="s">
        <v>1481</v>
      </c>
    </row>
    <row r="45" spans="1:15" x14ac:dyDescent="0.25">
      <c r="A45" t="s">
        <v>1573</v>
      </c>
      <c r="B45" t="s">
        <v>1574</v>
      </c>
      <c r="C45" t="s">
        <v>1575</v>
      </c>
      <c r="D45" t="s">
        <v>99</v>
      </c>
      <c r="E45" s="2">
        <v>44195</v>
      </c>
      <c r="F45" t="s">
        <v>16</v>
      </c>
      <c r="G45">
        <v>1000000</v>
      </c>
      <c r="H45" s="2">
        <v>44336</v>
      </c>
      <c r="I45">
        <v>2021</v>
      </c>
      <c r="J45">
        <v>2469.3451484442999</v>
      </c>
      <c r="K45">
        <v>6785.4648515557001</v>
      </c>
      <c r="L45">
        <v>53379.71</v>
      </c>
      <c r="M45">
        <v>0</v>
      </c>
      <c r="N45">
        <v>62634.52</v>
      </c>
      <c r="O45" t="s">
        <v>1547</v>
      </c>
    </row>
    <row r="46" spans="1:15" x14ac:dyDescent="0.25">
      <c r="A46" t="s">
        <v>1576</v>
      </c>
      <c r="B46" t="s">
        <v>1577</v>
      </c>
      <c r="C46" t="s">
        <v>1578</v>
      </c>
      <c r="D46" t="s">
        <v>99</v>
      </c>
      <c r="E46" s="2">
        <v>44413</v>
      </c>
      <c r="F46" t="s">
        <v>33</v>
      </c>
      <c r="G46">
        <v>3000000</v>
      </c>
      <c r="H46" s="2">
        <v>44417</v>
      </c>
      <c r="I46">
        <v>2021</v>
      </c>
      <c r="J46">
        <v>8090.20884209835</v>
      </c>
      <c r="K46">
        <v>22739.761157901699</v>
      </c>
      <c r="L46">
        <v>128335.87</v>
      </c>
      <c r="M46">
        <v>0</v>
      </c>
      <c r="N46">
        <v>159165.84</v>
      </c>
      <c r="O46" t="s">
        <v>1464</v>
      </c>
    </row>
    <row r="47" spans="1:15" x14ac:dyDescent="0.25">
      <c r="A47" t="s">
        <v>1579</v>
      </c>
      <c r="B47" t="s">
        <v>1580</v>
      </c>
      <c r="C47" t="s">
        <v>1581</v>
      </c>
      <c r="D47" t="s">
        <v>99</v>
      </c>
      <c r="E47" s="2">
        <v>44110</v>
      </c>
      <c r="F47" t="s">
        <v>49</v>
      </c>
      <c r="G47">
        <v>1000000</v>
      </c>
      <c r="H47" s="2">
        <v>44429</v>
      </c>
      <c r="I47">
        <v>2021</v>
      </c>
      <c r="J47">
        <v>3108.9507401420101</v>
      </c>
      <c r="K47">
        <v>12105.539259858</v>
      </c>
      <c r="L47">
        <v>51738.66</v>
      </c>
      <c r="M47">
        <v>0</v>
      </c>
      <c r="N47">
        <v>66953.149999999994</v>
      </c>
      <c r="O47" t="s">
        <v>1547</v>
      </c>
    </row>
    <row r="48" spans="1:15" x14ac:dyDescent="0.25">
      <c r="A48" t="s">
        <v>1582</v>
      </c>
      <c r="B48" t="s">
        <v>1583</v>
      </c>
      <c r="C48" t="s">
        <v>1584</v>
      </c>
      <c r="D48" t="s">
        <v>99</v>
      </c>
      <c r="E48" s="2">
        <v>44349</v>
      </c>
      <c r="F48" t="s">
        <v>49</v>
      </c>
      <c r="G48">
        <v>1000000</v>
      </c>
      <c r="H48" s="2">
        <v>44402</v>
      </c>
      <c r="I48">
        <v>2021</v>
      </c>
      <c r="J48">
        <v>6680.4170655739399</v>
      </c>
      <c r="K48">
        <v>26552.872934426101</v>
      </c>
      <c r="L48">
        <v>159162.63</v>
      </c>
      <c r="M48">
        <v>0</v>
      </c>
      <c r="N48">
        <v>192395.92</v>
      </c>
      <c r="O48" t="s">
        <v>1563</v>
      </c>
    </row>
    <row r="49" spans="1:15" x14ac:dyDescent="0.25">
      <c r="A49" t="s">
        <v>1585</v>
      </c>
      <c r="B49" t="s">
        <v>1586</v>
      </c>
      <c r="C49" t="s">
        <v>1587</v>
      </c>
      <c r="D49" t="s">
        <v>99</v>
      </c>
      <c r="E49" s="2">
        <v>44005</v>
      </c>
      <c r="F49" t="s">
        <v>29</v>
      </c>
      <c r="G49">
        <v>10000000</v>
      </c>
      <c r="H49" s="2">
        <v>44364</v>
      </c>
      <c r="I49">
        <v>2021</v>
      </c>
      <c r="J49">
        <v>7993.23486396308</v>
      </c>
      <c r="K49">
        <v>19797.2751360369</v>
      </c>
      <c r="L49">
        <v>254785.03</v>
      </c>
      <c r="M49">
        <v>0</v>
      </c>
      <c r="N49">
        <v>282575.53999999998</v>
      </c>
      <c r="O49" t="s">
        <v>1499</v>
      </c>
    </row>
    <row r="50" spans="1:15" x14ac:dyDescent="0.25">
      <c r="A50" t="s">
        <v>1588</v>
      </c>
      <c r="B50" t="s">
        <v>1589</v>
      </c>
      <c r="C50" t="s">
        <v>1590</v>
      </c>
      <c r="D50" t="s">
        <v>99</v>
      </c>
      <c r="E50" s="2">
        <v>44280</v>
      </c>
      <c r="F50" t="s">
        <v>49</v>
      </c>
      <c r="G50">
        <v>10000000</v>
      </c>
      <c r="H50" s="2">
        <v>44397</v>
      </c>
      <c r="I50">
        <v>2021</v>
      </c>
      <c r="J50">
        <v>12199.450265128</v>
      </c>
      <c r="K50">
        <v>30054.199734872</v>
      </c>
      <c r="L50">
        <v>215901.57</v>
      </c>
      <c r="M50">
        <v>0</v>
      </c>
      <c r="N50">
        <v>258155.22</v>
      </c>
      <c r="O50" t="s">
        <v>159</v>
      </c>
    </row>
    <row r="51" spans="1:15" x14ac:dyDescent="0.25">
      <c r="A51" t="s">
        <v>1591</v>
      </c>
      <c r="B51" t="s">
        <v>1592</v>
      </c>
      <c r="C51" t="s">
        <v>1593</v>
      </c>
      <c r="D51" t="s">
        <v>99</v>
      </c>
      <c r="E51" s="2">
        <v>44101</v>
      </c>
      <c r="F51" t="s">
        <v>37</v>
      </c>
      <c r="G51">
        <v>1000000</v>
      </c>
      <c r="H51" s="2">
        <v>44459</v>
      </c>
      <c r="I51">
        <v>2021</v>
      </c>
      <c r="J51">
        <v>2595.8335554834798</v>
      </c>
      <c r="K51">
        <v>10006.0364445165</v>
      </c>
      <c r="L51">
        <v>74007.37</v>
      </c>
      <c r="M51">
        <v>0</v>
      </c>
      <c r="N51">
        <v>86609.24</v>
      </c>
      <c r="O51" t="s">
        <v>1452</v>
      </c>
    </row>
    <row r="52" spans="1:15" x14ac:dyDescent="0.25">
      <c r="A52" t="s">
        <v>1594</v>
      </c>
      <c r="B52" t="s">
        <v>1595</v>
      </c>
      <c r="C52" t="s">
        <v>1596</v>
      </c>
      <c r="D52" t="s">
        <v>99</v>
      </c>
      <c r="E52" s="2">
        <v>43857</v>
      </c>
      <c r="F52" t="s">
        <v>40</v>
      </c>
      <c r="G52">
        <v>1000000</v>
      </c>
      <c r="H52" s="2">
        <v>43989</v>
      </c>
      <c r="I52">
        <v>2020</v>
      </c>
      <c r="J52">
        <v>7690.3693768902804</v>
      </c>
      <c r="K52">
        <v>20109.0906231097</v>
      </c>
      <c r="L52">
        <v>180063.17</v>
      </c>
      <c r="M52">
        <v>0</v>
      </c>
      <c r="N52">
        <v>207862.63</v>
      </c>
      <c r="O52" t="s">
        <v>163</v>
      </c>
    </row>
    <row r="53" spans="1:15" x14ac:dyDescent="0.25">
      <c r="A53" t="s">
        <v>1597</v>
      </c>
      <c r="B53" t="s">
        <v>1598</v>
      </c>
      <c r="C53" t="s">
        <v>1599</v>
      </c>
      <c r="D53" t="s">
        <v>99</v>
      </c>
      <c r="E53" s="2">
        <v>44246</v>
      </c>
      <c r="F53" t="s">
        <v>40</v>
      </c>
      <c r="G53">
        <v>1000000</v>
      </c>
      <c r="H53" s="2">
        <v>44446</v>
      </c>
      <c r="I53">
        <v>2021</v>
      </c>
      <c r="J53">
        <v>4874.5759601578302</v>
      </c>
      <c r="K53">
        <v>12428.944039842199</v>
      </c>
      <c r="L53">
        <v>68300.800000000003</v>
      </c>
      <c r="M53">
        <v>0</v>
      </c>
      <c r="N53">
        <v>85604.32</v>
      </c>
      <c r="O53" t="s">
        <v>1513</v>
      </c>
    </row>
    <row r="54" spans="1:15" x14ac:dyDescent="0.25">
      <c r="A54" t="s">
        <v>1600</v>
      </c>
      <c r="B54" t="s">
        <v>1601</v>
      </c>
      <c r="C54" t="s">
        <v>1602</v>
      </c>
      <c r="D54" t="s">
        <v>99</v>
      </c>
      <c r="E54" s="2">
        <v>44231</v>
      </c>
      <c r="F54" t="s">
        <v>51</v>
      </c>
      <c r="G54">
        <v>1000000</v>
      </c>
      <c r="H54" s="2">
        <v>44327</v>
      </c>
      <c r="I54">
        <v>2021</v>
      </c>
      <c r="J54">
        <v>10245.160485041601</v>
      </c>
      <c r="K54">
        <v>33700.129514958397</v>
      </c>
      <c r="L54">
        <v>237835.98</v>
      </c>
      <c r="M54">
        <v>0</v>
      </c>
      <c r="N54">
        <v>281781.27</v>
      </c>
      <c r="O54" t="s">
        <v>186</v>
      </c>
    </row>
    <row r="55" spans="1:15" x14ac:dyDescent="0.25">
      <c r="A55" t="s">
        <v>1603</v>
      </c>
      <c r="B55" t="s">
        <v>1604</v>
      </c>
      <c r="C55" t="s">
        <v>1605</v>
      </c>
      <c r="D55" t="s">
        <v>99</v>
      </c>
      <c r="E55" s="2">
        <v>44303</v>
      </c>
      <c r="F55" t="s">
        <v>49</v>
      </c>
      <c r="G55">
        <v>2000000</v>
      </c>
      <c r="H55" s="2">
        <v>44463</v>
      </c>
      <c r="I55">
        <v>2021</v>
      </c>
      <c r="J55">
        <v>6046.3128990637097</v>
      </c>
      <c r="K55">
        <v>18479.207100936299</v>
      </c>
      <c r="L55">
        <v>83600.09</v>
      </c>
      <c r="M55">
        <v>0</v>
      </c>
      <c r="N55">
        <v>108125.61</v>
      </c>
      <c r="O55" t="s">
        <v>1456</v>
      </c>
    </row>
    <row r="56" spans="1:15" x14ac:dyDescent="0.25">
      <c r="A56" t="s">
        <v>1606</v>
      </c>
      <c r="B56" t="s">
        <v>1607</v>
      </c>
      <c r="C56" t="s">
        <v>1608</v>
      </c>
      <c r="D56" t="s">
        <v>474</v>
      </c>
      <c r="E56" s="2">
        <v>44278</v>
      </c>
      <c r="F56" t="s">
        <v>11</v>
      </c>
      <c r="G56">
        <v>1000000</v>
      </c>
      <c r="H56" s="2">
        <v>44448</v>
      </c>
      <c r="I56">
        <v>2021</v>
      </c>
      <c r="J56">
        <v>2448.1736259811701</v>
      </c>
      <c r="K56">
        <v>9479.0763740188304</v>
      </c>
      <c r="L56">
        <v>45688.22</v>
      </c>
      <c r="M56">
        <v>16717.46</v>
      </c>
      <c r="N56">
        <v>74332.929999999993</v>
      </c>
      <c r="O56" t="s">
        <v>1513</v>
      </c>
    </row>
    <row r="57" spans="1:15" x14ac:dyDescent="0.25">
      <c r="A57" t="s">
        <v>1609</v>
      </c>
      <c r="B57" t="s">
        <v>1610</v>
      </c>
      <c r="C57" t="s">
        <v>1611</v>
      </c>
      <c r="D57" t="s">
        <v>99</v>
      </c>
      <c r="E57" s="2">
        <v>44050</v>
      </c>
      <c r="F57" t="s">
        <v>20</v>
      </c>
      <c r="G57">
        <v>1000000</v>
      </c>
      <c r="H57" s="2">
        <v>44136</v>
      </c>
      <c r="I57">
        <v>2020</v>
      </c>
      <c r="J57">
        <v>23225.2098851068</v>
      </c>
      <c r="K57">
        <v>70196.940114893194</v>
      </c>
      <c r="L57">
        <v>429974.07</v>
      </c>
      <c r="M57">
        <v>0</v>
      </c>
      <c r="N57">
        <v>523396.22</v>
      </c>
      <c r="O57" t="s">
        <v>1492</v>
      </c>
    </row>
    <row r="58" spans="1:15" x14ac:dyDescent="0.25">
      <c r="A58" t="s">
        <v>1612</v>
      </c>
      <c r="B58" t="s">
        <v>1613</v>
      </c>
      <c r="C58" t="s">
        <v>1614</v>
      </c>
      <c r="D58" t="s">
        <v>99</v>
      </c>
      <c r="E58" s="2">
        <v>44146</v>
      </c>
      <c r="F58" t="s">
        <v>11</v>
      </c>
      <c r="G58">
        <v>3000000</v>
      </c>
      <c r="H58" s="2">
        <v>44426</v>
      </c>
      <c r="I58">
        <v>2021</v>
      </c>
      <c r="J58">
        <v>15805.404203338399</v>
      </c>
      <c r="K58">
        <v>41102.855796661599</v>
      </c>
      <c r="L58">
        <v>249931.6</v>
      </c>
      <c r="M58">
        <v>0</v>
      </c>
      <c r="N58">
        <v>306839.86</v>
      </c>
      <c r="O58" t="s">
        <v>186</v>
      </c>
    </row>
    <row r="59" spans="1:15" x14ac:dyDescent="0.25">
      <c r="A59" t="s">
        <v>1615</v>
      </c>
      <c r="B59" t="s">
        <v>1616</v>
      </c>
      <c r="C59" t="s">
        <v>1617</v>
      </c>
      <c r="D59" t="s">
        <v>99</v>
      </c>
      <c r="E59" s="2">
        <v>44427</v>
      </c>
      <c r="F59" t="s">
        <v>33</v>
      </c>
      <c r="G59">
        <v>10000000</v>
      </c>
      <c r="H59" s="2">
        <v>44491</v>
      </c>
      <c r="I59">
        <v>2021</v>
      </c>
      <c r="J59">
        <v>12465.715677100299</v>
      </c>
      <c r="K59">
        <v>34835.594322899698</v>
      </c>
      <c r="L59">
        <v>251449.01</v>
      </c>
      <c r="M59">
        <v>0</v>
      </c>
      <c r="N59">
        <v>298750.32</v>
      </c>
      <c r="O59" t="s">
        <v>1499</v>
      </c>
    </row>
    <row r="60" spans="1:15" x14ac:dyDescent="0.25">
      <c r="A60" t="s">
        <v>1618</v>
      </c>
      <c r="B60" t="s">
        <v>1619</v>
      </c>
      <c r="C60" t="s">
        <v>1620</v>
      </c>
      <c r="D60" t="s">
        <v>99</v>
      </c>
      <c r="E60" s="2">
        <v>44308</v>
      </c>
      <c r="F60" t="s">
        <v>44</v>
      </c>
      <c r="G60">
        <v>2000000</v>
      </c>
      <c r="H60" s="2">
        <v>44519</v>
      </c>
      <c r="I60">
        <v>2021</v>
      </c>
      <c r="J60">
        <v>3724.8689886299398</v>
      </c>
      <c r="K60">
        <v>10438.1310113701</v>
      </c>
      <c r="L60">
        <v>90914.96</v>
      </c>
      <c r="M60">
        <v>0</v>
      </c>
      <c r="N60">
        <v>105077.96</v>
      </c>
      <c r="O60" t="s">
        <v>1481</v>
      </c>
    </row>
    <row r="61" spans="1:15" x14ac:dyDescent="0.25">
      <c r="A61" t="s">
        <v>1621</v>
      </c>
      <c r="B61" t="s">
        <v>1622</v>
      </c>
      <c r="C61" t="s">
        <v>1623</v>
      </c>
      <c r="D61" t="s">
        <v>99</v>
      </c>
      <c r="E61" s="2">
        <v>44283</v>
      </c>
      <c r="F61" t="s">
        <v>20</v>
      </c>
      <c r="G61">
        <v>5000000</v>
      </c>
      <c r="H61" s="2">
        <v>44512</v>
      </c>
      <c r="I61">
        <v>2021</v>
      </c>
      <c r="J61">
        <v>9157.9519151957793</v>
      </c>
      <c r="K61">
        <v>26960.638084804199</v>
      </c>
      <c r="L61">
        <v>278644.3</v>
      </c>
      <c r="M61">
        <v>0</v>
      </c>
      <c r="N61">
        <v>314762.89</v>
      </c>
      <c r="O61" t="s">
        <v>1499</v>
      </c>
    </row>
    <row r="62" spans="1:15" x14ac:dyDescent="0.25">
      <c r="A62" t="s">
        <v>1624</v>
      </c>
      <c r="B62" t="s">
        <v>1625</v>
      </c>
      <c r="C62" t="s">
        <v>1626</v>
      </c>
      <c r="D62" t="s">
        <v>99</v>
      </c>
      <c r="E62" s="2">
        <v>44386</v>
      </c>
      <c r="F62" t="s">
        <v>25</v>
      </c>
      <c r="G62">
        <v>2000000</v>
      </c>
      <c r="H62" s="2">
        <v>44508</v>
      </c>
      <c r="I62">
        <v>2021</v>
      </c>
      <c r="J62">
        <v>17030.740071886499</v>
      </c>
      <c r="K62">
        <v>46041.919928113501</v>
      </c>
      <c r="L62">
        <v>258209.09</v>
      </c>
      <c r="M62">
        <v>0</v>
      </c>
      <c r="N62">
        <v>321281.75</v>
      </c>
      <c r="O62" t="s">
        <v>1499</v>
      </c>
    </row>
    <row r="63" spans="1:15" x14ac:dyDescent="0.25">
      <c r="A63" t="s">
        <v>1627</v>
      </c>
      <c r="B63" t="s">
        <v>1628</v>
      </c>
      <c r="C63" t="s">
        <v>1629</v>
      </c>
      <c r="D63" t="s">
        <v>99</v>
      </c>
      <c r="E63" s="2">
        <v>44397</v>
      </c>
      <c r="F63" t="s">
        <v>49</v>
      </c>
      <c r="G63">
        <v>4000000</v>
      </c>
      <c r="H63" s="2">
        <v>44520</v>
      </c>
      <c r="I63">
        <v>2021</v>
      </c>
      <c r="J63">
        <v>4305.6353642149397</v>
      </c>
      <c r="K63">
        <v>11619.0746357851</v>
      </c>
      <c r="L63">
        <v>158936.26999999999</v>
      </c>
      <c r="M63">
        <v>0</v>
      </c>
      <c r="N63">
        <v>174860.98</v>
      </c>
      <c r="O63" t="s">
        <v>1563</v>
      </c>
    </row>
    <row r="64" spans="1:15" x14ac:dyDescent="0.25">
      <c r="A64" t="s">
        <v>1630</v>
      </c>
      <c r="B64" t="s">
        <v>1631</v>
      </c>
      <c r="C64" t="s">
        <v>1632</v>
      </c>
      <c r="D64" t="s">
        <v>99</v>
      </c>
      <c r="E64" s="2">
        <v>44259</v>
      </c>
      <c r="F64" t="s">
        <v>20</v>
      </c>
      <c r="G64">
        <v>3000000</v>
      </c>
      <c r="H64" s="2">
        <v>44554</v>
      </c>
      <c r="I64">
        <v>2021</v>
      </c>
      <c r="J64">
        <v>29764.9875230504</v>
      </c>
      <c r="K64">
        <v>92716.4624769496</v>
      </c>
      <c r="L64">
        <v>519507.53</v>
      </c>
      <c r="M64">
        <v>0</v>
      </c>
      <c r="N64">
        <v>641988.98</v>
      </c>
      <c r="O64" t="s">
        <v>1492</v>
      </c>
    </row>
    <row r="65" spans="1:15" x14ac:dyDescent="0.25">
      <c r="A65" t="s">
        <v>1633</v>
      </c>
      <c r="B65" t="s">
        <v>1634</v>
      </c>
      <c r="C65" t="s">
        <v>1635</v>
      </c>
      <c r="D65" t="s">
        <v>99</v>
      </c>
      <c r="E65" s="2">
        <v>44393</v>
      </c>
      <c r="F65" t="s">
        <v>56</v>
      </c>
      <c r="G65">
        <v>1000000</v>
      </c>
      <c r="H65" s="2">
        <v>44527</v>
      </c>
      <c r="I65">
        <v>2021</v>
      </c>
      <c r="J65">
        <v>24606.692753648498</v>
      </c>
      <c r="K65">
        <v>69231.927246351494</v>
      </c>
      <c r="L65">
        <v>427903.91</v>
      </c>
      <c r="M65">
        <v>0</v>
      </c>
      <c r="N65">
        <v>521742.53</v>
      </c>
      <c r="O65" t="s">
        <v>1492</v>
      </c>
    </row>
    <row r="66" spans="1:15" x14ac:dyDescent="0.25">
      <c r="A66" t="s">
        <v>1636</v>
      </c>
      <c r="B66" t="s">
        <v>1637</v>
      </c>
      <c r="C66" t="s">
        <v>1638</v>
      </c>
      <c r="D66" t="s">
        <v>99</v>
      </c>
      <c r="E66" s="2">
        <v>44425</v>
      </c>
      <c r="F66" t="s">
        <v>49</v>
      </c>
      <c r="G66">
        <v>1000000</v>
      </c>
      <c r="H66" s="2">
        <v>44560</v>
      </c>
      <c r="I66">
        <v>2021</v>
      </c>
      <c r="J66">
        <v>2996.55536413444</v>
      </c>
      <c r="K66">
        <v>10222.8246358656</v>
      </c>
      <c r="L66">
        <v>119093.12</v>
      </c>
      <c r="M66">
        <v>0</v>
      </c>
      <c r="N66">
        <v>132312.5</v>
      </c>
      <c r="O66" t="s">
        <v>1506</v>
      </c>
    </row>
    <row r="67" spans="1:15" x14ac:dyDescent="0.25">
      <c r="A67" t="s">
        <v>1639</v>
      </c>
      <c r="B67" t="s">
        <v>1640</v>
      </c>
      <c r="C67" t="s">
        <v>1641</v>
      </c>
      <c r="D67" t="s">
        <v>99</v>
      </c>
      <c r="E67" s="2">
        <v>44311</v>
      </c>
      <c r="F67" t="s">
        <v>49</v>
      </c>
      <c r="G67">
        <v>1000000</v>
      </c>
      <c r="H67" s="2">
        <v>44565</v>
      </c>
      <c r="I67">
        <v>2022</v>
      </c>
      <c r="J67">
        <v>2147.9187212959901</v>
      </c>
      <c r="K67">
        <v>7975.77127870401</v>
      </c>
      <c r="L67">
        <v>59629</v>
      </c>
      <c r="M67">
        <v>0</v>
      </c>
      <c r="N67">
        <v>69752.69</v>
      </c>
      <c r="O67" t="s">
        <v>126</v>
      </c>
    </row>
    <row r="68" spans="1:15" x14ac:dyDescent="0.25">
      <c r="A68" t="s">
        <v>1642</v>
      </c>
      <c r="B68" t="s">
        <v>1643</v>
      </c>
      <c r="C68" t="s">
        <v>1644</v>
      </c>
      <c r="D68" t="s">
        <v>99</v>
      </c>
      <c r="E68" s="2">
        <v>44259</v>
      </c>
      <c r="F68" t="s">
        <v>28</v>
      </c>
      <c r="G68">
        <v>5000000</v>
      </c>
      <c r="H68" s="2">
        <v>44500</v>
      </c>
      <c r="I68">
        <v>2021</v>
      </c>
      <c r="J68">
        <v>25678.758607611198</v>
      </c>
      <c r="K68">
        <v>94593.761392388798</v>
      </c>
      <c r="L68">
        <v>570812.02</v>
      </c>
      <c r="M68">
        <v>0</v>
      </c>
      <c r="N68">
        <v>691084.54</v>
      </c>
      <c r="O68" t="s">
        <v>1492</v>
      </c>
    </row>
    <row r="69" spans="1:15" x14ac:dyDescent="0.25">
      <c r="A69" t="s">
        <v>1645</v>
      </c>
      <c r="B69" t="s">
        <v>1646</v>
      </c>
      <c r="C69" t="s">
        <v>1647</v>
      </c>
      <c r="D69" t="s">
        <v>99</v>
      </c>
      <c r="E69" s="2">
        <v>44366</v>
      </c>
      <c r="F69" t="s">
        <v>34</v>
      </c>
      <c r="G69">
        <v>1000000</v>
      </c>
      <c r="H69" s="2">
        <v>44568</v>
      </c>
      <c r="I69">
        <v>2022</v>
      </c>
      <c r="J69">
        <v>2522.5706570602201</v>
      </c>
      <c r="K69">
        <v>7489.5093429397803</v>
      </c>
      <c r="L69">
        <v>63616.29</v>
      </c>
      <c r="M69">
        <v>0</v>
      </c>
      <c r="N69">
        <v>73628.37</v>
      </c>
      <c r="O69" t="s">
        <v>1513</v>
      </c>
    </row>
    <row r="70" spans="1:15" x14ac:dyDescent="0.25">
      <c r="A70" t="s">
        <v>1648</v>
      </c>
      <c r="B70" t="s">
        <v>1649</v>
      </c>
      <c r="C70" t="s">
        <v>1650</v>
      </c>
      <c r="D70" t="s">
        <v>99</v>
      </c>
      <c r="E70" s="2">
        <v>44234</v>
      </c>
      <c r="F70" t="s">
        <v>20</v>
      </c>
      <c r="G70">
        <v>1000000</v>
      </c>
      <c r="H70" s="2">
        <v>44492</v>
      </c>
      <c r="I70">
        <v>2021</v>
      </c>
      <c r="J70">
        <v>4070.55775025412</v>
      </c>
      <c r="K70">
        <v>14554.9522497459</v>
      </c>
      <c r="L70">
        <v>85884.4</v>
      </c>
      <c r="M70">
        <v>0</v>
      </c>
      <c r="N70">
        <v>104509.91</v>
      </c>
      <c r="O70" t="s">
        <v>1456</v>
      </c>
    </row>
    <row r="71" spans="1:15" x14ac:dyDescent="0.25">
      <c r="A71" t="s">
        <v>1651</v>
      </c>
      <c r="B71" t="s">
        <v>1652</v>
      </c>
      <c r="C71" t="s">
        <v>1653</v>
      </c>
      <c r="D71" t="s">
        <v>99</v>
      </c>
      <c r="E71" s="2">
        <v>44445</v>
      </c>
      <c r="F71" t="s">
        <v>21</v>
      </c>
      <c r="G71">
        <v>4000000</v>
      </c>
      <c r="H71" s="2">
        <v>44591</v>
      </c>
      <c r="I71">
        <v>2022</v>
      </c>
      <c r="J71">
        <v>4754.6283777402105</v>
      </c>
      <c r="K71">
        <v>11787.011622259801</v>
      </c>
      <c r="L71">
        <v>94882.79</v>
      </c>
      <c r="M71">
        <v>0</v>
      </c>
      <c r="N71">
        <v>111424.43</v>
      </c>
      <c r="O71" t="s">
        <v>1481</v>
      </c>
    </row>
    <row r="72" spans="1:15" x14ac:dyDescent="0.25">
      <c r="A72" t="s">
        <v>1654</v>
      </c>
      <c r="B72" t="s">
        <v>1655</v>
      </c>
      <c r="C72" t="s">
        <v>1656</v>
      </c>
      <c r="D72" t="s">
        <v>99</v>
      </c>
      <c r="E72" s="2">
        <v>44393</v>
      </c>
      <c r="F72" t="s">
        <v>16</v>
      </c>
      <c r="G72">
        <v>1000000</v>
      </c>
      <c r="H72" s="2">
        <v>44596</v>
      </c>
      <c r="I72">
        <v>2022</v>
      </c>
      <c r="J72">
        <v>4716.6447422579204</v>
      </c>
      <c r="K72">
        <v>16707.985257742101</v>
      </c>
      <c r="L72">
        <v>119911.63</v>
      </c>
      <c r="M72">
        <v>0</v>
      </c>
      <c r="N72">
        <v>141336.26</v>
      </c>
      <c r="O72" t="s">
        <v>1506</v>
      </c>
    </row>
    <row r="73" spans="1:15" x14ac:dyDescent="0.25">
      <c r="A73" t="s">
        <v>1657</v>
      </c>
      <c r="B73" t="s">
        <v>1658</v>
      </c>
      <c r="C73" t="s">
        <v>1659</v>
      </c>
      <c r="D73" t="s">
        <v>99</v>
      </c>
      <c r="E73" s="2">
        <v>44397</v>
      </c>
      <c r="F73" t="s">
        <v>17</v>
      </c>
      <c r="G73">
        <v>1000000</v>
      </c>
      <c r="H73" s="2">
        <v>44605</v>
      </c>
      <c r="I73">
        <v>2022</v>
      </c>
      <c r="J73">
        <v>3988.69756900126</v>
      </c>
      <c r="K73">
        <v>13237.1424309987</v>
      </c>
      <c r="L73">
        <v>80981.37</v>
      </c>
      <c r="M73">
        <v>0</v>
      </c>
      <c r="N73">
        <v>98207.21</v>
      </c>
      <c r="O73" t="s">
        <v>1460</v>
      </c>
    </row>
    <row r="74" spans="1:15" x14ac:dyDescent="0.25">
      <c r="A74" t="s">
        <v>1660</v>
      </c>
      <c r="B74" t="s">
        <v>1661</v>
      </c>
      <c r="C74" t="s">
        <v>1662</v>
      </c>
      <c r="D74" t="s">
        <v>99</v>
      </c>
      <c r="E74" s="2">
        <v>44288</v>
      </c>
      <c r="F74" t="s">
        <v>49</v>
      </c>
      <c r="G74">
        <v>1000000</v>
      </c>
      <c r="H74" s="2">
        <v>44602</v>
      </c>
      <c r="I74">
        <v>2022</v>
      </c>
      <c r="J74">
        <v>2492.33275017303</v>
      </c>
      <c r="K74">
        <v>5858.2772498269696</v>
      </c>
      <c r="L74">
        <v>52643.73</v>
      </c>
      <c r="M74">
        <v>0</v>
      </c>
      <c r="N74">
        <v>60994.34</v>
      </c>
      <c r="O74" t="s">
        <v>1547</v>
      </c>
    </row>
    <row r="75" spans="1:15" x14ac:dyDescent="0.25">
      <c r="A75" t="s">
        <v>1663</v>
      </c>
      <c r="B75" t="s">
        <v>1664</v>
      </c>
      <c r="C75" t="s">
        <v>1665</v>
      </c>
      <c r="D75" t="s">
        <v>99</v>
      </c>
      <c r="E75" s="2">
        <v>44328</v>
      </c>
      <c r="F75" t="s">
        <v>11</v>
      </c>
      <c r="G75">
        <v>1000000</v>
      </c>
      <c r="H75" s="2">
        <v>44409</v>
      </c>
      <c r="I75">
        <v>2021</v>
      </c>
      <c r="J75">
        <v>5207.5654187126001</v>
      </c>
      <c r="K75">
        <v>13360.574581287399</v>
      </c>
      <c r="L75">
        <v>108894.97</v>
      </c>
      <c r="M75">
        <v>0</v>
      </c>
      <c r="N75">
        <v>127463.11</v>
      </c>
      <c r="O75" t="s">
        <v>111</v>
      </c>
    </row>
    <row r="76" spans="1:15" x14ac:dyDescent="0.25">
      <c r="A76" t="s">
        <v>1666</v>
      </c>
      <c r="B76" t="s">
        <v>1667</v>
      </c>
      <c r="C76" t="s">
        <v>1668</v>
      </c>
      <c r="D76" t="s">
        <v>99</v>
      </c>
      <c r="E76" s="2">
        <v>44389</v>
      </c>
      <c r="F76" t="s">
        <v>20</v>
      </c>
      <c r="G76">
        <v>1000000</v>
      </c>
      <c r="H76" s="2">
        <v>44484</v>
      </c>
      <c r="I76">
        <v>2021</v>
      </c>
      <c r="J76">
        <v>3668.1799248143998</v>
      </c>
      <c r="K76">
        <v>11402.200075185599</v>
      </c>
      <c r="L76">
        <v>61931.53</v>
      </c>
      <c r="M76">
        <v>0</v>
      </c>
      <c r="N76">
        <v>77001.91</v>
      </c>
      <c r="O76" t="s">
        <v>126</v>
      </c>
    </row>
    <row r="77" spans="1:15" x14ac:dyDescent="0.25">
      <c r="A77" t="s">
        <v>1669</v>
      </c>
      <c r="B77" t="s">
        <v>1670</v>
      </c>
      <c r="C77" t="s">
        <v>1671</v>
      </c>
      <c r="D77" t="s">
        <v>99</v>
      </c>
      <c r="E77" s="2">
        <v>44415</v>
      </c>
      <c r="F77" t="s">
        <v>49</v>
      </c>
      <c r="G77">
        <v>1000000</v>
      </c>
      <c r="H77" s="2">
        <v>44640</v>
      </c>
      <c r="I77">
        <v>2022</v>
      </c>
      <c r="J77">
        <v>5075.7198010530901</v>
      </c>
      <c r="K77">
        <v>13882.020198946901</v>
      </c>
      <c r="L77">
        <v>102142.14</v>
      </c>
      <c r="M77">
        <v>0</v>
      </c>
      <c r="N77">
        <v>121099.88</v>
      </c>
      <c r="O77" t="s">
        <v>111</v>
      </c>
    </row>
    <row r="78" spans="1:15" x14ac:dyDescent="0.25">
      <c r="A78" t="s">
        <v>1672</v>
      </c>
      <c r="B78" t="s">
        <v>1673</v>
      </c>
      <c r="C78" t="s">
        <v>1674</v>
      </c>
      <c r="D78" t="s">
        <v>99</v>
      </c>
      <c r="E78" s="2">
        <v>44443</v>
      </c>
      <c r="F78" t="s">
        <v>11</v>
      </c>
      <c r="G78">
        <v>1000000</v>
      </c>
      <c r="H78" s="2">
        <v>44623</v>
      </c>
      <c r="I78">
        <v>2022</v>
      </c>
      <c r="J78">
        <v>4441.9991339712196</v>
      </c>
      <c r="K78">
        <v>15596.780866028799</v>
      </c>
      <c r="L78">
        <v>84321.75</v>
      </c>
      <c r="M78">
        <v>0</v>
      </c>
      <c r="N78">
        <v>104360.53</v>
      </c>
      <c r="O78" t="s">
        <v>1456</v>
      </c>
    </row>
    <row r="79" spans="1:15" x14ac:dyDescent="0.25">
      <c r="A79" t="s">
        <v>1675</v>
      </c>
      <c r="B79" t="s">
        <v>1676</v>
      </c>
      <c r="C79" t="s">
        <v>1677</v>
      </c>
      <c r="D79" t="s">
        <v>99</v>
      </c>
      <c r="E79" s="2">
        <v>44410</v>
      </c>
      <c r="F79" t="s">
        <v>21</v>
      </c>
      <c r="G79">
        <v>1000000</v>
      </c>
      <c r="H79" s="2">
        <v>44609</v>
      </c>
      <c r="I79">
        <v>2022</v>
      </c>
      <c r="J79">
        <v>14968.3170322646</v>
      </c>
      <c r="K79">
        <v>46489.812967735401</v>
      </c>
      <c r="L79">
        <v>246473.45</v>
      </c>
      <c r="M79">
        <v>0</v>
      </c>
      <c r="N79">
        <v>307931.58</v>
      </c>
      <c r="O79" t="s">
        <v>186</v>
      </c>
    </row>
    <row r="80" spans="1:15" x14ac:dyDescent="0.25">
      <c r="A80" t="s">
        <v>1678</v>
      </c>
      <c r="B80" t="s">
        <v>1679</v>
      </c>
      <c r="C80" t="s">
        <v>1680</v>
      </c>
      <c r="D80" t="s">
        <v>99</v>
      </c>
      <c r="E80" s="2">
        <v>44507</v>
      </c>
      <c r="F80" t="s">
        <v>24</v>
      </c>
      <c r="G80">
        <v>2000000</v>
      </c>
      <c r="H80" s="2">
        <v>44618</v>
      </c>
      <c r="I80">
        <v>2022</v>
      </c>
      <c r="J80">
        <v>6416.1884811770997</v>
      </c>
      <c r="K80">
        <v>21982.451518822902</v>
      </c>
      <c r="L80">
        <v>170909.02</v>
      </c>
      <c r="M80">
        <v>0</v>
      </c>
      <c r="N80">
        <v>199307.66</v>
      </c>
      <c r="O80" t="s">
        <v>163</v>
      </c>
    </row>
    <row r="81" spans="1:15" x14ac:dyDescent="0.25">
      <c r="A81" t="s">
        <v>1681</v>
      </c>
      <c r="B81" t="s">
        <v>1682</v>
      </c>
      <c r="C81" t="s">
        <v>1683</v>
      </c>
      <c r="D81" t="s">
        <v>99</v>
      </c>
      <c r="E81" s="2">
        <v>44561</v>
      </c>
      <c r="F81" t="s">
        <v>20</v>
      </c>
      <c r="G81">
        <v>1000000</v>
      </c>
      <c r="H81" s="2">
        <v>44629</v>
      </c>
      <c r="I81">
        <v>2022</v>
      </c>
      <c r="J81">
        <v>15268.573151070899</v>
      </c>
      <c r="K81">
        <v>56925.776848929097</v>
      </c>
      <c r="L81">
        <v>335238.18</v>
      </c>
      <c r="M81">
        <v>0</v>
      </c>
      <c r="N81">
        <v>407432.53</v>
      </c>
      <c r="O81" t="s">
        <v>1485</v>
      </c>
    </row>
    <row r="82" spans="1:15" x14ac:dyDescent="0.25">
      <c r="A82" t="s">
        <v>1684</v>
      </c>
      <c r="B82" t="s">
        <v>1685</v>
      </c>
      <c r="C82" t="s">
        <v>1686</v>
      </c>
      <c r="D82" t="s">
        <v>99</v>
      </c>
      <c r="E82" s="2">
        <v>44317</v>
      </c>
      <c r="F82" t="s">
        <v>9</v>
      </c>
      <c r="G82">
        <v>1000000</v>
      </c>
      <c r="H82" s="2">
        <v>44627</v>
      </c>
      <c r="I82">
        <v>2022</v>
      </c>
      <c r="J82">
        <v>3714.67283040038</v>
      </c>
      <c r="K82">
        <v>10506.077169599601</v>
      </c>
      <c r="L82">
        <v>53417.05</v>
      </c>
      <c r="M82">
        <v>0</v>
      </c>
      <c r="N82">
        <v>67637.8</v>
      </c>
      <c r="O82" t="s">
        <v>1547</v>
      </c>
    </row>
    <row r="83" spans="1:15" x14ac:dyDescent="0.25">
      <c r="A83" t="s">
        <v>1687</v>
      </c>
      <c r="B83" t="s">
        <v>1688</v>
      </c>
      <c r="C83" t="s">
        <v>1689</v>
      </c>
      <c r="D83" t="s">
        <v>99</v>
      </c>
      <c r="E83" s="2">
        <v>44463</v>
      </c>
      <c r="F83" t="s">
        <v>12</v>
      </c>
      <c r="G83">
        <v>3000000</v>
      </c>
      <c r="H83" s="2">
        <v>44670</v>
      </c>
      <c r="I83">
        <v>2022</v>
      </c>
      <c r="J83">
        <v>25045.579824190099</v>
      </c>
      <c r="K83">
        <v>91353.690175809897</v>
      </c>
      <c r="L83">
        <v>600200.85</v>
      </c>
      <c r="M83">
        <v>0</v>
      </c>
      <c r="N83">
        <v>716600.12</v>
      </c>
      <c r="O83" t="s">
        <v>119</v>
      </c>
    </row>
    <row r="84" spans="1:15" x14ac:dyDescent="0.25">
      <c r="A84" t="s">
        <v>1690</v>
      </c>
      <c r="B84" t="s">
        <v>1691</v>
      </c>
      <c r="C84" t="s">
        <v>1692</v>
      </c>
      <c r="D84" t="s">
        <v>99</v>
      </c>
      <c r="E84" s="2">
        <v>44280</v>
      </c>
      <c r="F84" t="s">
        <v>16</v>
      </c>
      <c r="G84">
        <v>5000000</v>
      </c>
      <c r="H84" s="2">
        <v>44547</v>
      </c>
      <c r="I84">
        <v>2021</v>
      </c>
      <c r="J84">
        <v>10750.736243687399</v>
      </c>
      <c r="K84">
        <v>37812.223756312596</v>
      </c>
      <c r="L84">
        <v>186482.03</v>
      </c>
      <c r="M84">
        <v>0</v>
      </c>
      <c r="N84">
        <v>235044.99</v>
      </c>
      <c r="O84" t="s">
        <v>163</v>
      </c>
    </row>
    <row r="85" spans="1:15" x14ac:dyDescent="0.25">
      <c r="A85" t="s">
        <v>1693</v>
      </c>
      <c r="B85" t="s">
        <v>1694</v>
      </c>
      <c r="C85" t="s">
        <v>1695</v>
      </c>
      <c r="D85" t="s">
        <v>99</v>
      </c>
      <c r="E85" s="2">
        <v>44351</v>
      </c>
      <c r="F85" t="s">
        <v>33</v>
      </c>
      <c r="G85">
        <v>4000000</v>
      </c>
      <c r="H85" s="2">
        <v>44667</v>
      </c>
      <c r="I85">
        <v>2022</v>
      </c>
      <c r="J85">
        <v>8177.3164317918299</v>
      </c>
      <c r="K85">
        <v>31661.323568208201</v>
      </c>
      <c r="L85">
        <v>241542.06</v>
      </c>
      <c r="M85">
        <v>0</v>
      </c>
      <c r="N85">
        <v>281380.7</v>
      </c>
      <c r="O85" t="s">
        <v>186</v>
      </c>
    </row>
    <row r="86" spans="1:15" x14ac:dyDescent="0.25">
      <c r="A86" t="s">
        <v>1696</v>
      </c>
      <c r="B86" t="s">
        <v>1697</v>
      </c>
      <c r="C86" t="s">
        <v>1698</v>
      </c>
      <c r="D86" t="s">
        <v>99</v>
      </c>
      <c r="E86" s="2">
        <v>44440</v>
      </c>
      <c r="F86" t="s">
        <v>40</v>
      </c>
      <c r="G86">
        <v>1000000</v>
      </c>
      <c r="H86" s="2">
        <v>44683</v>
      </c>
      <c r="I86">
        <v>2022</v>
      </c>
      <c r="J86">
        <v>16548.165289296699</v>
      </c>
      <c r="K86">
        <v>65017.544710703303</v>
      </c>
      <c r="L86">
        <v>633365.34</v>
      </c>
      <c r="M86">
        <v>0</v>
      </c>
      <c r="N86">
        <v>714931.05</v>
      </c>
      <c r="O86" t="s">
        <v>119</v>
      </c>
    </row>
    <row r="87" spans="1:15" x14ac:dyDescent="0.25">
      <c r="A87" t="s">
        <v>1699</v>
      </c>
      <c r="B87" t="s">
        <v>1700</v>
      </c>
      <c r="C87" t="s">
        <v>1701</v>
      </c>
      <c r="D87" t="s">
        <v>99</v>
      </c>
      <c r="E87" s="2">
        <v>44501</v>
      </c>
      <c r="F87" t="s">
        <v>44</v>
      </c>
      <c r="G87">
        <v>1000000</v>
      </c>
      <c r="H87" s="2">
        <v>44673</v>
      </c>
      <c r="I87">
        <v>2022</v>
      </c>
      <c r="J87">
        <v>10094.6341888684</v>
      </c>
      <c r="K87">
        <v>28388.9758111316</v>
      </c>
      <c r="L87">
        <v>351534.23</v>
      </c>
      <c r="M87">
        <v>0</v>
      </c>
      <c r="N87">
        <v>390017.84</v>
      </c>
      <c r="O87" t="s">
        <v>1485</v>
      </c>
    </row>
    <row r="88" spans="1:15" x14ac:dyDescent="0.25">
      <c r="A88" t="s">
        <v>1702</v>
      </c>
      <c r="B88" t="s">
        <v>1703</v>
      </c>
      <c r="C88" t="s">
        <v>1704</v>
      </c>
      <c r="D88" t="s">
        <v>99</v>
      </c>
      <c r="E88" s="2">
        <v>44561</v>
      </c>
      <c r="F88" t="s">
        <v>21</v>
      </c>
      <c r="G88">
        <v>3000000</v>
      </c>
      <c r="H88" s="2">
        <v>44660</v>
      </c>
      <c r="I88">
        <v>2022</v>
      </c>
      <c r="J88">
        <v>5785.8487315337097</v>
      </c>
      <c r="K88">
        <v>17017.571268466301</v>
      </c>
      <c r="L88">
        <v>138124.62</v>
      </c>
      <c r="M88">
        <v>0</v>
      </c>
      <c r="N88">
        <v>160928.04</v>
      </c>
      <c r="O88" t="s">
        <v>1477</v>
      </c>
    </row>
    <row r="89" spans="1:15" x14ac:dyDescent="0.25">
      <c r="A89" t="s">
        <v>1705</v>
      </c>
      <c r="B89" t="s">
        <v>1706</v>
      </c>
      <c r="C89" t="s">
        <v>1707</v>
      </c>
      <c r="D89" t="s">
        <v>99</v>
      </c>
      <c r="E89" s="2">
        <v>44268</v>
      </c>
      <c r="F89" t="s">
        <v>53</v>
      </c>
      <c r="G89">
        <v>4000000</v>
      </c>
      <c r="H89" s="2">
        <v>44631</v>
      </c>
      <c r="I89">
        <v>2022</v>
      </c>
      <c r="J89">
        <v>15622.069609578801</v>
      </c>
      <c r="K89">
        <v>48955.730390421202</v>
      </c>
      <c r="L89">
        <v>300175.3</v>
      </c>
      <c r="M89">
        <v>0</v>
      </c>
      <c r="N89">
        <v>364753.1</v>
      </c>
      <c r="O89" t="s">
        <v>1499</v>
      </c>
    </row>
    <row r="90" spans="1:15" x14ac:dyDescent="0.25">
      <c r="A90" t="s">
        <v>1708</v>
      </c>
      <c r="B90" t="s">
        <v>1709</v>
      </c>
      <c r="C90" t="s">
        <v>1710</v>
      </c>
      <c r="D90" t="s">
        <v>99</v>
      </c>
      <c r="E90" s="2">
        <v>44391</v>
      </c>
      <c r="F90" t="s">
        <v>16</v>
      </c>
      <c r="G90">
        <v>1000000</v>
      </c>
      <c r="H90" s="2">
        <v>44663</v>
      </c>
      <c r="I90">
        <v>2022</v>
      </c>
      <c r="J90">
        <v>13238.958209799101</v>
      </c>
      <c r="K90">
        <v>35817.641790200803</v>
      </c>
      <c r="L90">
        <v>177018.79</v>
      </c>
      <c r="M90">
        <v>0</v>
      </c>
      <c r="N90">
        <v>226075.39</v>
      </c>
      <c r="O90" t="s">
        <v>163</v>
      </c>
    </row>
    <row r="91" spans="1:15" x14ac:dyDescent="0.25">
      <c r="A91" t="s">
        <v>1711</v>
      </c>
      <c r="B91" t="s">
        <v>1712</v>
      </c>
      <c r="C91" t="s">
        <v>1713</v>
      </c>
      <c r="D91" t="s">
        <v>99</v>
      </c>
      <c r="E91" s="2">
        <v>44531</v>
      </c>
      <c r="F91" t="s">
        <v>10</v>
      </c>
      <c r="G91">
        <v>1000000</v>
      </c>
      <c r="H91" s="2">
        <v>44681</v>
      </c>
      <c r="I91">
        <v>2022</v>
      </c>
      <c r="J91">
        <v>3869.0901538166099</v>
      </c>
      <c r="K91">
        <v>9420.4998461833893</v>
      </c>
      <c r="L91">
        <v>52015.02</v>
      </c>
      <c r="M91">
        <v>0</v>
      </c>
      <c r="N91">
        <v>65304.61</v>
      </c>
      <c r="O91" t="s">
        <v>1547</v>
      </c>
    </row>
    <row r="92" spans="1:15" x14ac:dyDescent="0.25">
      <c r="A92" t="s">
        <v>1714</v>
      </c>
      <c r="B92" t="s">
        <v>1715</v>
      </c>
      <c r="C92" t="s">
        <v>1716</v>
      </c>
      <c r="D92" t="s">
        <v>99</v>
      </c>
      <c r="E92" s="2">
        <v>44576</v>
      </c>
      <c r="F92" t="s">
        <v>49</v>
      </c>
      <c r="G92">
        <v>1000000</v>
      </c>
      <c r="H92" s="2">
        <v>44685</v>
      </c>
      <c r="I92">
        <v>2022</v>
      </c>
      <c r="J92">
        <v>3553.0761612276801</v>
      </c>
      <c r="K92">
        <v>10270.393838772299</v>
      </c>
      <c r="L92">
        <v>71977.009999999995</v>
      </c>
      <c r="M92">
        <v>0</v>
      </c>
      <c r="N92">
        <v>85800.48</v>
      </c>
      <c r="O92" t="s">
        <v>1452</v>
      </c>
    </row>
    <row r="93" spans="1:15" x14ac:dyDescent="0.25">
      <c r="A93" t="s">
        <v>1717</v>
      </c>
      <c r="B93" t="s">
        <v>1718</v>
      </c>
      <c r="C93" t="s">
        <v>1719</v>
      </c>
      <c r="D93" t="s">
        <v>99</v>
      </c>
      <c r="E93" s="2">
        <v>44618</v>
      </c>
      <c r="F93" t="s">
        <v>41</v>
      </c>
      <c r="G93">
        <v>1000000</v>
      </c>
      <c r="H93" s="2">
        <v>44733</v>
      </c>
      <c r="I93">
        <v>2022</v>
      </c>
      <c r="J93">
        <v>2883.8670983074999</v>
      </c>
      <c r="K93">
        <v>10173.5729016925</v>
      </c>
      <c r="L93">
        <v>113800.77</v>
      </c>
      <c r="M93">
        <v>0</v>
      </c>
      <c r="N93">
        <v>126858.21</v>
      </c>
      <c r="O93" t="s">
        <v>1506</v>
      </c>
    </row>
    <row r="94" spans="1:15" x14ac:dyDescent="0.25">
      <c r="A94" t="s">
        <v>1720</v>
      </c>
      <c r="B94" t="s">
        <v>1721</v>
      </c>
      <c r="C94" t="s">
        <v>1722</v>
      </c>
      <c r="D94" t="s">
        <v>99</v>
      </c>
      <c r="E94" s="2">
        <v>44615</v>
      </c>
      <c r="F94" t="s">
        <v>51</v>
      </c>
      <c r="G94">
        <v>10000000</v>
      </c>
      <c r="H94" s="2">
        <v>44697</v>
      </c>
      <c r="I94">
        <v>2022</v>
      </c>
      <c r="J94">
        <v>14113.6244716157</v>
      </c>
      <c r="K94">
        <v>34021.225528384297</v>
      </c>
      <c r="L94">
        <v>274995.06</v>
      </c>
      <c r="M94">
        <v>0</v>
      </c>
      <c r="N94">
        <v>323129.90999999997</v>
      </c>
      <c r="O94" t="s">
        <v>1499</v>
      </c>
    </row>
    <row r="95" spans="1:15" x14ac:dyDescent="0.25">
      <c r="A95" t="s">
        <v>1723</v>
      </c>
      <c r="B95" t="s">
        <v>1724</v>
      </c>
      <c r="C95" t="s">
        <v>1725</v>
      </c>
      <c r="D95" t="s">
        <v>99</v>
      </c>
      <c r="E95" s="2">
        <v>44659</v>
      </c>
      <c r="F95" t="s">
        <v>11</v>
      </c>
      <c r="G95">
        <v>1000000</v>
      </c>
      <c r="H95" s="2">
        <v>44697</v>
      </c>
      <c r="I95">
        <v>2022</v>
      </c>
      <c r="J95">
        <v>3935.7090712562699</v>
      </c>
      <c r="K95">
        <v>14999.1509287437</v>
      </c>
      <c r="L95">
        <v>76463.53</v>
      </c>
      <c r="M95">
        <v>0</v>
      </c>
      <c r="N95">
        <v>95398.39</v>
      </c>
      <c r="O95" t="s">
        <v>1460</v>
      </c>
    </row>
    <row r="96" spans="1:15" x14ac:dyDescent="0.25">
      <c r="A96" t="s">
        <v>1726</v>
      </c>
      <c r="B96" t="s">
        <v>1727</v>
      </c>
      <c r="C96" t="s">
        <v>1725</v>
      </c>
      <c r="D96" t="s">
        <v>99</v>
      </c>
      <c r="E96" s="2">
        <v>44606</v>
      </c>
      <c r="F96" t="s">
        <v>49</v>
      </c>
      <c r="G96">
        <v>4000000</v>
      </c>
      <c r="H96" s="2">
        <v>44727</v>
      </c>
      <c r="I96">
        <v>2022</v>
      </c>
      <c r="J96">
        <v>6923.8583487353299</v>
      </c>
      <c r="K96">
        <v>25872.4216512647</v>
      </c>
      <c r="L96">
        <v>177071.12</v>
      </c>
      <c r="M96">
        <v>0</v>
      </c>
      <c r="N96">
        <v>209867.4</v>
      </c>
      <c r="O96" t="s">
        <v>163</v>
      </c>
    </row>
    <row r="97" spans="1:15" x14ac:dyDescent="0.25">
      <c r="A97" t="s">
        <v>1728</v>
      </c>
      <c r="B97" t="s">
        <v>1729</v>
      </c>
      <c r="C97" t="s">
        <v>1730</v>
      </c>
      <c r="D97" t="s">
        <v>99</v>
      </c>
      <c r="E97" s="2">
        <v>44267</v>
      </c>
      <c r="F97" t="s">
        <v>49</v>
      </c>
      <c r="G97">
        <v>1000000</v>
      </c>
      <c r="H97" s="2">
        <v>44323</v>
      </c>
      <c r="I97">
        <v>2021</v>
      </c>
      <c r="J97">
        <v>31380.2443286895</v>
      </c>
      <c r="K97">
        <v>99493.335671310502</v>
      </c>
      <c r="L97">
        <v>446644.9</v>
      </c>
      <c r="M97">
        <v>0</v>
      </c>
      <c r="N97">
        <v>577518.48</v>
      </c>
      <c r="O97" t="s">
        <v>1492</v>
      </c>
    </row>
    <row r="98" spans="1:15" x14ac:dyDescent="0.25">
      <c r="A98" t="s">
        <v>1731</v>
      </c>
      <c r="B98" t="s">
        <v>1732</v>
      </c>
      <c r="C98" t="s">
        <v>1733</v>
      </c>
      <c r="D98" t="s">
        <v>99</v>
      </c>
      <c r="E98" s="2">
        <v>44695</v>
      </c>
      <c r="F98" t="s">
        <v>28</v>
      </c>
      <c r="G98">
        <v>3000000</v>
      </c>
      <c r="H98" s="2">
        <v>44716</v>
      </c>
      <c r="I98">
        <v>2022</v>
      </c>
      <c r="J98">
        <v>20663.2331746362</v>
      </c>
      <c r="K98">
        <v>68769.386825363807</v>
      </c>
      <c r="L98">
        <v>741352.47</v>
      </c>
      <c r="M98">
        <v>0</v>
      </c>
      <c r="N98">
        <v>830785.09</v>
      </c>
      <c r="O98" t="s">
        <v>119</v>
      </c>
    </row>
    <row r="99" spans="1:15" x14ac:dyDescent="0.25">
      <c r="A99" t="s">
        <v>1734</v>
      </c>
      <c r="B99" t="s">
        <v>1735</v>
      </c>
      <c r="C99" t="s">
        <v>1736</v>
      </c>
      <c r="D99" t="s">
        <v>99</v>
      </c>
      <c r="E99" s="2">
        <v>44265</v>
      </c>
      <c r="F99" t="s">
        <v>38</v>
      </c>
      <c r="G99">
        <v>1000000</v>
      </c>
      <c r="H99" s="2">
        <v>44616</v>
      </c>
      <c r="I99">
        <v>2022</v>
      </c>
      <c r="J99">
        <v>11744.573498154001</v>
      </c>
      <c r="K99">
        <v>29312.566501845999</v>
      </c>
      <c r="L99">
        <v>276217.53999999998</v>
      </c>
      <c r="M99">
        <v>0</v>
      </c>
      <c r="N99">
        <v>317274.68</v>
      </c>
      <c r="O99" t="s">
        <v>1499</v>
      </c>
    </row>
    <row r="100" spans="1:15" x14ac:dyDescent="0.25">
      <c r="A100" t="s">
        <v>1737</v>
      </c>
      <c r="B100" t="s">
        <v>1738</v>
      </c>
      <c r="C100" t="s">
        <v>1739</v>
      </c>
      <c r="D100" t="s">
        <v>99</v>
      </c>
      <c r="E100" s="2">
        <v>44474</v>
      </c>
      <c r="F100" t="s">
        <v>16</v>
      </c>
      <c r="G100">
        <v>1000000</v>
      </c>
      <c r="H100" s="2">
        <v>44723</v>
      </c>
      <c r="I100">
        <v>2022</v>
      </c>
      <c r="J100">
        <v>1890.08047176068</v>
      </c>
      <c r="K100">
        <v>6851.6195282393201</v>
      </c>
      <c r="L100">
        <v>78512.56</v>
      </c>
      <c r="M100">
        <v>0</v>
      </c>
      <c r="N100">
        <v>87254.26</v>
      </c>
      <c r="O100" t="s">
        <v>1460</v>
      </c>
    </row>
    <row r="101" spans="1:15" x14ac:dyDescent="0.25">
      <c r="A101" t="s">
        <v>1740</v>
      </c>
      <c r="B101" t="s">
        <v>1741</v>
      </c>
      <c r="C101" t="s">
        <v>1742</v>
      </c>
      <c r="D101" t="s">
        <v>99</v>
      </c>
      <c r="E101" s="2">
        <v>44399</v>
      </c>
      <c r="F101" t="s">
        <v>49</v>
      </c>
      <c r="G101">
        <v>5000000</v>
      </c>
      <c r="H101" s="2">
        <v>44535</v>
      </c>
      <c r="I101">
        <v>2021</v>
      </c>
      <c r="J101">
        <v>4478.82355153146</v>
      </c>
      <c r="K101">
        <v>12916.9564484685</v>
      </c>
      <c r="L101">
        <v>129438.49</v>
      </c>
      <c r="M101">
        <v>0</v>
      </c>
      <c r="N101">
        <v>146834.26999999999</v>
      </c>
      <c r="O101" t="s">
        <v>1464</v>
      </c>
    </row>
    <row r="102" spans="1:15" x14ac:dyDescent="0.25">
      <c r="A102" t="s">
        <v>1743</v>
      </c>
      <c r="B102" t="s">
        <v>1744</v>
      </c>
      <c r="C102" t="s">
        <v>1745</v>
      </c>
      <c r="D102" t="s">
        <v>99</v>
      </c>
      <c r="E102" s="2">
        <v>44564</v>
      </c>
      <c r="F102" t="s">
        <v>22</v>
      </c>
      <c r="G102">
        <v>1000000</v>
      </c>
      <c r="H102" s="2">
        <v>44749</v>
      </c>
      <c r="I102">
        <v>2022</v>
      </c>
      <c r="J102">
        <v>5576.6326500884297</v>
      </c>
      <c r="K102">
        <v>15619.337349911601</v>
      </c>
      <c r="L102">
        <v>86119.65</v>
      </c>
      <c r="M102">
        <v>0</v>
      </c>
      <c r="N102">
        <v>107315.62</v>
      </c>
      <c r="O102" t="s">
        <v>1456</v>
      </c>
    </row>
    <row r="103" spans="1:15" x14ac:dyDescent="0.25">
      <c r="A103" t="s">
        <v>1746</v>
      </c>
      <c r="B103" t="s">
        <v>1747</v>
      </c>
      <c r="C103" t="s">
        <v>1748</v>
      </c>
      <c r="D103" t="s">
        <v>474</v>
      </c>
      <c r="E103" s="2">
        <v>44511</v>
      </c>
      <c r="F103" t="s">
        <v>49</v>
      </c>
      <c r="G103">
        <v>1000000</v>
      </c>
      <c r="H103" s="2">
        <v>44746</v>
      </c>
      <c r="I103">
        <v>2022</v>
      </c>
      <c r="J103">
        <v>2573.2591485426201</v>
      </c>
      <c r="K103">
        <v>7946.0108514573803</v>
      </c>
      <c r="L103">
        <v>48140.57</v>
      </c>
      <c r="M103">
        <v>3775.78</v>
      </c>
      <c r="N103">
        <v>62435.62</v>
      </c>
      <c r="O103" t="s">
        <v>1547</v>
      </c>
    </row>
    <row r="104" spans="1:15" x14ac:dyDescent="0.25">
      <c r="A104" t="s">
        <v>1749</v>
      </c>
      <c r="B104" t="s">
        <v>1750</v>
      </c>
      <c r="C104" t="s">
        <v>1751</v>
      </c>
      <c r="D104" t="s">
        <v>2198</v>
      </c>
      <c r="E104" s="2">
        <v>44409</v>
      </c>
      <c r="F104" t="s">
        <v>11</v>
      </c>
      <c r="G104">
        <v>1000000</v>
      </c>
      <c r="H104" s="2">
        <v>44771</v>
      </c>
      <c r="I104">
        <v>2022</v>
      </c>
      <c r="J104">
        <v>33249.752312738303</v>
      </c>
      <c r="K104">
        <v>119867.997687262</v>
      </c>
      <c r="L104">
        <v>554961.46</v>
      </c>
      <c r="M104">
        <v>0</v>
      </c>
      <c r="N104">
        <v>708079.21</v>
      </c>
      <c r="O104" t="s">
        <v>2198</v>
      </c>
    </row>
    <row r="105" spans="1:15" x14ac:dyDescent="0.25">
      <c r="A105" t="s">
        <v>1752</v>
      </c>
      <c r="B105" t="s">
        <v>1753</v>
      </c>
      <c r="C105" t="s">
        <v>1754</v>
      </c>
      <c r="D105" t="s">
        <v>99</v>
      </c>
      <c r="E105" s="2">
        <v>44685</v>
      </c>
      <c r="F105" t="s">
        <v>44</v>
      </c>
      <c r="G105">
        <v>1000000</v>
      </c>
      <c r="H105" s="2">
        <v>44762</v>
      </c>
      <c r="I105">
        <v>2022</v>
      </c>
      <c r="J105">
        <v>10604.7937551715</v>
      </c>
      <c r="K105">
        <v>29037.7062448285</v>
      </c>
      <c r="L105">
        <v>213705.67</v>
      </c>
      <c r="M105">
        <v>0</v>
      </c>
      <c r="N105">
        <v>253348.17</v>
      </c>
      <c r="O105" t="s">
        <v>159</v>
      </c>
    </row>
    <row r="106" spans="1:15" x14ac:dyDescent="0.25">
      <c r="A106" t="s">
        <v>1755</v>
      </c>
      <c r="B106" t="s">
        <v>1756</v>
      </c>
      <c r="C106" t="s">
        <v>1757</v>
      </c>
      <c r="D106" t="s">
        <v>99</v>
      </c>
      <c r="E106" s="2">
        <v>44466</v>
      </c>
      <c r="F106" t="s">
        <v>41</v>
      </c>
      <c r="G106">
        <v>3000000</v>
      </c>
      <c r="H106" s="2">
        <v>44772</v>
      </c>
      <c r="I106">
        <v>2022</v>
      </c>
      <c r="J106">
        <v>17765.390118585201</v>
      </c>
      <c r="K106">
        <v>42835.049881414801</v>
      </c>
      <c r="L106">
        <v>221374.69</v>
      </c>
      <c r="M106">
        <v>0</v>
      </c>
      <c r="N106">
        <v>281975.13</v>
      </c>
      <c r="O106" t="s">
        <v>186</v>
      </c>
    </row>
    <row r="107" spans="1:15" x14ac:dyDescent="0.25">
      <c r="A107" t="s">
        <v>1758</v>
      </c>
      <c r="B107" t="s">
        <v>1759</v>
      </c>
      <c r="C107" t="s">
        <v>1760</v>
      </c>
      <c r="D107" t="s">
        <v>99</v>
      </c>
      <c r="E107" s="2">
        <v>44651</v>
      </c>
      <c r="F107" t="s">
        <v>51</v>
      </c>
      <c r="G107">
        <v>4000000</v>
      </c>
      <c r="H107" s="2">
        <v>44739</v>
      </c>
      <c r="I107">
        <v>2022</v>
      </c>
      <c r="J107">
        <v>9340.8058736689509</v>
      </c>
      <c r="K107">
        <v>37063.224126330999</v>
      </c>
      <c r="L107">
        <v>195265.39</v>
      </c>
      <c r="M107">
        <v>0</v>
      </c>
      <c r="N107">
        <v>241669.42</v>
      </c>
      <c r="O107" t="s">
        <v>159</v>
      </c>
    </row>
    <row r="108" spans="1:15" x14ac:dyDescent="0.25">
      <c r="A108" t="s">
        <v>1761</v>
      </c>
      <c r="B108" t="s">
        <v>1762</v>
      </c>
      <c r="C108" t="s">
        <v>1763</v>
      </c>
      <c r="D108" t="s">
        <v>474</v>
      </c>
      <c r="E108" s="2">
        <v>44664</v>
      </c>
      <c r="F108" t="s">
        <v>13</v>
      </c>
      <c r="G108">
        <v>5000000</v>
      </c>
      <c r="H108" s="2">
        <v>44785</v>
      </c>
      <c r="I108">
        <v>2022</v>
      </c>
      <c r="J108">
        <v>15049.1109616224</v>
      </c>
      <c r="K108">
        <v>43491.219038377603</v>
      </c>
      <c r="L108">
        <v>426331.38</v>
      </c>
      <c r="M108">
        <v>36154.39</v>
      </c>
      <c r="N108">
        <v>521026.1</v>
      </c>
      <c r="O108" t="s">
        <v>1492</v>
      </c>
    </row>
    <row r="109" spans="1:15" x14ac:dyDescent="0.25">
      <c r="A109" t="s">
        <v>1764</v>
      </c>
      <c r="B109" t="s">
        <v>1765</v>
      </c>
      <c r="C109" t="s">
        <v>1766</v>
      </c>
      <c r="D109" t="s">
        <v>99</v>
      </c>
      <c r="E109" s="2">
        <v>44493</v>
      </c>
      <c r="F109" t="s">
        <v>11</v>
      </c>
      <c r="G109">
        <v>1000000</v>
      </c>
      <c r="H109" s="2">
        <v>44648</v>
      </c>
      <c r="I109">
        <v>2022</v>
      </c>
      <c r="J109">
        <v>2428.6812620022301</v>
      </c>
      <c r="K109">
        <v>9631.8987379977698</v>
      </c>
      <c r="L109">
        <v>85000.09</v>
      </c>
      <c r="M109">
        <v>0</v>
      </c>
      <c r="N109">
        <v>97060.67</v>
      </c>
      <c r="O109" t="s">
        <v>1456</v>
      </c>
    </row>
    <row r="110" spans="1:15" x14ac:dyDescent="0.25">
      <c r="A110" t="s">
        <v>1767</v>
      </c>
      <c r="B110" t="s">
        <v>1768</v>
      </c>
      <c r="C110" t="s">
        <v>1769</v>
      </c>
      <c r="D110" t="s">
        <v>99</v>
      </c>
      <c r="E110" s="2">
        <v>44543</v>
      </c>
      <c r="F110" t="s">
        <v>48</v>
      </c>
      <c r="G110">
        <v>10000000</v>
      </c>
      <c r="H110" s="2">
        <v>44751</v>
      </c>
      <c r="I110">
        <v>2022</v>
      </c>
      <c r="J110">
        <v>10232.4610331068</v>
      </c>
      <c r="K110">
        <v>36057.178966893203</v>
      </c>
      <c r="L110">
        <v>303221.09999999998</v>
      </c>
      <c r="M110">
        <v>0</v>
      </c>
      <c r="N110">
        <v>349510.74</v>
      </c>
      <c r="O110" t="s">
        <v>1499</v>
      </c>
    </row>
    <row r="111" spans="1:15" x14ac:dyDescent="0.25">
      <c r="A111" t="s">
        <v>1770</v>
      </c>
      <c r="B111" t="s">
        <v>1771</v>
      </c>
      <c r="C111" t="s">
        <v>1772</v>
      </c>
      <c r="D111" t="s">
        <v>474</v>
      </c>
      <c r="E111" s="2">
        <v>44761</v>
      </c>
      <c r="F111" t="s">
        <v>42</v>
      </c>
      <c r="G111">
        <v>2000000</v>
      </c>
      <c r="H111" s="2">
        <v>44776</v>
      </c>
      <c r="I111">
        <v>2022</v>
      </c>
      <c r="J111">
        <v>5859.6861053076</v>
      </c>
      <c r="K111">
        <v>21064.063894692401</v>
      </c>
      <c r="L111">
        <v>141930.35999999999</v>
      </c>
      <c r="M111">
        <v>18933.419999999998</v>
      </c>
      <c r="N111">
        <v>187787.53</v>
      </c>
      <c r="O111" t="s">
        <v>1563</v>
      </c>
    </row>
    <row r="112" spans="1:15" x14ac:dyDescent="0.25">
      <c r="A112" t="s">
        <v>1773</v>
      </c>
      <c r="B112" t="s">
        <v>1774</v>
      </c>
      <c r="C112" t="s">
        <v>1775</v>
      </c>
      <c r="D112" t="s">
        <v>99</v>
      </c>
      <c r="E112" s="2">
        <v>44576</v>
      </c>
      <c r="F112" t="s">
        <v>48</v>
      </c>
      <c r="G112">
        <v>10000000</v>
      </c>
      <c r="H112" s="2">
        <v>44807</v>
      </c>
      <c r="I112">
        <v>2022</v>
      </c>
      <c r="J112">
        <v>10162.398827299499</v>
      </c>
      <c r="K112">
        <v>35334.041172700498</v>
      </c>
      <c r="L112">
        <v>174590.36</v>
      </c>
      <c r="M112">
        <v>0</v>
      </c>
      <c r="N112">
        <v>220086.8</v>
      </c>
      <c r="O112" t="s">
        <v>163</v>
      </c>
    </row>
    <row r="113" spans="1:15" x14ac:dyDescent="0.25">
      <c r="A113" t="s">
        <v>1776</v>
      </c>
      <c r="B113" t="s">
        <v>1777</v>
      </c>
      <c r="C113" t="s">
        <v>1778</v>
      </c>
      <c r="D113" t="s">
        <v>99</v>
      </c>
      <c r="E113" s="2">
        <v>44608</v>
      </c>
      <c r="F113" t="s">
        <v>8</v>
      </c>
      <c r="G113">
        <v>5000000</v>
      </c>
      <c r="H113" s="2">
        <v>44799</v>
      </c>
      <c r="I113">
        <v>2022</v>
      </c>
      <c r="J113">
        <v>4010.7188137468802</v>
      </c>
      <c r="K113">
        <v>13151.2711862531</v>
      </c>
      <c r="L113">
        <v>119967.71</v>
      </c>
      <c r="M113">
        <v>0</v>
      </c>
      <c r="N113">
        <v>137129.70000000001</v>
      </c>
      <c r="O113" t="s">
        <v>1506</v>
      </c>
    </row>
    <row r="114" spans="1:15" x14ac:dyDescent="0.25">
      <c r="A114" t="s">
        <v>1779</v>
      </c>
      <c r="B114" t="s">
        <v>1780</v>
      </c>
      <c r="C114" t="s">
        <v>1781</v>
      </c>
      <c r="D114" t="s">
        <v>99</v>
      </c>
      <c r="E114" s="2">
        <v>44573</v>
      </c>
      <c r="F114" t="s">
        <v>33</v>
      </c>
      <c r="G114">
        <v>1000000</v>
      </c>
      <c r="H114" s="2">
        <v>44810</v>
      </c>
      <c r="I114">
        <v>2022</v>
      </c>
      <c r="J114">
        <v>3385.2287474529899</v>
      </c>
      <c r="K114">
        <v>10283.081252546999</v>
      </c>
      <c r="L114">
        <v>61059.75</v>
      </c>
      <c r="M114">
        <v>0</v>
      </c>
      <c r="N114">
        <v>74728.06</v>
      </c>
      <c r="O114" t="s">
        <v>126</v>
      </c>
    </row>
    <row r="115" spans="1:15" x14ac:dyDescent="0.25">
      <c r="A115" t="s">
        <v>1782</v>
      </c>
      <c r="B115" t="s">
        <v>1783</v>
      </c>
      <c r="C115" t="s">
        <v>1784</v>
      </c>
      <c r="D115" t="s">
        <v>99</v>
      </c>
      <c r="E115" s="2">
        <v>44731</v>
      </c>
      <c r="F115" t="s">
        <v>11</v>
      </c>
      <c r="G115">
        <v>1000000</v>
      </c>
      <c r="H115" s="2">
        <v>44783</v>
      </c>
      <c r="I115">
        <v>2022</v>
      </c>
      <c r="J115">
        <v>1424.6113978903199</v>
      </c>
      <c r="K115">
        <v>4917.3286021096801</v>
      </c>
      <c r="L115">
        <v>50672.29</v>
      </c>
      <c r="M115">
        <v>0</v>
      </c>
      <c r="N115">
        <v>57014.23</v>
      </c>
      <c r="O115" t="s">
        <v>1547</v>
      </c>
    </row>
    <row r="116" spans="1:15" x14ac:dyDescent="0.25">
      <c r="A116" t="s">
        <v>1785</v>
      </c>
      <c r="B116" t="s">
        <v>1786</v>
      </c>
      <c r="C116" t="s">
        <v>1787</v>
      </c>
      <c r="D116" t="s">
        <v>99</v>
      </c>
      <c r="E116" s="2">
        <v>44701</v>
      </c>
      <c r="F116" t="s">
        <v>11</v>
      </c>
      <c r="G116">
        <v>1000000</v>
      </c>
      <c r="H116" s="2">
        <v>44806</v>
      </c>
      <c r="I116">
        <v>2022</v>
      </c>
      <c r="J116">
        <v>14019.639851305201</v>
      </c>
      <c r="K116">
        <v>52261.410148694798</v>
      </c>
      <c r="L116">
        <v>349345.34</v>
      </c>
      <c r="M116">
        <v>0</v>
      </c>
      <c r="N116">
        <v>415626.39</v>
      </c>
      <c r="O116" t="s">
        <v>1485</v>
      </c>
    </row>
    <row r="117" spans="1:15" x14ac:dyDescent="0.25">
      <c r="A117" t="s">
        <v>1788</v>
      </c>
      <c r="B117" t="s">
        <v>1789</v>
      </c>
      <c r="C117" t="s">
        <v>1790</v>
      </c>
      <c r="D117" t="s">
        <v>99</v>
      </c>
      <c r="E117" s="2">
        <v>44798</v>
      </c>
      <c r="F117" t="s">
        <v>49</v>
      </c>
      <c r="G117">
        <v>1000000</v>
      </c>
      <c r="H117" s="2">
        <v>44819</v>
      </c>
      <c r="I117">
        <v>2022</v>
      </c>
      <c r="J117">
        <v>6992.4959167028501</v>
      </c>
      <c r="K117">
        <v>24463.624083297102</v>
      </c>
      <c r="L117">
        <v>251725.55</v>
      </c>
      <c r="M117">
        <v>0</v>
      </c>
      <c r="N117">
        <v>283181.67</v>
      </c>
      <c r="O117" t="s">
        <v>1499</v>
      </c>
    </row>
    <row r="118" spans="1:15" x14ac:dyDescent="0.25">
      <c r="A118" t="s">
        <v>1791</v>
      </c>
      <c r="B118" t="s">
        <v>1792</v>
      </c>
      <c r="C118" t="s">
        <v>1793</v>
      </c>
      <c r="D118" t="s">
        <v>99</v>
      </c>
      <c r="E118" s="2">
        <v>44537</v>
      </c>
      <c r="F118" t="s">
        <v>33</v>
      </c>
      <c r="G118">
        <v>10000000</v>
      </c>
      <c r="H118" s="2">
        <v>44848</v>
      </c>
      <c r="I118">
        <v>2022</v>
      </c>
      <c r="J118">
        <v>11007.895575410799</v>
      </c>
      <c r="K118">
        <v>26172.9944245892</v>
      </c>
      <c r="L118">
        <v>142616.44</v>
      </c>
      <c r="M118">
        <v>0</v>
      </c>
      <c r="N118">
        <v>179797.33</v>
      </c>
      <c r="O118" t="s">
        <v>1477</v>
      </c>
    </row>
    <row r="119" spans="1:15" x14ac:dyDescent="0.25">
      <c r="A119" t="s">
        <v>1794</v>
      </c>
      <c r="B119" t="s">
        <v>1795</v>
      </c>
      <c r="C119" t="s">
        <v>1796</v>
      </c>
      <c r="D119" t="s">
        <v>99</v>
      </c>
      <c r="E119" s="2">
        <v>44513</v>
      </c>
      <c r="F119" t="s">
        <v>49</v>
      </c>
      <c r="G119">
        <v>1000000</v>
      </c>
      <c r="H119" s="2">
        <v>44836</v>
      </c>
      <c r="I119">
        <v>2022</v>
      </c>
      <c r="J119">
        <v>2102.0287842770399</v>
      </c>
      <c r="K119">
        <v>7313.7912157229603</v>
      </c>
      <c r="L119">
        <v>53882.93</v>
      </c>
      <c r="M119">
        <v>0</v>
      </c>
      <c r="N119">
        <v>63298.75</v>
      </c>
      <c r="O119" t="s">
        <v>1547</v>
      </c>
    </row>
    <row r="120" spans="1:15" x14ac:dyDescent="0.25">
      <c r="A120" t="s">
        <v>1797</v>
      </c>
      <c r="B120" t="s">
        <v>1798</v>
      </c>
      <c r="C120" t="s">
        <v>1799</v>
      </c>
      <c r="D120" t="s">
        <v>99</v>
      </c>
      <c r="E120" s="2">
        <v>44756</v>
      </c>
      <c r="F120" t="s">
        <v>51</v>
      </c>
      <c r="G120">
        <v>1000000</v>
      </c>
      <c r="H120" s="2">
        <v>44852</v>
      </c>
      <c r="I120">
        <v>2022</v>
      </c>
      <c r="J120">
        <v>4973.8232580057602</v>
      </c>
      <c r="K120">
        <v>18609.096741994199</v>
      </c>
      <c r="L120">
        <v>90196.24</v>
      </c>
      <c r="M120">
        <v>0</v>
      </c>
      <c r="N120">
        <v>113779.16</v>
      </c>
      <c r="O120" t="s">
        <v>1481</v>
      </c>
    </row>
    <row r="121" spans="1:15" x14ac:dyDescent="0.25">
      <c r="A121" t="s">
        <v>1800</v>
      </c>
      <c r="B121" t="s">
        <v>1801</v>
      </c>
      <c r="C121" t="s">
        <v>1802</v>
      </c>
      <c r="D121" t="s">
        <v>99</v>
      </c>
      <c r="E121" s="2">
        <v>44806</v>
      </c>
      <c r="F121" t="s">
        <v>41</v>
      </c>
      <c r="G121">
        <v>1000000</v>
      </c>
      <c r="H121" s="2">
        <v>44863</v>
      </c>
      <c r="I121">
        <v>2022</v>
      </c>
      <c r="J121">
        <v>4742.1050292817699</v>
      </c>
      <c r="K121">
        <v>16289.2249707182</v>
      </c>
      <c r="L121">
        <v>115579.9</v>
      </c>
      <c r="M121">
        <v>0</v>
      </c>
      <c r="N121">
        <v>136611.23000000001</v>
      </c>
      <c r="O121" t="s">
        <v>1506</v>
      </c>
    </row>
    <row r="122" spans="1:15" x14ac:dyDescent="0.25">
      <c r="A122" t="s">
        <v>1803</v>
      </c>
      <c r="B122" t="s">
        <v>1804</v>
      </c>
      <c r="C122" t="s">
        <v>1805</v>
      </c>
      <c r="D122" t="s">
        <v>99</v>
      </c>
      <c r="E122" s="2">
        <v>44588</v>
      </c>
      <c r="F122" t="s">
        <v>49</v>
      </c>
      <c r="G122">
        <v>3000000</v>
      </c>
      <c r="H122" s="2">
        <v>44863</v>
      </c>
      <c r="I122">
        <v>2022</v>
      </c>
      <c r="J122">
        <v>5520.97060583854</v>
      </c>
      <c r="K122">
        <v>15918.6893941615</v>
      </c>
      <c r="L122">
        <v>76525.259999999995</v>
      </c>
      <c r="M122">
        <v>0</v>
      </c>
      <c r="N122">
        <v>97964.92</v>
      </c>
      <c r="O122" t="s">
        <v>1460</v>
      </c>
    </row>
    <row r="123" spans="1:15" x14ac:dyDescent="0.25">
      <c r="A123" t="s">
        <v>1806</v>
      </c>
      <c r="B123" t="s">
        <v>1807</v>
      </c>
      <c r="C123" t="s">
        <v>1808</v>
      </c>
      <c r="D123" t="s">
        <v>99</v>
      </c>
      <c r="E123" s="2">
        <v>44543</v>
      </c>
      <c r="F123" t="s">
        <v>49</v>
      </c>
      <c r="G123">
        <v>1000000</v>
      </c>
      <c r="H123" s="2">
        <v>44716</v>
      </c>
      <c r="I123">
        <v>2022</v>
      </c>
      <c r="J123">
        <v>18840.234803111998</v>
      </c>
      <c r="K123">
        <v>49071.405196888001</v>
      </c>
      <c r="L123">
        <v>242996.55</v>
      </c>
      <c r="M123">
        <v>0</v>
      </c>
      <c r="N123">
        <v>310908.19</v>
      </c>
      <c r="O123" t="s">
        <v>186</v>
      </c>
    </row>
    <row r="124" spans="1:15" x14ac:dyDescent="0.25">
      <c r="A124" t="s">
        <v>1809</v>
      </c>
      <c r="B124" t="s">
        <v>1810</v>
      </c>
      <c r="C124" t="s">
        <v>1698</v>
      </c>
      <c r="D124" t="s">
        <v>99</v>
      </c>
      <c r="E124" s="2">
        <v>44805</v>
      </c>
      <c r="F124" t="s">
        <v>40</v>
      </c>
      <c r="G124">
        <v>1000000</v>
      </c>
      <c r="H124" s="2">
        <v>44806</v>
      </c>
      <c r="I124">
        <v>2022</v>
      </c>
      <c r="J124">
        <v>8087.2448152900197</v>
      </c>
      <c r="K124">
        <v>25348.405184710002</v>
      </c>
      <c r="L124">
        <v>218097.72</v>
      </c>
      <c r="M124">
        <v>0</v>
      </c>
      <c r="N124">
        <v>251533.37</v>
      </c>
      <c r="O124" t="s">
        <v>159</v>
      </c>
    </row>
    <row r="125" spans="1:15" x14ac:dyDescent="0.25">
      <c r="A125" t="s">
        <v>1811</v>
      </c>
      <c r="B125" t="s">
        <v>1812</v>
      </c>
      <c r="C125" t="s">
        <v>1813</v>
      </c>
      <c r="D125" t="s">
        <v>99</v>
      </c>
      <c r="E125" s="2">
        <v>44852</v>
      </c>
      <c r="F125" t="s">
        <v>10</v>
      </c>
      <c r="G125">
        <v>10000000</v>
      </c>
      <c r="H125" s="2">
        <v>44875</v>
      </c>
      <c r="I125">
        <v>2022</v>
      </c>
      <c r="J125">
        <v>21838.726166953998</v>
      </c>
      <c r="K125">
        <v>71441.753833045994</v>
      </c>
      <c r="L125">
        <v>409907.58</v>
      </c>
      <c r="M125">
        <v>0</v>
      </c>
      <c r="N125">
        <v>503188.06</v>
      </c>
      <c r="O125" t="s">
        <v>1492</v>
      </c>
    </row>
    <row r="126" spans="1:15" x14ac:dyDescent="0.25">
      <c r="A126" t="s">
        <v>1814</v>
      </c>
      <c r="B126" t="s">
        <v>1815</v>
      </c>
      <c r="C126" t="s">
        <v>1816</v>
      </c>
      <c r="D126" t="s">
        <v>99</v>
      </c>
      <c r="E126" s="2">
        <v>44834</v>
      </c>
      <c r="F126" t="s">
        <v>17</v>
      </c>
      <c r="G126">
        <v>4000000</v>
      </c>
      <c r="H126" s="2">
        <v>44877</v>
      </c>
      <c r="I126">
        <v>2022</v>
      </c>
      <c r="J126">
        <v>6253.6003358052103</v>
      </c>
      <c r="K126">
        <v>21113.709664194801</v>
      </c>
      <c r="L126">
        <v>133919.43</v>
      </c>
      <c r="M126">
        <v>0</v>
      </c>
      <c r="N126">
        <v>161286.74</v>
      </c>
      <c r="O126" t="s">
        <v>1477</v>
      </c>
    </row>
    <row r="127" spans="1:15" x14ac:dyDescent="0.25">
      <c r="A127" t="s">
        <v>1817</v>
      </c>
      <c r="B127" t="s">
        <v>1818</v>
      </c>
      <c r="C127" t="s">
        <v>1819</v>
      </c>
      <c r="D127" t="s">
        <v>99</v>
      </c>
      <c r="E127" s="2">
        <v>44646</v>
      </c>
      <c r="F127" t="s">
        <v>53</v>
      </c>
      <c r="G127">
        <v>1000000</v>
      </c>
      <c r="H127" s="2">
        <v>44858</v>
      </c>
      <c r="I127">
        <v>2022</v>
      </c>
      <c r="J127">
        <v>2023.50203675852</v>
      </c>
      <c r="K127">
        <v>7300.0279632414804</v>
      </c>
      <c r="L127">
        <v>64776.81</v>
      </c>
      <c r="M127">
        <v>0</v>
      </c>
      <c r="N127">
        <v>74100.34</v>
      </c>
      <c r="O127" t="s">
        <v>1513</v>
      </c>
    </row>
    <row r="128" spans="1:15" x14ac:dyDescent="0.25">
      <c r="A128" t="s">
        <v>1820</v>
      </c>
      <c r="B128" t="s">
        <v>1821</v>
      </c>
      <c r="C128" t="s">
        <v>1822</v>
      </c>
      <c r="D128" t="s">
        <v>99</v>
      </c>
      <c r="E128" s="2">
        <v>44816</v>
      </c>
      <c r="F128" t="s">
        <v>11</v>
      </c>
      <c r="G128">
        <v>1000000</v>
      </c>
      <c r="H128" s="2">
        <v>44859</v>
      </c>
      <c r="I128">
        <v>2022</v>
      </c>
      <c r="J128">
        <v>8958.15379801167</v>
      </c>
      <c r="K128">
        <v>26569.5562019883</v>
      </c>
      <c r="L128">
        <v>125690.87</v>
      </c>
      <c r="M128">
        <v>0</v>
      </c>
      <c r="N128">
        <v>161218.57999999999</v>
      </c>
      <c r="O128" t="s">
        <v>1464</v>
      </c>
    </row>
    <row r="129" spans="1:15" x14ac:dyDescent="0.25">
      <c r="A129" t="s">
        <v>1823</v>
      </c>
      <c r="B129" t="s">
        <v>1824</v>
      </c>
      <c r="C129" t="s">
        <v>1825</v>
      </c>
      <c r="D129" t="s">
        <v>99</v>
      </c>
      <c r="E129" s="2">
        <v>44809</v>
      </c>
      <c r="F129" t="s">
        <v>26</v>
      </c>
      <c r="G129">
        <v>4000000</v>
      </c>
      <c r="H129" s="2">
        <v>44853</v>
      </c>
      <c r="I129">
        <v>2022</v>
      </c>
      <c r="J129">
        <v>11935.2522684537</v>
      </c>
      <c r="K129">
        <v>45322.417731546302</v>
      </c>
      <c r="L129">
        <v>191100.38</v>
      </c>
      <c r="M129">
        <v>0</v>
      </c>
      <c r="N129">
        <v>248358.05</v>
      </c>
      <c r="O129" t="s">
        <v>159</v>
      </c>
    </row>
    <row r="130" spans="1:15" x14ac:dyDescent="0.25">
      <c r="A130" t="s">
        <v>1826</v>
      </c>
      <c r="B130" t="s">
        <v>1827</v>
      </c>
      <c r="C130" t="s">
        <v>1828</v>
      </c>
      <c r="D130" t="s">
        <v>99</v>
      </c>
      <c r="E130" s="2">
        <v>44597</v>
      </c>
      <c r="F130" t="s">
        <v>11</v>
      </c>
      <c r="G130">
        <v>10000000</v>
      </c>
      <c r="H130" s="2">
        <v>44889</v>
      </c>
      <c r="I130">
        <v>2022</v>
      </c>
      <c r="J130">
        <v>41845.477903884399</v>
      </c>
      <c r="K130">
        <v>123983.77209611599</v>
      </c>
      <c r="L130">
        <v>710434.44</v>
      </c>
      <c r="M130">
        <v>0</v>
      </c>
      <c r="N130">
        <v>876263.69</v>
      </c>
      <c r="O130" t="s">
        <v>119</v>
      </c>
    </row>
    <row r="131" spans="1:15" x14ac:dyDescent="0.25">
      <c r="A131" t="s">
        <v>1829</v>
      </c>
      <c r="B131" t="s">
        <v>1830</v>
      </c>
      <c r="C131" t="s">
        <v>1831</v>
      </c>
      <c r="D131" t="s">
        <v>99</v>
      </c>
      <c r="E131" s="2">
        <v>44837</v>
      </c>
      <c r="F131" t="s">
        <v>43</v>
      </c>
      <c r="G131">
        <v>10000000</v>
      </c>
      <c r="H131" s="2">
        <v>44889</v>
      </c>
      <c r="I131">
        <v>2022</v>
      </c>
      <c r="J131">
        <v>2848.1596549915498</v>
      </c>
      <c r="K131">
        <v>8458.0503450084507</v>
      </c>
      <c r="L131">
        <v>52529.26</v>
      </c>
      <c r="M131">
        <v>0</v>
      </c>
      <c r="N131">
        <v>63835.47</v>
      </c>
      <c r="O131" t="s">
        <v>1547</v>
      </c>
    </row>
    <row r="132" spans="1:15" x14ac:dyDescent="0.25">
      <c r="A132" t="s">
        <v>1832</v>
      </c>
      <c r="B132" t="s">
        <v>1833</v>
      </c>
      <c r="C132" t="s">
        <v>1834</v>
      </c>
      <c r="D132" t="s">
        <v>99</v>
      </c>
      <c r="E132" s="2">
        <v>44778</v>
      </c>
      <c r="F132" t="s">
        <v>44</v>
      </c>
      <c r="G132">
        <v>1000000</v>
      </c>
      <c r="H132" s="2">
        <v>44891</v>
      </c>
      <c r="I132">
        <v>2022</v>
      </c>
      <c r="J132">
        <v>3807.0065067216301</v>
      </c>
      <c r="K132">
        <v>9891.7034932783608</v>
      </c>
      <c r="L132">
        <v>107627.94</v>
      </c>
      <c r="M132">
        <v>0</v>
      </c>
      <c r="N132">
        <v>121326.65</v>
      </c>
      <c r="O132" t="s">
        <v>111</v>
      </c>
    </row>
    <row r="133" spans="1:15" x14ac:dyDescent="0.25">
      <c r="A133" t="s">
        <v>1835</v>
      </c>
      <c r="B133" t="s">
        <v>1836</v>
      </c>
      <c r="C133" t="s">
        <v>1837</v>
      </c>
      <c r="D133" t="s">
        <v>99</v>
      </c>
      <c r="E133" s="2">
        <v>44511</v>
      </c>
      <c r="F133" t="s">
        <v>39</v>
      </c>
      <c r="G133">
        <v>5000000</v>
      </c>
      <c r="H133" s="2">
        <v>44873</v>
      </c>
      <c r="I133">
        <v>2022</v>
      </c>
      <c r="J133">
        <v>2591.02195849188</v>
      </c>
      <c r="K133">
        <v>7760.3080415081204</v>
      </c>
      <c r="L133">
        <v>73488.42</v>
      </c>
      <c r="M133">
        <v>0</v>
      </c>
      <c r="N133">
        <v>83839.75</v>
      </c>
      <c r="O133" t="s">
        <v>1452</v>
      </c>
    </row>
    <row r="134" spans="1:15" x14ac:dyDescent="0.25">
      <c r="A134" t="s">
        <v>1838</v>
      </c>
      <c r="B134" t="s">
        <v>1839</v>
      </c>
      <c r="C134" t="s">
        <v>1840</v>
      </c>
      <c r="D134" t="s">
        <v>99</v>
      </c>
      <c r="E134" s="2">
        <v>44577</v>
      </c>
      <c r="F134" t="s">
        <v>22</v>
      </c>
      <c r="G134">
        <v>1000000</v>
      </c>
      <c r="H134" s="2">
        <v>44904</v>
      </c>
      <c r="I134">
        <v>2022</v>
      </c>
      <c r="J134">
        <v>2967.1810012476299</v>
      </c>
      <c r="K134">
        <v>7400.43899875237</v>
      </c>
      <c r="L134">
        <v>76433.75</v>
      </c>
      <c r="M134">
        <v>0</v>
      </c>
      <c r="N134">
        <v>86801.37</v>
      </c>
      <c r="O134" t="s">
        <v>1452</v>
      </c>
    </row>
    <row r="135" spans="1:15" x14ac:dyDescent="0.25">
      <c r="A135" t="s">
        <v>1841</v>
      </c>
      <c r="B135" t="s">
        <v>1842</v>
      </c>
      <c r="C135" t="s">
        <v>1843</v>
      </c>
      <c r="D135" t="s">
        <v>99</v>
      </c>
      <c r="E135" s="2">
        <v>44623</v>
      </c>
      <c r="F135" t="s">
        <v>43</v>
      </c>
      <c r="G135">
        <v>1000000</v>
      </c>
      <c r="H135" s="2">
        <v>44884</v>
      </c>
      <c r="I135">
        <v>2022</v>
      </c>
      <c r="J135">
        <v>1965.49608675633</v>
      </c>
      <c r="K135">
        <v>5344.9539132436703</v>
      </c>
      <c r="L135">
        <v>67354.91</v>
      </c>
      <c r="M135">
        <v>0</v>
      </c>
      <c r="N135">
        <v>74665.36</v>
      </c>
      <c r="O135" t="s">
        <v>1513</v>
      </c>
    </row>
    <row r="136" spans="1:15" x14ac:dyDescent="0.25">
      <c r="A136" t="s">
        <v>1844</v>
      </c>
      <c r="B136" t="s">
        <v>1845</v>
      </c>
      <c r="C136" t="s">
        <v>1846</v>
      </c>
      <c r="D136" t="s">
        <v>99</v>
      </c>
      <c r="E136" s="2">
        <v>44830</v>
      </c>
      <c r="F136" t="s">
        <v>17</v>
      </c>
      <c r="G136">
        <v>10000000</v>
      </c>
      <c r="H136" s="2">
        <v>44910</v>
      </c>
      <c r="I136">
        <v>2022</v>
      </c>
      <c r="J136">
        <v>2119.41292557611</v>
      </c>
      <c r="K136">
        <v>6509.7670744238903</v>
      </c>
      <c r="L136">
        <v>84502.12</v>
      </c>
      <c r="M136">
        <v>0</v>
      </c>
      <c r="N136">
        <v>93131.3</v>
      </c>
      <c r="O136" t="s">
        <v>1456</v>
      </c>
    </row>
    <row r="137" spans="1:15" x14ac:dyDescent="0.25">
      <c r="A137" t="s">
        <v>1847</v>
      </c>
      <c r="B137" t="s">
        <v>1848</v>
      </c>
      <c r="C137" t="s">
        <v>1849</v>
      </c>
      <c r="D137" t="s">
        <v>99</v>
      </c>
      <c r="E137" s="2">
        <v>44662</v>
      </c>
      <c r="F137" t="s">
        <v>49</v>
      </c>
      <c r="G137">
        <v>1000000</v>
      </c>
      <c r="H137" s="2">
        <v>44949</v>
      </c>
      <c r="I137">
        <v>2023</v>
      </c>
      <c r="J137">
        <v>1919.3711267393801</v>
      </c>
      <c r="K137">
        <v>7443.1088732606104</v>
      </c>
      <c r="L137">
        <v>73825</v>
      </c>
      <c r="M137">
        <v>0</v>
      </c>
      <c r="N137">
        <v>83187.48</v>
      </c>
      <c r="O137" t="s">
        <v>1452</v>
      </c>
    </row>
    <row r="138" spans="1:15" x14ac:dyDescent="0.25">
      <c r="A138" t="s">
        <v>1850</v>
      </c>
      <c r="B138" t="s">
        <v>1851</v>
      </c>
      <c r="C138" t="s">
        <v>1852</v>
      </c>
      <c r="D138" t="s">
        <v>99</v>
      </c>
      <c r="E138" s="2">
        <v>44719</v>
      </c>
      <c r="F138" t="s">
        <v>23</v>
      </c>
      <c r="G138">
        <v>10000000</v>
      </c>
      <c r="H138" s="2">
        <v>44847</v>
      </c>
      <c r="I138">
        <v>2022</v>
      </c>
      <c r="J138">
        <v>12640.792733201</v>
      </c>
      <c r="K138">
        <v>48363.707266799</v>
      </c>
      <c r="L138">
        <v>337706.34</v>
      </c>
      <c r="M138">
        <v>0</v>
      </c>
      <c r="N138">
        <v>398710.84</v>
      </c>
      <c r="O138" t="s">
        <v>1485</v>
      </c>
    </row>
    <row r="139" spans="1:15" x14ac:dyDescent="0.25">
      <c r="A139" t="s">
        <v>1853</v>
      </c>
      <c r="B139" t="s">
        <v>1854</v>
      </c>
      <c r="C139" t="s">
        <v>1855</v>
      </c>
      <c r="D139" t="s">
        <v>99</v>
      </c>
      <c r="E139" s="2">
        <v>44577</v>
      </c>
      <c r="F139" t="s">
        <v>49</v>
      </c>
      <c r="G139">
        <v>2000000</v>
      </c>
      <c r="H139" s="2">
        <v>44634</v>
      </c>
      <c r="I139">
        <v>2022</v>
      </c>
      <c r="J139">
        <v>7513.9942016648001</v>
      </c>
      <c r="K139">
        <v>18862.575798335201</v>
      </c>
      <c r="L139">
        <v>166359.42000000001</v>
      </c>
      <c r="M139">
        <v>0</v>
      </c>
      <c r="N139">
        <v>192735.99</v>
      </c>
      <c r="O139" t="s">
        <v>1563</v>
      </c>
    </row>
    <row r="140" spans="1:15" x14ac:dyDescent="0.25">
      <c r="A140" t="s">
        <v>1856</v>
      </c>
      <c r="B140" t="s">
        <v>1857</v>
      </c>
      <c r="C140" t="s">
        <v>1858</v>
      </c>
      <c r="D140" t="s">
        <v>99</v>
      </c>
      <c r="E140" s="2">
        <v>44727</v>
      </c>
      <c r="F140" t="s">
        <v>23</v>
      </c>
      <c r="G140">
        <v>3000000</v>
      </c>
      <c r="H140" s="2">
        <v>44897</v>
      </c>
      <c r="I140">
        <v>2022</v>
      </c>
      <c r="J140">
        <v>8524.8893162124605</v>
      </c>
      <c r="K140">
        <v>30726.8206837875</v>
      </c>
      <c r="L140">
        <v>180879.11</v>
      </c>
      <c r="M140">
        <v>0</v>
      </c>
      <c r="N140">
        <v>220130.82</v>
      </c>
      <c r="O140" t="s">
        <v>163</v>
      </c>
    </row>
    <row r="141" spans="1:15" x14ac:dyDescent="0.25">
      <c r="A141" t="s">
        <v>1859</v>
      </c>
      <c r="B141" t="s">
        <v>1860</v>
      </c>
      <c r="C141" t="s">
        <v>1861</v>
      </c>
      <c r="D141" t="s">
        <v>99</v>
      </c>
      <c r="E141" s="2">
        <v>44839</v>
      </c>
      <c r="F141" t="s">
        <v>11</v>
      </c>
      <c r="G141">
        <v>2000000</v>
      </c>
      <c r="H141" s="2">
        <v>44929</v>
      </c>
      <c r="I141">
        <v>2023</v>
      </c>
      <c r="J141">
        <v>2195.9116168891701</v>
      </c>
      <c r="K141">
        <v>7197.19838311083</v>
      </c>
      <c r="L141">
        <v>81761.25</v>
      </c>
      <c r="M141">
        <v>0</v>
      </c>
      <c r="N141">
        <v>91154.36</v>
      </c>
      <c r="O141" t="s">
        <v>1456</v>
      </c>
    </row>
    <row r="142" spans="1:15" x14ac:dyDescent="0.25">
      <c r="A142" t="s">
        <v>1862</v>
      </c>
      <c r="B142" t="s">
        <v>1863</v>
      </c>
      <c r="C142" t="s">
        <v>1864</v>
      </c>
      <c r="D142" t="s">
        <v>99</v>
      </c>
      <c r="E142" s="2">
        <v>44727</v>
      </c>
      <c r="F142" t="s">
        <v>53</v>
      </c>
      <c r="G142">
        <v>1000000</v>
      </c>
      <c r="H142" s="2">
        <v>44983</v>
      </c>
      <c r="I142">
        <v>2023</v>
      </c>
      <c r="J142">
        <v>6738.3535449703304</v>
      </c>
      <c r="K142">
        <v>21454.316455029701</v>
      </c>
      <c r="L142">
        <v>177675.74</v>
      </c>
      <c r="M142">
        <v>0</v>
      </c>
      <c r="N142">
        <v>205868.41</v>
      </c>
      <c r="O142" t="s">
        <v>163</v>
      </c>
    </row>
    <row r="143" spans="1:15" x14ac:dyDescent="0.25">
      <c r="A143" t="s">
        <v>1865</v>
      </c>
      <c r="B143" t="s">
        <v>1866</v>
      </c>
      <c r="C143" t="s">
        <v>1867</v>
      </c>
      <c r="D143" t="s">
        <v>99</v>
      </c>
      <c r="E143" s="2">
        <v>44621</v>
      </c>
      <c r="F143" t="s">
        <v>21</v>
      </c>
      <c r="G143">
        <v>1000000</v>
      </c>
      <c r="H143" s="2">
        <v>44871</v>
      </c>
      <c r="I143">
        <v>2022</v>
      </c>
      <c r="J143">
        <v>1651.7755999817</v>
      </c>
      <c r="K143">
        <v>5516.4844000183002</v>
      </c>
      <c r="L143">
        <v>67096.98</v>
      </c>
      <c r="M143">
        <v>0</v>
      </c>
      <c r="N143">
        <v>74265.240000000005</v>
      </c>
      <c r="O143" t="s">
        <v>1513</v>
      </c>
    </row>
    <row r="144" spans="1:15" x14ac:dyDescent="0.25">
      <c r="A144" t="s">
        <v>1868</v>
      </c>
      <c r="B144" t="s">
        <v>1869</v>
      </c>
      <c r="C144" t="s">
        <v>1870</v>
      </c>
      <c r="D144" t="s">
        <v>99</v>
      </c>
      <c r="E144" s="2">
        <v>44941</v>
      </c>
      <c r="F144" t="s">
        <v>11</v>
      </c>
      <c r="G144">
        <v>1000000</v>
      </c>
      <c r="H144" s="2">
        <v>45003</v>
      </c>
      <c r="I144">
        <v>2023</v>
      </c>
      <c r="J144">
        <v>2231.5310016967101</v>
      </c>
      <c r="K144">
        <v>5472.2189983032904</v>
      </c>
      <c r="L144">
        <v>51465.41</v>
      </c>
      <c r="M144">
        <v>0</v>
      </c>
      <c r="N144">
        <v>59169.16</v>
      </c>
      <c r="O144" t="s">
        <v>1547</v>
      </c>
    </row>
    <row r="145" spans="1:15" x14ac:dyDescent="0.25">
      <c r="A145" t="s">
        <v>1871</v>
      </c>
      <c r="B145" t="s">
        <v>1872</v>
      </c>
      <c r="C145" t="s">
        <v>1873</v>
      </c>
      <c r="D145" t="s">
        <v>99</v>
      </c>
      <c r="E145" s="2">
        <v>44767</v>
      </c>
      <c r="F145" t="s">
        <v>41</v>
      </c>
      <c r="G145">
        <v>2000000</v>
      </c>
      <c r="H145" s="2">
        <v>44940</v>
      </c>
      <c r="I145">
        <v>2023</v>
      </c>
      <c r="J145">
        <v>25936.527905980402</v>
      </c>
      <c r="K145">
        <v>64371.762094019599</v>
      </c>
      <c r="L145">
        <v>375735.77</v>
      </c>
      <c r="M145">
        <v>0</v>
      </c>
      <c r="N145">
        <v>466044.06</v>
      </c>
      <c r="O145" t="s">
        <v>1485</v>
      </c>
    </row>
    <row r="146" spans="1:15" x14ac:dyDescent="0.25">
      <c r="A146" t="s">
        <v>1874</v>
      </c>
      <c r="B146" t="s">
        <v>1875</v>
      </c>
      <c r="C146" t="s">
        <v>1876</v>
      </c>
      <c r="D146" t="s">
        <v>99</v>
      </c>
      <c r="E146" s="2">
        <v>44909</v>
      </c>
      <c r="F146" t="s">
        <v>17</v>
      </c>
      <c r="G146">
        <v>1000000</v>
      </c>
      <c r="H146" s="2">
        <v>44991</v>
      </c>
      <c r="I146">
        <v>2023</v>
      </c>
      <c r="J146">
        <v>7750.8460578529503</v>
      </c>
      <c r="K146">
        <v>27762.113942147</v>
      </c>
      <c r="L146">
        <v>136079.43</v>
      </c>
      <c r="M146">
        <v>0</v>
      </c>
      <c r="N146">
        <v>171592.39</v>
      </c>
      <c r="O146" t="s">
        <v>1477</v>
      </c>
    </row>
    <row r="147" spans="1:15" x14ac:dyDescent="0.25">
      <c r="A147" t="s">
        <v>1877</v>
      </c>
      <c r="B147" t="s">
        <v>1878</v>
      </c>
      <c r="C147" t="s">
        <v>1879</v>
      </c>
      <c r="D147" t="s">
        <v>99</v>
      </c>
      <c r="E147" s="2">
        <v>44610</v>
      </c>
      <c r="F147" t="s">
        <v>53</v>
      </c>
      <c r="G147">
        <v>1000000</v>
      </c>
      <c r="H147" s="2">
        <v>44941</v>
      </c>
      <c r="I147">
        <v>2023</v>
      </c>
      <c r="J147">
        <v>4709.1331626717802</v>
      </c>
      <c r="K147">
        <v>17260.026837328202</v>
      </c>
      <c r="L147">
        <v>194969.31</v>
      </c>
      <c r="M147">
        <v>0</v>
      </c>
      <c r="N147">
        <v>216938.47</v>
      </c>
      <c r="O147" t="s">
        <v>159</v>
      </c>
    </row>
    <row r="148" spans="1:15" x14ac:dyDescent="0.25">
      <c r="A148" t="s">
        <v>1880</v>
      </c>
      <c r="B148" t="s">
        <v>1881</v>
      </c>
      <c r="C148" t="s">
        <v>1882</v>
      </c>
      <c r="D148" t="s">
        <v>99</v>
      </c>
      <c r="E148" s="2">
        <v>44760</v>
      </c>
      <c r="F148" t="s">
        <v>11</v>
      </c>
      <c r="G148">
        <v>5000000</v>
      </c>
      <c r="H148" s="2">
        <v>44986</v>
      </c>
      <c r="I148">
        <v>2023</v>
      </c>
      <c r="J148">
        <v>5255.6199675268799</v>
      </c>
      <c r="K148">
        <v>17790.360032473101</v>
      </c>
      <c r="L148">
        <v>106781.54</v>
      </c>
      <c r="M148">
        <v>0</v>
      </c>
      <c r="N148">
        <v>129827.52</v>
      </c>
      <c r="O148" t="s">
        <v>111</v>
      </c>
    </row>
    <row r="149" spans="1:15" x14ac:dyDescent="0.25">
      <c r="A149" t="s">
        <v>1883</v>
      </c>
      <c r="B149" t="s">
        <v>1884</v>
      </c>
      <c r="C149" t="s">
        <v>1885</v>
      </c>
      <c r="D149" t="s">
        <v>99</v>
      </c>
      <c r="E149" s="2">
        <v>44611</v>
      </c>
      <c r="F149" t="s">
        <v>53</v>
      </c>
      <c r="G149">
        <v>3000000</v>
      </c>
      <c r="H149" s="2">
        <v>44953</v>
      </c>
      <c r="I149">
        <v>2023</v>
      </c>
      <c r="J149">
        <v>2033.37047624499</v>
      </c>
      <c r="K149">
        <v>6127.1695237550102</v>
      </c>
      <c r="L149">
        <v>68349.87</v>
      </c>
      <c r="M149">
        <v>0</v>
      </c>
      <c r="N149">
        <v>76510.41</v>
      </c>
      <c r="O149" t="s">
        <v>1513</v>
      </c>
    </row>
    <row r="150" spans="1:15" x14ac:dyDescent="0.25">
      <c r="A150" t="s">
        <v>1886</v>
      </c>
      <c r="B150" t="s">
        <v>1887</v>
      </c>
      <c r="C150" t="s">
        <v>1888</v>
      </c>
      <c r="D150" t="s">
        <v>99</v>
      </c>
      <c r="E150" s="2">
        <v>44884</v>
      </c>
      <c r="F150" t="s">
        <v>49</v>
      </c>
      <c r="G150">
        <v>1000000</v>
      </c>
      <c r="H150" s="2">
        <v>44983</v>
      </c>
      <c r="I150">
        <v>2023</v>
      </c>
      <c r="J150">
        <v>2972.3642690586498</v>
      </c>
      <c r="K150">
        <v>10147.5857309414</v>
      </c>
      <c r="L150">
        <v>78949.48</v>
      </c>
      <c r="M150">
        <v>0</v>
      </c>
      <c r="N150">
        <v>92069.43</v>
      </c>
      <c r="O150" t="s">
        <v>1460</v>
      </c>
    </row>
    <row r="151" spans="1:15" x14ac:dyDescent="0.25">
      <c r="A151" t="s">
        <v>1889</v>
      </c>
      <c r="B151" t="s">
        <v>1890</v>
      </c>
      <c r="C151" t="s">
        <v>1891</v>
      </c>
      <c r="D151" t="s">
        <v>99</v>
      </c>
      <c r="E151" s="2">
        <v>44760</v>
      </c>
      <c r="F151" t="s">
        <v>25</v>
      </c>
      <c r="G151">
        <v>1000000</v>
      </c>
      <c r="H151" s="2">
        <v>45018</v>
      </c>
      <c r="I151">
        <v>2023</v>
      </c>
      <c r="J151">
        <v>5475.7089214222997</v>
      </c>
      <c r="K151">
        <v>14426.2910785777</v>
      </c>
      <c r="L151">
        <v>78913.850000000006</v>
      </c>
      <c r="M151">
        <v>0</v>
      </c>
      <c r="N151">
        <v>98815.85</v>
      </c>
      <c r="O151" t="s">
        <v>1460</v>
      </c>
    </row>
    <row r="152" spans="1:15" x14ac:dyDescent="0.25">
      <c r="A152" t="s">
        <v>1892</v>
      </c>
      <c r="B152" t="s">
        <v>1893</v>
      </c>
      <c r="C152" t="s">
        <v>1894</v>
      </c>
      <c r="D152" t="s">
        <v>99</v>
      </c>
      <c r="E152" s="2">
        <v>44820</v>
      </c>
      <c r="F152" t="s">
        <v>21</v>
      </c>
      <c r="G152">
        <v>1000000</v>
      </c>
      <c r="H152" s="2">
        <v>45016</v>
      </c>
      <c r="I152">
        <v>2023</v>
      </c>
      <c r="J152">
        <v>8314.7103104032994</v>
      </c>
      <c r="K152">
        <v>25899.789689596699</v>
      </c>
      <c r="L152">
        <v>227260.89</v>
      </c>
      <c r="M152">
        <v>0</v>
      </c>
      <c r="N152">
        <v>261475.39</v>
      </c>
      <c r="O152" t="s">
        <v>186</v>
      </c>
    </row>
    <row r="153" spans="1:15" x14ac:dyDescent="0.25">
      <c r="A153" t="s">
        <v>1895</v>
      </c>
      <c r="B153" t="s">
        <v>1896</v>
      </c>
      <c r="C153" t="s">
        <v>1897</v>
      </c>
      <c r="D153" t="s">
        <v>99</v>
      </c>
      <c r="E153" s="2">
        <v>44993</v>
      </c>
      <c r="F153" t="s">
        <v>49</v>
      </c>
      <c r="G153">
        <v>2000000</v>
      </c>
      <c r="H153" s="2">
        <v>45008</v>
      </c>
      <c r="I153">
        <v>2023</v>
      </c>
      <c r="J153">
        <v>19631.700726556301</v>
      </c>
      <c r="K153">
        <v>54864.809273443701</v>
      </c>
      <c r="L153">
        <v>256378.6</v>
      </c>
      <c r="M153">
        <v>0</v>
      </c>
      <c r="N153">
        <v>330875.11</v>
      </c>
      <c r="O153" t="s">
        <v>1499</v>
      </c>
    </row>
    <row r="154" spans="1:15" x14ac:dyDescent="0.25">
      <c r="A154" t="s">
        <v>1898</v>
      </c>
      <c r="B154" t="s">
        <v>1899</v>
      </c>
      <c r="C154" t="s">
        <v>1900</v>
      </c>
      <c r="D154" t="s">
        <v>99</v>
      </c>
      <c r="E154" s="2">
        <v>44951</v>
      </c>
      <c r="F154" t="s">
        <v>49</v>
      </c>
      <c r="G154">
        <v>1000000</v>
      </c>
      <c r="H154" s="2">
        <v>45025</v>
      </c>
      <c r="I154">
        <v>2023</v>
      </c>
      <c r="J154">
        <v>15520.295721353899</v>
      </c>
      <c r="K154">
        <v>41011.064278646103</v>
      </c>
      <c r="L154">
        <v>386312.55</v>
      </c>
      <c r="M154">
        <v>0</v>
      </c>
      <c r="N154">
        <v>442843.91</v>
      </c>
      <c r="O154" t="s">
        <v>1492</v>
      </c>
    </row>
    <row r="155" spans="1:15" x14ac:dyDescent="0.25">
      <c r="A155" t="s">
        <v>1901</v>
      </c>
      <c r="B155" t="s">
        <v>1902</v>
      </c>
      <c r="C155" t="s">
        <v>1855</v>
      </c>
      <c r="D155" t="s">
        <v>474</v>
      </c>
      <c r="E155" s="2">
        <v>44942</v>
      </c>
      <c r="F155" t="s">
        <v>49</v>
      </c>
      <c r="G155">
        <v>2000000</v>
      </c>
      <c r="H155" s="2">
        <v>44945</v>
      </c>
      <c r="I155">
        <v>2023</v>
      </c>
      <c r="J155">
        <v>2291.7725595715001</v>
      </c>
      <c r="K155">
        <v>8377.9074404285002</v>
      </c>
      <c r="L155">
        <v>75537</v>
      </c>
      <c r="M155">
        <v>14167.9</v>
      </c>
      <c r="N155">
        <v>100374.58</v>
      </c>
      <c r="O155" t="s">
        <v>1481</v>
      </c>
    </row>
    <row r="156" spans="1:15" x14ac:dyDescent="0.25">
      <c r="A156" t="s">
        <v>1903</v>
      </c>
      <c r="B156" t="s">
        <v>1904</v>
      </c>
      <c r="C156" t="s">
        <v>1905</v>
      </c>
      <c r="D156" t="s">
        <v>474</v>
      </c>
      <c r="E156" s="2">
        <v>44701</v>
      </c>
      <c r="F156" t="s">
        <v>30</v>
      </c>
      <c r="G156">
        <v>2000000</v>
      </c>
      <c r="H156" s="2">
        <v>44976</v>
      </c>
      <c r="I156">
        <v>2023</v>
      </c>
      <c r="J156">
        <v>2931.9960082520302</v>
      </c>
      <c r="K156">
        <v>8836.8239917479696</v>
      </c>
      <c r="L156">
        <v>50733.72</v>
      </c>
      <c r="M156">
        <v>25299.9</v>
      </c>
      <c r="N156">
        <v>87802.44</v>
      </c>
      <c r="O156" t="s">
        <v>1456</v>
      </c>
    </row>
    <row r="157" spans="1:15" x14ac:dyDescent="0.25">
      <c r="A157" t="s">
        <v>1906</v>
      </c>
      <c r="B157" t="s">
        <v>1907</v>
      </c>
      <c r="C157" t="s">
        <v>1908</v>
      </c>
      <c r="D157" t="s">
        <v>99</v>
      </c>
      <c r="E157" s="2">
        <v>44913</v>
      </c>
      <c r="F157" t="s">
        <v>12</v>
      </c>
      <c r="G157">
        <v>4000000</v>
      </c>
      <c r="H157" s="2">
        <v>45051</v>
      </c>
      <c r="I157">
        <v>2023</v>
      </c>
      <c r="J157">
        <v>2352.6502656692901</v>
      </c>
      <c r="K157">
        <v>6774.3497343307099</v>
      </c>
      <c r="L157">
        <v>61346.82</v>
      </c>
      <c r="M157">
        <v>0</v>
      </c>
      <c r="N157">
        <v>70473.820000000007</v>
      </c>
      <c r="O157" t="s">
        <v>126</v>
      </c>
    </row>
    <row r="158" spans="1:15" x14ac:dyDescent="0.25">
      <c r="A158" t="s">
        <v>1909</v>
      </c>
      <c r="B158" t="s">
        <v>1910</v>
      </c>
      <c r="C158" t="s">
        <v>1911</v>
      </c>
      <c r="D158" t="s">
        <v>99</v>
      </c>
      <c r="E158" s="2">
        <v>44975</v>
      </c>
      <c r="F158" t="s">
        <v>12</v>
      </c>
      <c r="G158">
        <v>1000000</v>
      </c>
      <c r="H158" s="2">
        <v>45059</v>
      </c>
      <c r="I158">
        <v>2023</v>
      </c>
      <c r="J158">
        <v>3352.1710663959602</v>
      </c>
      <c r="K158">
        <v>8467.9189336040399</v>
      </c>
      <c r="L158">
        <v>60582.239999999998</v>
      </c>
      <c r="M158">
        <v>0</v>
      </c>
      <c r="N158">
        <v>72402.33</v>
      </c>
      <c r="O158" t="s">
        <v>126</v>
      </c>
    </row>
    <row r="159" spans="1:15" x14ac:dyDescent="0.25">
      <c r="A159" t="s">
        <v>1912</v>
      </c>
      <c r="B159" t="s">
        <v>1913</v>
      </c>
      <c r="C159" t="s">
        <v>1914</v>
      </c>
      <c r="D159" t="s">
        <v>99</v>
      </c>
      <c r="E159" s="2">
        <v>44772</v>
      </c>
      <c r="F159" t="s">
        <v>41</v>
      </c>
      <c r="G159">
        <v>2000000</v>
      </c>
      <c r="H159" s="2">
        <v>45078</v>
      </c>
      <c r="I159">
        <v>2023</v>
      </c>
      <c r="J159">
        <v>14149.732386748999</v>
      </c>
      <c r="K159">
        <v>33281.747613250998</v>
      </c>
      <c r="L159">
        <v>221607.85</v>
      </c>
      <c r="M159">
        <v>0</v>
      </c>
      <c r="N159">
        <v>269039.33</v>
      </c>
      <c r="O159" t="s">
        <v>186</v>
      </c>
    </row>
    <row r="160" spans="1:15" x14ac:dyDescent="0.25">
      <c r="A160" t="s">
        <v>1915</v>
      </c>
      <c r="B160" t="s">
        <v>1916</v>
      </c>
      <c r="C160" t="s">
        <v>1917</v>
      </c>
      <c r="D160" t="s">
        <v>99</v>
      </c>
      <c r="E160" s="2">
        <v>44844</v>
      </c>
      <c r="F160" t="s">
        <v>25</v>
      </c>
      <c r="G160">
        <v>4000000</v>
      </c>
      <c r="H160" s="2">
        <v>45067</v>
      </c>
      <c r="I160">
        <v>2023</v>
      </c>
      <c r="J160">
        <v>9723.8349594227602</v>
      </c>
      <c r="K160">
        <v>29521.025040577199</v>
      </c>
      <c r="L160">
        <v>141919.23000000001</v>
      </c>
      <c r="M160">
        <v>0</v>
      </c>
      <c r="N160">
        <v>181164.09</v>
      </c>
      <c r="O160" t="s">
        <v>1477</v>
      </c>
    </row>
    <row r="161" spans="1:15" x14ac:dyDescent="0.25">
      <c r="A161" t="s">
        <v>1918</v>
      </c>
      <c r="B161" t="s">
        <v>1919</v>
      </c>
      <c r="C161" t="s">
        <v>1920</v>
      </c>
      <c r="D161" t="s">
        <v>99</v>
      </c>
      <c r="E161" s="2">
        <v>44804</v>
      </c>
      <c r="F161" t="s">
        <v>11</v>
      </c>
      <c r="G161">
        <v>1000000</v>
      </c>
      <c r="H161" s="2">
        <v>45097</v>
      </c>
      <c r="I161">
        <v>2023</v>
      </c>
      <c r="J161">
        <v>4633.8731628879104</v>
      </c>
      <c r="K161">
        <v>12267.4468371121</v>
      </c>
      <c r="L161">
        <v>77819.509999999995</v>
      </c>
      <c r="M161">
        <v>0</v>
      </c>
      <c r="N161">
        <v>94720.83</v>
      </c>
      <c r="O161" t="s">
        <v>1460</v>
      </c>
    </row>
    <row r="162" spans="1:15" x14ac:dyDescent="0.25">
      <c r="A162" t="s">
        <v>1921</v>
      </c>
      <c r="B162" t="s">
        <v>1922</v>
      </c>
      <c r="C162" t="s">
        <v>1923</v>
      </c>
      <c r="D162" t="s">
        <v>99</v>
      </c>
      <c r="E162" s="2">
        <v>44762</v>
      </c>
      <c r="F162" t="s">
        <v>49</v>
      </c>
      <c r="G162">
        <v>1000000</v>
      </c>
      <c r="H162" s="2">
        <v>45092</v>
      </c>
      <c r="I162">
        <v>2023</v>
      </c>
      <c r="J162">
        <v>13533.0495054941</v>
      </c>
      <c r="K162">
        <v>39509.960494505904</v>
      </c>
      <c r="L162">
        <v>208052.16</v>
      </c>
      <c r="M162">
        <v>0</v>
      </c>
      <c r="N162">
        <v>261095.17</v>
      </c>
      <c r="O162" t="s">
        <v>159</v>
      </c>
    </row>
    <row r="163" spans="1:15" x14ac:dyDescent="0.25">
      <c r="A163" t="s">
        <v>1924</v>
      </c>
      <c r="B163" t="s">
        <v>1925</v>
      </c>
      <c r="C163" t="s">
        <v>1537</v>
      </c>
      <c r="D163" t="s">
        <v>99</v>
      </c>
      <c r="E163" s="2">
        <v>44967</v>
      </c>
      <c r="F163" t="s">
        <v>21</v>
      </c>
      <c r="G163">
        <v>1000000</v>
      </c>
      <c r="H163" s="2">
        <v>45068</v>
      </c>
      <c r="I163">
        <v>2023</v>
      </c>
      <c r="J163">
        <v>7956.4551788510098</v>
      </c>
      <c r="K163">
        <v>23734.564821149001</v>
      </c>
      <c r="L163">
        <v>111386.81</v>
      </c>
      <c r="M163">
        <v>0</v>
      </c>
      <c r="N163">
        <v>143077.82999999999</v>
      </c>
      <c r="O163" t="s">
        <v>1506</v>
      </c>
    </row>
    <row r="164" spans="1:15" x14ac:dyDescent="0.25">
      <c r="A164" t="s">
        <v>1926</v>
      </c>
      <c r="B164" t="s">
        <v>1927</v>
      </c>
      <c r="C164" t="s">
        <v>1928</v>
      </c>
      <c r="D164" t="s">
        <v>99</v>
      </c>
      <c r="E164" s="2">
        <v>44900</v>
      </c>
      <c r="F164" t="s">
        <v>49</v>
      </c>
      <c r="G164">
        <v>5000000</v>
      </c>
      <c r="H164" s="2">
        <v>45102</v>
      </c>
      <c r="I164">
        <v>2023</v>
      </c>
      <c r="J164">
        <v>9118.3525682131003</v>
      </c>
      <c r="K164">
        <v>30833.197431786899</v>
      </c>
      <c r="L164">
        <v>199921.86</v>
      </c>
      <c r="M164">
        <v>0</v>
      </c>
      <c r="N164">
        <v>239873.41</v>
      </c>
      <c r="O164" t="s">
        <v>159</v>
      </c>
    </row>
    <row r="165" spans="1:15" x14ac:dyDescent="0.25">
      <c r="A165" t="s">
        <v>1929</v>
      </c>
      <c r="B165" t="s">
        <v>1930</v>
      </c>
      <c r="C165" t="s">
        <v>1931</v>
      </c>
      <c r="D165" t="s">
        <v>99</v>
      </c>
      <c r="E165" s="2">
        <v>44752</v>
      </c>
      <c r="F165" t="s">
        <v>41</v>
      </c>
      <c r="G165">
        <v>4000000</v>
      </c>
      <c r="H165" s="2">
        <v>44735</v>
      </c>
      <c r="I165">
        <v>2023</v>
      </c>
      <c r="J165">
        <v>36781.284787927201</v>
      </c>
      <c r="K165">
        <v>141854.25521207301</v>
      </c>
      <c r="L165">
        <v>710324.2</v>
      </c>
      <c r="M165">
        <v>0</v>
      </c>
      <c r="N165">
        <v>888959.74</v>
      </c>
      <c r="O165" t="s">
        <v>119</v>
      </c>
    </row>
    <row r="166" spans="1:15" x14ac:dyDescent="0.25">
      <c r="A166" t="s">
        <v>1932</v>
      </c>
      <c r="B166" t="s">
        <v>1933</v>
      </c>
      <c r="C166" t="s">
        <v>1934</v>
      </c>
      <c r="D166" t="s">
        <v>99</v>
      </c>
      <c r="E166" s="2">
        <v>44957</v>
      </c>
      <c r="F166" t="s">
        <v>11</v>
      </c>
      <c r="G166">
        <v>1000000</v>
      </c>
      <c r="H166" s="2">
        <v>45111</v>
      </c>
      <c r="I166">
        <v>2023</v>
      </c>
      <c r="J166">
        <v>4878.20487194626</v>
      </c>
      <c r="K166">
        <v>14439.0551280537</v>
      </c>
      <c r="L166">
        <v>80294.75</v>
      </c>
      <c r="M166">
        <v>0</v>
      </c>
      <c r="N166">
        <v>99612.01</v>
      </c>
      <c r="O166" t="s">
        <v>1460</v>
      </c>
    </row>
    <row r="167" spans="1:15" x14ac:dyDescent="0.25">
      <c r="A167" t="s">
        <v>1935</v>
      </c>
      <c r="B167" t="s">
        <v>1936</v>
      </c>
      <c r="C167" t="s">
        <v>1937</v>
      </c>
      <c r="D167" t="s">
        <v>99</v>
      </c>
      <c r="E167" s="2">
        <v>45087</v>
      </c>
      <c r="F167" t="s">
        <v>21</v>
      </c>
      <c r="G167">
        <v>5000000</v>
      </c>
      <c r="H167" s="2">
        <v>45098</v>
      </c>
      <c r="I167">
        <v>2023</v>
      </c>
      <c r="J167">
        <v>34706.992329683402</v>
      </c>
      <c r="K167">
        <v>86035.287670316597</v>
      </c>
      <c r="L167">
        <v>536349.15</v>
      </c>
      <c r="M167">
        <v>0</v>
      </c>
      <c r="N167">
        <v>657091.43000000005</v>
      </c>
      <c r="O167" t="s">
        <v>1492</v>
      </c>
    </row>
    <row r="168" spans="1:15" x14ac:dyDescent="0.25">
      <c r="A168" t="s">
        <v>1938</v>
      </c>
      <c r="B168" t="s">
        <v>1939</v>
      </c>
      <c r="C168" t="s">
        <v>1940</v>
      </c>
      <c r="D168" t="s">
        <v>99</v>
      </c>
      <c r="E168" s="2">
        <v>44849</v>
      </c>
      <c r="F168" t="s">
        <v>53</v>
      </c>
      <c r="G168">
        <v>4000000</v>
      </c>
      <c r="H168" s="2">
        <v>45131</v>
      </c>
      <c r="I168">
        <v>2023</v>
      </c>
      <c r="J168">
        <v>9540.5333248970692</v>
      </c>
      <c r="K168">
        <v>30591.246675102899</v>
      </c>
      <c r="L168">
        <v>214250.62</v>
      </c>
      <c r="M168">
        <v>0</v>
      </c>
      <c r="N168">
        <v>254382.4</v>
      </c>
      <c r="O168" t="s">
        <v>159</v>
      </c>
    </row>
    <row r="169" spans="1:15" x14ac:dyDescent="0.25">
      <c r="A169" t="s">
        <v>1941</v>
      </c>
      <c r="B169" t="s">
        <v>1942</v>
      </c>
      <c r="C169" t="s">
        <v>1943</v>
      </c>
      <c r="D169" t="s">
        <v>99</v>
      </c>
      <c r="E169" s="2">
        <v>44788</v>
      </c>
      <c r="F169" t="s">
        <v>53</v>
      </c>
      <c r="G169">
        <v>1000000</v>
      </c>
      <c r="H169" s="2">
        <v>45062</v>
      </c>
      <c r="I169">
        <v>2023</v>
      </c>
      <c r="J169">
        <v>7272.7114326445799</v>
      </c>
      <c r="K169">
        <v>25061.698567355401</v>
      </c>
      <c r="L169">
        <v>111876.61</v>
      </c>
      <c r="M169">
        <v>0</v>
      </c>
      <c r="N169">
        <v>144211.01999999999</v>
      </c>
      <c r="O169" t="s">
        <v>1506</v>
      </c>
    </row>
    <row r="170" spans="1:15" x14ac:dyDescent="0.25">
      <c r="A170" t="s">
        <v>1944</v>
      </c>
      <c r="B170" t="s">
        <v>1945</v>
      </c>
      <c r="C170" t="s">
        <v>1946</v>
      </c>
      <c r="D170" t="s">
        <v>99</v>
      </c>
      <c r="E170" s="2">
        <v>44848</v>
      </c>
      <c r="F170" t="s">
        <v>21</v>
      </c>
      <c r="G170">
        <v>1000000</v>
      </c>
      <c r="H170" s="2">
        <v>45037</v>
      </c>
      <c r="I170">
        <v>2023</v>
      </c>
      <c r="J170">
        <v>6642.8185633924504</v>
      </c>
      <c r="K170">
        <v>16812.5314366075</v>
      </c>
      <c r="L170">
        <v>87401.27</v>
      </c>
      <c r="M170">
        <v>0</v>
      </c>
      <c r="N170">
        <v>110856.62</v>
      </c>
      <c r="O170" t="s">
        <v>1456</v>
      </c>
    </row>
    <row r="171" spans="1:15" x14ac:dyDescent="0.25">
      <c r="A171" t="s">
        <v>1947</v>
      </c>
      <c r="B171" t="s">
        <v>1948</v>
      </c>
      <c r="C171" t="s">
        <v>1949</v>
      </c>
      <c r="D171" t="s">
        <v>474</v>
      </c>
      <c r="E171" s="2">
        <v>44914</v>
      </c>
      <c r="F171" t="s">
        <v>54</v>
      </c>
      <c r="G171">
        <v>1000000</v>
      </c>
      <c r="H171" s="2">
        <v>45155</v>
      </c>
      <c r="I171">
        <v>2023</v>
      </c>
      <c r="J171">
        <v>4077.56522099732</v>
      </c>
      <c r="K171">
        <v>11148.784779002701</v>
      </c>
      <c r="L171">
        <v>78234.69</v>
      </c>
      <c r="M171">
        <v>14085.78</v>
      </c>
      <c r="N171">
        <v>107546.82</v>
      </c>
      <c r="O171" t="s">
        <v>1481</v>
      </c>
    </row>
    <row r="172" spans="1:15" x14ac:dyDescent="0.25">
      <c r="A172" t="s">
        <v>1950</v>
      </c>
      <c r="B172" t="s">
        <v>1951</v>
      </c>
      <c r="C172" t="s">
        <v>1952</v>
      </c>
      <c r="D172" t="s">
        <v>99</v>
      </c>
      <c r="E172" s="2">
        <v>45133</v>
      </c>
      <c r="F172" t="s">
        <v>23</v>
      </c>
      <c r="G172">
        <v>5000000</v>
      </c>
      <c r="H172" s="2">
        <v>45151</v>
      </c>
      <c r="I172">
        <v>2023</v>
      </c>
      <c r="J172">
        <v>3855.9689799261701</v>
      </c>
      <c r="K172">
        <v>12518.0310200738</v>
      </c>
      <c r="L172">
        <v>56726.66</v>
      </c>
      <c r="M172">
        <v>0</v>
      </c>
      <c r="N172">
        <v>73100.66</v>
      </c>
      <c r="O172" t="s">
        <v>126</v>
      </c>
    </row>
    <row r="173" spans="1:15" x14ac:dyDescent="0.25">
      <c r="A173" t="s">
        <v>1953</v>
      </c>
      <c r="B173" t="s">
        <v>1954</v>
      </c>
      <c r="C173" t="s">
        <v>1955</v>
      </c>
      <c r="D173" t="s">
        <v>99</v>
      </c>
      <c r="E173" s="2">
        <v>44873</v>
      </c>
      <c r="F173" t="s">
        <v>51</v>
      </c>
      <c r="G173">
        <v>1000000</v>
      </c>
      <c r="H173" s="2">
        <v>45164</v>
      </c>
      <c r="I173">
        <v>2023</v>
      </c>
      <c r="J173">
        <v>4542.3721714429303</v>
      </c>
      <c r="K173">
        <v>10774.9178285571</v>
      </c>
      <c r="L173">
        <v>112771.14</v>
      </c>
      <c r="M173">
        <v>0</v>
      </c>
      <c r="N173">
        <v>128088.43</v>
      </c>
      <c r="O173" t="s">
        <v>1506</v>
      </c>
    </row>
    <row r="174" spans="1:15" x14ac:dyDescent="0.25">
      <c r="A174" t="s">
        <v>1956</v>
      </c>
      <c r="B174" t="s">
        <v>1957</v>
      </c>
      <c r="C174" t="s">
        <v>1958</v>
      </c>
      <c r="D174" t="s">
        <v>99</v>
      </c>
      <c r="E174" s="2">
        <v>44850</v>
      </c>
      <c r="F174" t="s">
        <v>29</v>
      </c>
      <c r="G174">
        <v>1000000</v>
      </c>
      <c r="H174" s="2">
        <v>45113</v>
      </c>
      <c r="I174">
        <v>2023</v>
      </c>
      <c r="J174">
        <v>4689.4255907351198</v>
      </c>
      <c r="K174">
        <v>12349.944409264899</v>
      </c>
      <c r="L174">
        <v>100100.25</v>
      </c>
      <c r="M174">
        <v>0</v>
      </c>
      <c r="N174">
        <v>117139.62</v>
      </c>
      <c r="O174" t="s">
        <v>111</v>
      </c>
    </row>
    <row r="175" spans="1:15" x14ac:dyDescent="0.25">
      <c r="A175" t="s">
        <v>1959</v>
      </c>
      <c r="B175" t="s">
        <v>1960</v>
      </c>
      <c r="C175" t="s">
        <v>1961</v>
      </c>
      <c r="D175" t="s">
        <v>99</v>
      </c>
      <c r="E175" s="2">
        <v>44881</v>
      </c>
      <c r="F175" t="s">
        <v>48</v>
      </c>
      <c r="G175">
        <v>2000000</v>
      </c>
      <c r="H175" s="2">
        <v>45169</v>
      </c>
      <c r="I175">
        <v>2023</v>
      </c>
      <c r="J175">
        <v>8910.3113618341795</v>
      </c>
      <c r="K175">
        <v>25781.4186381658</v>
      </c>
      <c r="L175">
        <v>224647.97</v>
      </c>
      <c r="M175">
        <v>0</v>
      </c>
      <c r="N175">
        <v>259339.7</v>
      </c>
      <c r="O175" t="s">
        <v>186</v>
      </c>
    </row>
    <row r="176" spans="1:15" x14ac:dyDescent="0.25">
      <c r="A176" t="s">
        <v>1962</v>
      </c>
      <c r="B176" t="s">
        <v>1963</v>
      </c>
      <c r="C176" t="s">
        <v>1964</v>
      </c>
      <c r="D176" t="s">
        <v>99</v>
      </c>
      <c r="E176" s="2">
        <v>44993</v>
      </c>
      <c r="F176" t="s">
        <v>41</v>
      </c>
      <c r="G176">
        <v>1000000</v>
      </c>
      <c r="H176" s="2">
        <v>45163</v>
      </c>
      <c r="I176">
        <v>2023</v>
      </c>
      <c r="J176">
        <v>2801.4961713102598</v>
      </c>
      <c r="K176">
        <v>6737.7838286897404</v>
      </c>
      <c r="L176">
        <v>66671.06</v>
      </c>
      <c r="M176">
        <v>0</v>
      </c>
      <c r="N176">
        <v>76210.34</v>
      </c>
      <c r="O176" t="s">
        <v>1513</v>
      </c>
    </row>
    <row r="177" spans="1:15" x14ac:dyDescent="0.25">
      <c r="A177" t="s">
        <v>1965</v>
      </c>
      <c r="B177" t="s">
        <v>1966</v>
      </c>
      <c r="C177" t="s">
        <v>1967</v>
      </c>
      <c r="D177" t="s">
        <v>99</v>
      </c>
      <c r="E177" s="2">
        <v>44942</v>
      </c>
      <c r="F177" t="s">
        <v>43</v>
      </c>
      <c r="G177">
        <v>1000000</v>
      </c>
      <c r="H177" s="2">
        <v>45149</v>
      </c>
      <c r="I177">
        <v>2023</v>
      </c>
      <c r="J177">
        <v>2408.8236541026799</v>
      </c>
      <c r="K177">
        <v>6192.1063458973204</v>
      </c>
      <c r="L177">
        <v>52360.26</v>
      </c>
      <c r="M177">
        <v>0</v>
      </c>
      <c r="N177">
        <v>60961.19</v>
      </c>
      <c r="O177" t="s">
        <v>1547</v>
      </c>
    </row>
    <row r="178" spans="1:15" x14ac:dyDescent="0.25">
      <c r="A178" t="s">
        <v>1968</v>
      </c>
      <c r="B178" t="s">
        <v>1969</v>
      </c>
      <c r="C178" t="s">
        <v>1970</v>
      </c>
      <c r="D178" t="s">
        <v>99</v>
      </c>
      <c r="E178" s="2">
        <v>44865</v>
      </c>
      <c r="F178" t="s">
        <v>39</v>
      </c>
      <c r="G178">
        <v>1000000</v>
      </c>
      <c r="H178" s="2">
        <v>45157</v>
      </c>
      <c r="I178">
        <v>2023</v>
      </c>
      <c r="J178">
        <v>17684.862500305899</v>
      </c>
      <c r="K178">
        <v>43410.977499694098</v>
      </c>
      <c r="L178">
        <v>572536.77</v>
      </c>
      <c r="M178">
        <v>0</v>
      </c>
      <c r="N178">
        <v>633632.61</v>
      </c>
      <c r="O178" t="s">
        <v>119</v>
      </c>
    </row>
    <row r="179" spans="1:15" x14ac:dyDescent="0.25">
      <c r="A179" t="s">
        <v>1971</v>
      </c>
      <c r="B179" t="s">
        <v>1972</v>
      </c>
      <c r="C179" t="s">
        <v>1973</v>
      </c>
      <c r="D179" t="s">
        <v>474</v>
      </c>
      <c r="E179" s="2">
        <v>45115</v>
      </c>
      <c r="F179" t="s">
        <v>43</v>
      </c>
      <c r="G179">
        <v>1000000</v>
      </c>
      <c r="H179" s="2">
        <v>45198</v>
      </c>
      <c r="I179">
        <v>2023</v>
      </c>
      <c r="J179">
        <v>14042.535927835301</v>
      </c>
      <c r="K179">
        <v>36168.774072164699</v>
      </c>
      <c r="L179">
        <v>174828.99</v>
      </c>
      <c r="M179">
        <v>4059.58</v>
      </c>
      <c r="N179">
        <v>229099.88</v>
      </c>
      <c r="O179" t="s">
        <v>163</v>
      </c>
    </row>
    <row r="180" spans="1:15" x14ac:dyDescent="0.25">
      <c r="A180" t="s">
        <v>1974</v>
      </c>
      <c r="B180" t="s">
        <v>1975</v>
      </c>
      <c r="C180" t="s">
        <v>1976</v>
      </c>
      <c r="D180" t="s">
        <v>99</v>
      </c>
      <c r="E180" s="2">
        <v>44964</v>
      </c>
      <c r="F180" t="s">
        <v>49</v>
      </c>
      <c r="G180">
        <v>1000000</v>
      </c>
      <c r="H180" s="2">
        <v>45189</v>
      </c>
      <c r="I180">
        <v>2023</v>
      </c>
      <c r="J180">
        <v>5044.3123115534499</v>
      </c>
      <c r="K180">
        <v>20061.267688446598</v>
      </c>
      <c r="L180">
        <v>127758.33</v>
      </c>
      <c r="M180">
        <v>0</v>
      </c>
      <c r="N180">
        <v>152863.91</v>
      </c>
      <c r="O180" t="s">
        <v>1464</v>
      </c>
    </row>
    <row r="181" spans="1:15" x14ac:dyDescent="0.25">
      <c r="A181" t="s">
        <v>1977</v>
      </c>
      <c r="B181" t="s">
        <v>1978</v>
      </c>
      <c r="C181" t="s">
        <v>1979</v>
      </c>
      <c r="D181" t="s">
        <v>474</v>
      </c>
      <c r="E181" s="2">
        <v>44836</v>
      </c>
      <c r="F181" t="s">
        <v>33</v>
      </c>
      <c r="G181">
        <v>4000000</v>
      </c>
      <c r="H181" s="2">
        <v>45181</v>
      </c>
      <c r="I181">
        <v>2023</v>
      </c>
      <c r="J181">
        <v>3001.2688531547401</v>
      </c>
      <c r="K181">
        <v>7152.61114684526</v>
      </c>
      <c r="L181">
        <v>39420</v>
      </c>
      <c r="M181">
        <v>55599.39</v>
      </c>
      <c r="N181">
        <v>105173.27</v>
      </c>
      <c r="O181" t="s">
        <v>1481</v>
      </c>
    </row>
    <row r="182" spans="1:15" x14ac:dyDescent="0.25">
      <c r="A182" t="s">
        <v>1980</v>
      </c>
      <c r="B182" t="s">
        <v>1981</v>
      </c>
      <c r="C182" t="s">
        <v>1982</v>
      </c>
      <c r="D182" t="s">
        <v>99</v>
      </c>
      <c r="E182" s="2">
        <v>45021</v>
      </c>
      <c r="F182" t="s">
        <v>12</v>
      </c>
      <c r="G182">
        <v>2000000</v>
      </c>
      <c r="H182" s="2">
        <v>45201</v>
      </c>
      <c r="I182">
        <v>2023</v>
      </c>
      <c r="J182">
        <v>3538.6243068085701</v>
      </c>
      <c r="K182">
        <v>11864.0756931914</v>
      </c>
      <c r="L182">
        <v>128454.81</v>
      </c>
      <c r="M182">
        <v>0</v>
      </c>
      <c r="N182">
        <v>143857.51</v>
      </c>
      <c r="O182" t="s">
        <v>1464</v>
      </c>
    </row>
    <row r="183" spans="1:15" x14ac:dyDescent="0.25">
      <c r="A183" t="s">
        <v>1983</v>
      </c>
      <c r="B183" t="s">
        <v>1984</v>
      </c>
      <c r="C183" t="s">
        <v>1985</v>
      </c>
      <c r="D183" t="s">
        <v>99</v>
      </c>
      <c r="E183" s="2">
        <v>45086</v>
      </c>
      <c r="F183" t="s">
        <v>24</v>
      </c>
      <c r="G183">
        <v>1000000</v>
      </c>
      <c r="H183" s="2">
        <v>45210</v>
      </c>
      <c r="I183">
        <v>2023</v>
      </c>
      <c r="J183">
        <v>5068.3413799826803</v>
      </c>
      <c r="K183">
        <v>13188.748620017301</v>
      </c>
      <c r="L183">
        <v>70188.62</v>
      </c>
      <c r="M183">
        <v>0</v>
      </c>
      <c r="N183">
        <v>88445.71</v>
      </c>
      <c r="O183" t="s">
        <v>1513</v>
      </c>
    </row>
    <row r="184" spans="1:15" x14ac:dyDescent="0.25">
      <c r="A184" t="s">
        <v>1986</v>
      </c>
      <c r="B184" t="s">
        <v>1987</v>
      </c>
      <c r="C184" t="s">
        <v>1988</v>
      </c>
      <c r="D184" t="s">
        <v>99</v>
      </c>
      <c r="E184" s="2">
        <v>44946</v>
      </c>
      <c r="F184" t="s">
        <v>16</v>
      </c>
      <c r="G184">
        <v>1000000</v>
      </c>
      <c r="H184" s="2">
        <v>45011</v>
      </c>
      <c r="I184">
        <v>2023</v>
      </c>
      <c r="J184">
        <v>3741.27244875614</v>
      </c>
      <c r="K184">
        <v>12551.5075512439</v>
      </c>
      <c r="L184">
        <v>63125.25</v>
      </c>
      <c r="M184">
        <v>0</v>
      </c>
      <c r="N184">
        <v>79418.03</v>
      </c>
      <c r="O184" t="s">
        <v>126</v>
      </c>
    </row>
    <row r="185" spans="1:15" x14ac:dyDescent="0.25">
      <c r="A185" t="s">
        <v>1989</v>
      </c>
      <c r="B185" t="s">
        <v>1990</v>
      </c>
      <c r="C185" t="s">
        <v>1991</v>
      </c>
      <c r="D185" t="s">
        <v>99</v>
      </c>
      <c r="E185" s="2">
        <v>44820</v>
      </c>
      <c r="F185" t="s">
        <v>11</v>
      </c>
      <c r="G185">
        <v>1000000</v>
      </c>
      <c r="H185" s="2">
        <v>45163</v>
      </c>
      <c r="I185">
        <v>2023</v>
      </c>
      <c r="J185">
        <v>3196.1508449716798</v>
      </c>
      <c r="K185">
        <v>12099.419155028299</v>
      </c>
      <c r="L185">
        <v>114853.85</v>
      </c>
      <c r="M185">
        <v>0</v>
      </c>
      <c r="N185">
        <v>130149.42</v>
      </c>
      <c r="O185" t="s">
        <v>1506</v>
      </c>
    </row>
    <row r="186" spans="1:15" x14ac:dyDescent="0.25">
      <c r="A186" t="s">
        <v>1992</v>
      </c>
      <c r="B186" t="s">
        <v>1993</v>
      </c>
      <c r="C186" t="s">
        <v>1994</v>
      </c>
      <c r="D186" t="s">
        <v>99</v>
      </c>
      <c r="E186" s="2">
        <v>44596</v>
      </c>
      <c r="F186" t="s">
        <v>49</v>
      </c>
      <c r="G186">
        <v>2000000</v>
      </c>
      <c r="H186" s="2">
        <v>44872</v>
      </c>
      <c r="I186">
        <v>2022</v>
      </c>
      <c r="J186">
        <v>3332.2646461642898</v>
      </c>
      <c r="K186">
        <v>12269.085353835701</v>
      </c>
      <c r="L186">
        <v>74615.02</v>
      </c>
      <c r="M186">
        <v>0</v>
      </c>
      <c r="N186">
        <v>90216.37</v>
      </c>
      <c r="O186" t="s">
        <v>1452</v>
      </c>
    </row>
    <row r="187" spans="1:15" x14ac:dyDescent="0.25">
      <c r="A187" t="s">
        <v>1995</v>
      </c>
      <c r="B187" t="s">
        <v>1996</v>
      </c>
      <c r="C187" t="s">
        <v>1997</v>
      </c>
      <c r="D187" t="s">
        <v>99</v>
      </c>
      <c r="E187" s="2">
        <v>44722</v>
      </c>
      <c r="F187" t="s">
        <v>40</v>
      </c>
      <c r="G187">
        <v>1000000</v>
      </c>
      <c r="H187" s="2">
        <v>45069</v>
      </c>
      <c r="I187">
        <v>2023</v>
      </c>
      <c r="J187">
        <v>10617.369941467099</v>
      </c>
      <c r="K187">
        <v>30307.6600585329</v>
      </c>
      <c r="L187">
        <v>180723.07</v>
      </c>
      <c r="M187">
        <v>0</v>
      </c>
      <c r="N187">
        <v>221648.1</v>
      </c>
      <c r="O187" t="s">
        <v>163</v>
      </c>
    </row>
    <row r="188" spans="1:15" x14ac:dyDescent="0.25">
      <c r="A188" t="s">
        <v>1998</v>
      </c>
      <c r="B188" t="s">
        <v>1999</v>
      </c>
      <c r="C188" t="s">
        <v>2000</v>
      </c>
      <c r="D188" t="s">
        <v>474</v>
      </c>
      <c r="E188" s="2">
        <v>44985</v>
      </c>
      <c r="F188" t="s">
        <v>29</v>
      </c>
      <c r="G188">
        <v>5000000</v>
      </c>
      <c r="H188" s="2">
        <v>45076</v>
      </c>
      <c r="I188">
        <v>2023</v>
      </c>
      <c r="J188">
        <v>22768.517098361699</v>
      </c>
      <c r="K188">
        <v>67253.0129016383</v>
      </c>
      <c r="L188">
        <v>319488.28000000003</v>
      </c>
      <c r="M188">
        <v>182574.12</v>
      </c>
      <c r="N188">
        <v>592083.93000000005</v>
      </c>
      <c r="O188" t="s">
        <v>119</v>
      </c>
    </row>
    <row r="189" spans="1:15" x14ac:dyDescent="0.25">
      <c r="A189" t="s">
        <v>2001</v>
      </c>
      <c r="B189" t="s">
        <v>2002</v>
      </c>
      <c r="C189" t="s">
        <v>2003</v>
      </c>
      <c r="D189" t="s">
        <v>99</v>
      </c>
      <c r="E189" s="2">
        <v>44978</v>
      </c>
      <c r="F189" t="s">
        <v>9</v>
      </c>
      <c r="G189">
        <v>1000000</v>
      </c>
      <c r="H189" s="2">
        <v>45202</v>
      </c>
      <c r="I189">
        <v>2023</v>
      </c>
      <c r="J189">
        <v>4811.1884860788196</v>
      </c>
      <c r="K189">
        <v>13008.751513921199</v>
      </c>
      <c r="L189">
        <v>71526.52</v>
      </c>
      <c r="M189">
        <v>0</v>
      </c>
      <c r="N189">
        <v>89346.46</v>
      </c>
      <c r="O189" t="s">
        <v>1452</v>
      </c>
    </row>
    <row r="190" spans="1:15" x14ac:dyDescent="0.25">
      <c r="A190" t="s">
        <v>2004</v>
      </c>
      <c r="B190" t="s">
        <v>1930</v>
      </c>
      <c r="C190" t="s">
        <v>1931</v>
      </c>
      <c r="D190" t="s">
        <v>99</v>
      </c>
      <c r="E190" s="2">
        <v>44841</v>
      </c>
      <c r="F190" t="s">
        <v>41</v>
      </c>
      <c r="G190">
        <v>4000000</v>
      </c>
      <c r="H190" s="2">
        <v>45183</v>
      </c>
      <c r="I190">
        <v>2023</v>
      </c>
      <c r="J190">
        <v>4183.2902725351696</v>
      </c>
      <c r="K190">
        <v>14507.4197274648</v>
      </c>
      <c r="L190">
        <v>158758.69</v>
      </c>
      <c r="M190">
        <v>0</v>
      </c>
      <c r="N190">
        <v>177449.4</v>
      </c>
      <c r="O190" t="s">
        <v>1563</v>
      </c>
    </row>
    <row r="191" spans="1:15" x14ac:dyDescent="0.25">
      <c r="A191" t="s">
        <v>2005</v>
      </c>
      <c r="B191" t="s">
        <v>2006</v>
      </c>
      <c r="C191" t="s">
        <v>2007</v>
      </c>
      <c r="D191" t="s">
        <v>99</v>
      </c>
      <c r="E191" s="2">
        <v>44966</v>
      </c>
      <c r="F191" t="s">
        <v>21</v>
      </c>
      <c r="G191">
        <v>1000000</v>
      </c>
      <c r="H191" s="2">
        <v>45224</v>
      </c>
      <c r="I191">
        <v>2023</v>
      </c>
      <c r="J191">
        <v>2541.4708490391499</v>
      </c>
      <c r="K191">
        <v>7138.2391509608497</v>
      </c>
      <c r="L191">
        <v>60327.28</v>
      </c>
      <c r="M191">
        <v>0</v>
      </c>
      <c r="N191">
        <v>70006.990000000005</v>
      </c>
      <c r="O191" t="s">
        <v>126</v>
      </c>
    </row>
    <row r="192" spans="1:15" x14ac:dyDescent="0.25">
      <c r="A192" t="s">
        <v>2008</v>
      </c>
      <c r="B192" t="s">
        <v>2009</v>
      </c>
      <c r="C192" t="s">
        <v>2010</v>
      </c>
      <c r="D192" t="s">
        <v>474</v>
      </c>
      <c r="E192" s="2">
        <v>44968</v>
      </c>
      <c r="F192" t="s">
        <v>53</v>
      </c>
      <c r="G192">
        <v>1000000</v>
      </c>
      <c r="H192" s="2">
        <v>45233</v>
      </c>
      <c r="I192">
        <v>2023</v>
      </c>
      <c r="J192">
        <v>2930.1981002891298</v>
      </c>
      <c r="K192">
        <v>6962.3918997108703</v>
      </c>
      <c r="L192">
        <v>46577.57</v>
      </c>
      <c r="M192">
        <v>56311.73</v>
      </c>
      <c r="N192">
        <v>112781.89</v>
      </c>
      <c r="O192" t="s">
        <v>1464</v>
      </c>
    </row>
    <row r="193" spans="1:15" x14ac:dyDescent="0.25">
      <c r="A193" t="s">
        <v>2011</v>
      </c>
      <c r="B193" t="s">
        <v>2012</v>
      </c>
      <c r="C193" t="s">
        <v>2013</v>
      </c>
      <c r="D193" t="s">
        <v>99</v>
      </c>
      <c r="E193" s="2">
        <v>44993</v>
      </c>
      <c r="F193" t="s">
        <v>37</v>
      </c>
      <c r="G193">
        <v>1000000</v>
      </c>
      <c r="H193" s="2">
        <v>45254</v>
      </c>
      <c r="I193">
        <v>2023</v>
      </c>
      <c r="J193">
        <v>9353.5158842562505</v>
      </c>
      <c r="K193">
        <v>32784.0641157438</v>
      </c>
      <c r="L193">
        <v>147536.85999999999</v>
      </c>
      <c r="M193">
        <v>0</v>
      </c>
      <c r="N193">
        <v>189674.44</v>
      </c>
      <c r="O193" t="s">
        <v>1563</v>
      </c>
    </row>
    <row r="194" spans="1:15" x14ac:dyDescent="0.25">
      <c r="A194" t="s">
        <v>2014</v>
      </c>
      <c r="B194" t="s">
        <v>2015</v>
      </c>
      <c r="C194" t="s">
        <v>2016</v>
      </c>
      <c r="D194" t="s">
        <v>99</v>
      </c>
      <c r="E194" s="2">
        <v>45065</v>
      </c>
      <c r="F194" t="s">
        <v>37</v>
      </c>
      <c r="G194">
        <v>1000000</v>
      </c>
      <c r="H194" s="2">
        <v>45173</v>
      </c>
      <c r="I194">
        <v>2023</v>
      </c>
      <c r="J194">
        <v>2697.7028534113701</v>
      </c>
      <c r="K194">
        <v>7652.2671465886297</v>
      </c>
      <c r="L194">
        <v>76641.62</v>
      </c>
      <c r="M194">
        <v>0</v>
      </c>
      <c r="N194">
        <v>86991.59</v>
      </c>
      <c r="O194" t="s">
        <v>1460</v>
      </c>
    </row>
    <row r="195" spans="1:15" x14ac:dyDescent="0.25">
      <c r="A195" t="s">
        <v>2017</v>
      </c>
      <c r="B195" t="s">
        <v>2018</v>
      </c>
      <c r="C195" t="s">
        <v>2019</v>
      </c>
      <c r="D195" t="s">
        <v>99</v>
      </c>
      <c r="E195" s="2">
        <v>44975</v>
      </c>
      <c r="F195" t="s">
        <v>33</v>
      </c>
      <c r="G195">
        <v>1000000</v>
      </c>
      <c r="H195" s="2">
        <v>45063</v>
      </c>
      <c r="I195">
        <v>2023</v>
      </c>
      <c r="J195">
        <v>3984.59530917036</v>
      </c>
      <c r="K195">
        <v>9515.8746908296398</v>
      </c>
      <c r="L195">
        <v>114003.68</v>
      </c>
      <c r="M195">
        <v>0</v>
      </c>
      <c r="N195">
        <v>127504.15</v>
      </c>
      <c r="O195" t="s">
        <v>1506</v>
      </c>
    </row>
    <row r="196" spans="1:15" x14ac:dyDescent="0.25">
      <c r="A196" t="s">
        <v>2020</v>
      </c>
      <c r="B196" t="s">
        <v>2021</v>
      </c>
      <c r="C196" t="s">
        <v>2022</v>
      </c>
      <c r="D196" t="s">
        <v>99</v>
      </c>
      <c r="E196" s="2">
        <v>45103</v>
      </c>
      <c r="F196" t="s">
        <v>49</v>
      </c>
      <c r="G196">
        <v>1000000</v>
      </c>
      <c r="H196" s="2">
        <v>45269</v>
      </c>
      <c r="I196">
        <v>2023</v>
      </c>
      <c r="J196">
        <v>7928.1755685559201</v>
      </c>
      <c r="K196">
        <v>23287.0944314441</v>
      </c>
      <c r="L196">
        <v>133033.82</v>
      </c>
      <c r="M196">
        <v>0</v>
      </c>
      <c r="N196">
        <v>164249.09</v>
      </c>
      <c r="O196" t="s">
        <v>1477</v>
      </c>
    </row>
    <row r="197" spans="1:15" x14ac:dyDescent="0.25">
      <c r="A197" t="s">
        <v>2023</v>
      </c>
      <c r="B197" t="s">
        <v>2024</v>
      </c>
      <c r="C197" t="s">
        <v>2025</v>
      </c>
      <c r="D197" t="s">
        <v>99</v>
      </c>
      <c r="E197" s="2">
        <v>45088</v>
      </c>
      <c r="F197" t="s">
        <v>8</v>
      </c>
      <c r="G197">
        <v>1000000</v>
      </c>
      <c r="H197" s="2">
        <v>45265</v>
      </c>
      <c r="I197">
        <v>2023</v>
      </c>
      <c r="J197">
        <v>4236.5073528744197</v>
      </c>
      <c r="K197">
        <v>10005.3826471256</v>
      </c>
      <c r="L197">
        <v>89177.43</v>
      </c>
      <c r="M197">
        <v>0</v>
      </c>
      <c r="N197">
        <v>103419.32</v>
      </c>
      <c r="O197" t="s">
        <v>1481</v>
      </c>
    </row>
    <row r="198" spans="1:15" x14ac:dyDescent="0.25">
      <c r="A198" t="s">
        <v>2026</v>
      </c>
      <c r="B198" t="s">
        <v>2027</v>
      </c>
      <c r="C198" t="s">
        <v>2028</v>
      </c>
      <c r="D198" t="s">
        <v>474</v>
      </c>
      <c r="E198" s="2">
        <v>45094</v>
      </c>
      <c r="F198" t="s">
        <v>26</v>
      </c>
      <c r="G198">
        <v>1000000</v>
      </c>
      <c r="H198" s="2">
        <v>45285</v>
      </c>
      <c r="I198">
        <v>2023</v>
      </c>
      <c r="J198">
        <v>4231.4625305687396</v>
      </c>
      <c r="K198">
        <v>12843.8274694313</v>
      </c>
      <c r="L198">
        <v>68295.149999999994</v>
      </c>
      <c r="M198">
        <v>4478.8400000000101</v>
      </c>
      <c r="N198">
        <v>89849.279999999999</v>
      </c>
      <c r="O198" t="s">
        <v>1452</v>
      </c>
    </row>
    <row r="199" spans="1:15" x14ac:dyDescent="0.25">
      <c r="A199" t="s">
        <v>2029</v>
      </c>
      <c r="B199" t="s">
        <v>2030</v>
      </c>
      <c r="C199" t="s">
        <v>2031</v>
      </c>
      <c r="D199" t="s">
        <v>99</v>
      </c>
      <c r="E199" s="2">
        <v>45178</v>
      </c>
      <c r="F199" t="s">
        <v>56</v>
      </c>
      <c r="G199">
        <v>1000000</v>
      </c>
      <c r="H199" s="2">
        <v>45256</v>
      </c>
      <c r="I199">
        <v>2023</v>
      </c>
      <c r="J199">
        <v>6224.9222400674798</v>
      </c>
      <c r="K199">
        <v>18142.227759932499</v>
      </c>
      <c r="L199">
        <v>129934.02</v>
      </c>
      <c r="M199">
        <v>0</v>
      </c>
      <c r="N199">
        <v>154301.17000000001</v>
      </c>
      <c r="O199" t="s">
        <v>1464</v>
      </c>
    </row>
    <row r="200" spans="1:15" x14ac:dyDescent="0.25">
      <c r="A200" t="s">
        <v>2032</v>
      </c>
      <c r="B200" t="s">
        <v>2033</v>
      </c>
      <c r="C200" t="s">
        <v>2034</v>
      </c>
      <c r="D200" t="s">
        <v>99</v>
      </c>
      <c r="E200" s="2">
        <v>45117</v>
      </c>
      <c r="F200" t="s">
        <v>16</v>
      </c>
      <c r="G200">
        <v>1000000</v>
      </c>
      <c r="H200" s="2">
        <v>45265</v>
      </c>
      <c r="I200">
        <v>2023</v>
      </c>
      <c r="J200">
        <v>2918.6075997132202</v>
      </c>
      <c r="K200">
        <v>8885.6224002867802</v>
      </c>
      <c r="L200">
        <v>113174.05</v>
      </c>
      <c r="M200">
        <v>0</v>
      </c>
      <c r="N200">
        <v>124978.28</v>
      </c>
      <c r="O200" t="s">
        <v>1506</v>
      </c>
    </row>
    <row r="201" spans="1:15" x14ac:dyDescent="0.25">
      <c r="A201" t="s">
        <v>2035</v>
      </c>
      <c r="B201" t="s">
        <v>2036</v>
      </c>
      <c r="C201" t="s">
        <v>2037</v>
      </c>
      <c r="D201" t="s">
        <v>99</v>
      </c>
      <c r="E201" s="2">
        <v>45052</v>
      </c>
      <c r="F201" t="s">
        <v>28</v>
      </c>
      <c r="G201">
        <v>2000000</v>
      </c>
      <c r="H201" s="2">
        <v>45137</v>
      </c>
      <c r="I201">
        <v>2023</v>
      </c>
      <c r="J201">
        <v>7772.0640143390401</v>
      </c>
      <c r="K201">
        <v>22125.345985660999</v>
      </c>
      <c r="L201">
        <v>152797.16</v>
      </c>
      <c r="M201">
        <v>0</v>
      </c>
      <c r="N201">
        <v>182694.57</v>
      </c>
      <c r="O201" t="s">
        <v>1563</v>
      </c>
    </row>
    <row r="202" spans="1:15" x14ac:dyDescent="0.25">
      <c r="A202" t="s">
        <v>2038</v>
      </c>
      <c r="B202" t="s">
        <v>2039</v>
      </c>
      <c r="C202" t="s">
        <v>2040</v>
      </c>
      <c r="D202" t="s">
        <v>99</v>
      </c>
      <c r="E202" s="2">
        <v>45230</v>
      </c>
      <c r="F202" t="s">
        <v>40</v>
      </c>
      <c r="G202">
        <v>3000000</v>
      </c>
      <c r="H202" s="2">
        <v>45232</v>
      </c>
      <c r="I202">
        <v>2023</v>
      </c>
      <c r="J202">
        <v>7286.9894701789799</v>
      </c>
      <c r="K202">
        <v>22295.530529821001</v>
      </c>
      <c r="L202">
        <v>127435.29</v>
      </c>
      <c r="M202">
        <v>0</v>
      </c>
      <c r="N202">
        <v>157017.81</v>
      </c>
      <c r="O202" t="s">
        <v>1464</v>
      </c>
    </row>
    <row r="203" spans="1:15" x14ac:dyDescent="0.25">
      <c r="A203" t="s">
        <v>2041</v>
      </c>
      <c r="B203" t="s">
        <v>2042</v>
      </c>
      <c r="C203" t="s">
        <v>2043</v>
      </c>
      <c r="D203" t="s">
        <v>99</v>
      </c>
      <c r="E203" s="2">
        <v>44937</v>
      </c>
      <c r="F203" t="s">
        <v>41</v>
      </c>
      <c r="G203">
        <v>4000000</v>
      </c>
      <c r="H203" s="2">
        <v>44938</v>
      </c>
      <c r="I203">
        <v>2023</v>
      </c>
      <c r="J203">
        <v>3571.2167908995202</v>
      </c>
      <c r="K203">
        <v>13901.2832091005</v>
      </c>
      <c r="L203">
        <v>78464.86</v>
      </c>
      <c r="M203">
        <v>0</v>
      </c>
      <c r="N203">
        <v>95937.36</v>
      </c>
      <c r="O203" t="s">
        <v>1460</v>
      </c>
    </row>
    <row r="204" spans="1:15" x14ac:dyDescent="0.25">
      <c r="A204" t="s">
        <v>2044</v>
      </c>
      <c r="B204" t="s">
        <v>2045</v>
      </c>
      <c r="C204" t="s">
        <v>2046</v>
      </c>
      <c r="D204" t="s">
        <v>99</v>
      </c>
      <c r="E204" s="2">
        <v>45250</v>
      </c>
      <c r="F204" t="s">
        <v>11</v>
      </c>
      <c r="G204">
        <v>4000000</v>
      </c>
      <c r="H204" s="2">
        <v>45310</v>
      </c>
      <c r="I204">
        <v>2024</v>
      </c>
      <c r="J204">
        <v>12766.8672211101</v>
      </c>
      <c r="K204">
        <v>48596.572778889902</v>
      </c>
      <c r="L204">
        <v>219047.71</v>
      </c>
      <c r="M204">
        <v>0</v>
      </c>
      <c r="N204">
        <v>280411.15000000002</v>
      </c>
      <c r="O204" t="s">
        <v>186</v>
      </c>
    </row>
    <row r="205" spans="1:15" x14ac:dyDescent="0.25">
      <c r="A205" t="s">
        <v>2047</v>
      </c>
      <c r="B205" t="s">
        <v>2048</v>
      </c>
      <c r="C205" t="s">
        <v>2049</v>
      </c>
      <c r="D205" t="s">
        <v>474</v>
      </c>
      <c r="E205" s="2">
        <v>44843</v>
      </c>
      <c r="F205" t="s">
        <v>16</v>
      </c>
      <c r="G205">
        <v>3000000</v>
      </c>
      <c r="H205" s="2">
        <v>45205</v>
      </c>
      <c r="I205">
        <v>2023</v>
      </c>
      <c r="J205">
        <v>6803.6807536568804</v>
      </c>
      <c r="K205">
        <v>24904.719246343098</v>
      </c>
      <c r="L205">
        <v>181100.69</v>
      </c>
      <c r="M205">
        <v>135996.42000000001</v>
      </c>
      <c r="N205">
        <v>348805.51</v>
      </c>
      <c r="O205" t="s">
        <v>1485</v>
      </c>
    </row>
    <row r="206" spans="1:15" x14ac:dyDescent="0.25">
      <c r="A206" t="s">
        <v>2050</v>
      </c>
      <c r="B206" t="s">
        <v>2051</v>
      </c>
      <c r="C206" t="s">
        <v>2052</v>
      </c>
      <c r="D206" t="s">
        <v>474</v>
      </c>
      <c r="E206" s="2">
        <v>45122</v>
      </c>
      <c r="F206" t="s">
        <v>46</v>
      </c>
      <c r="G206">
        <v>10000000</v>
      </c>
      <c r="H206" s="2">
        <v>45267</v>
      </c>
      <c r="I206">
        <v>2023</v>
      </c>
      <c r="J206">
        <v>2486.5545729573801</v>
      </c>
      <c r="K206">
        <v>9707.1254270426307</v>
      </c>
      <c r="L206">
        <v>61138.23</v>
      </c>
      <c r="M206">
        <v>26215.96</v>
      </c>
      <c r="N206">
        <v>99547.87</v>
      </c>
      <c r="O206" t="s">
        <v>111</v>
      </c>
    </row>
    <row r="207" spans="1:15" x14ac:dyDescent="0.25">
      <c r="A207" t="s">
        <v>2053</v>
      </c>
      <c r="B207" t="s">
        <v>2054</v>
      </c>
      <c r="C207" t="s">
        <v>2055</v>
      </c>
      <c r="D207" t="s">
        <v>99</v>
      </c>
      <c r="E207" s="2">
        <v>45003</v>
      </c>
      <c r="F207" t="s">
        <v>11</v>
      </c>
      <c r="G207">
        <v>10000000</v>
      </c>
      <c r="H207" s="2">
        <v>45332</v>
      </c>
      <c r="I207">
        <v>2024</v>
      </c>
      <c r="J207">
        <v>28291.175656217099</v>
      </c>
      <c r="K207">
        <v>74270.294343782894</v>
      </c>
      <c r="L207">
        <v>793555.05</v>
      </c>
      <c r="M207">
        <v>0</v>
      </c>
      <c r="N207">
        <v>896116.52</v>
      </c>
      <c r="O207" t="s">
        <v>119</v>
      </c>
    </row>
    <row r="208" spans="1:15" x14ac:dyDescent="0.25">
      <c r="A208" t="s">
        <v>2056</v>
      </c>
      <c r="B208" t="s">
        <v>2057</v>
      </c>
      <c r="C208" t="s">
        <v>2058</v>
      </c>
      <c r="D208" t="s">
        <v>99</v>
      </c>
      <c r="E208" s="2">
        <v>45147</v>
      </c>
      <c r="F208" t="s">
        <v>40</v>
      </c>
      <c r="G208">
        <v>2000000</v>
      </c>
      <c r="H208" s="2">
        <v>45332</v>
      </c>
      <c r="I208">
        <v>2024</v>
      </c>
      <c r="J208">
        <v>8945.7526455906209</v>
      </c>
      <c r="K208">
        <v>27039.867354409402</v>
      </c>
      <c r="L208">
        <v>140740.82999999999</v>
      </c>
      <c r="M208">
        <v>0</v>
      </c>
      <c r="N208">
        <v>176726.45</v>
      </c>
      <c r="O208" t="s">
        <v>1477</v>
      </c>
    </row>
    <row r="209" spans="1:15" x14ac:dyDescent="0.25">
      <c r="A209" t="s">
        <v>2059</v>
      </c>
      <c r="B209" t="s">
        <v>2060</v>
      </c>
      <c r="C209" t="s">
        <v>2061</v>
      </c>
      <c r="D209" t="s">
        <v>474</v>
      </c>
      <c r="E209" s="2">
        <v>45108</v>
      </c>
      <c r="F209" t="s">
        <v>18</v>
      </c>
      <c r="G209">
        <v>4000000</v>
      </c>
      <c r="H209" s="2">
        <v>45273</v>
      </c>
      <c r="I209">
        <v>2023</v>
      </c>
      <c r="J209">
        <v>2403.4778233388301</v>
      </c>
      <c r="K209">
        <v>7749.8021766611701</v>
      </c>
      <c r="L209">
        <v>45374.04</v>
      </c>
      <c r="M209">
        <v>26377.62</v>
      </c>
      <c r="N209">
        <v>81904.94</v>
      </c>
      <c r="O209" t="s">
        <v>1481</v>
      </c>
    </row>
    <row r="210" spans="1:15" x14ac:dyDescent="0.25">
      <c r="A210" t="s">
        <v>2062</v>
      </c>
      <c r="B210" t="s">
        <v>2063</v>
      </c>
      <c r="C210" t="s">
        <v>2064</v>
      </c>
      <c r="D210" t="s">
        <v>99</v>
      </c>
      <c r="E210" s="2">
        <v>45360</v>
      </c>
      <c r="F210" t="s">
        <v>17</v>
      </c>
      <c r="G210">
        <v>1000000</v>
      </c>
      <c r="H210" s="2">
        <v>45374</v>
      </c>
      <c r="I210">
        <v>2024</v>
      </c>
      <c r="J210">
        <v>4823.0723004499396</v>
      </c>
      <c r="K210">
        <v>17479.287699550099</v>
      </c>
      <c r="L210">
        <v>167549.19</v>
      </c>
      <c r="M210">
        <v>0</v>
      </c>
      <c r="N210">
        <v>189851.55</v>
      </c>
      <c r="O210" t="s">
        <v>1563</v>
      </c>
    </row>
    <row r="211" spans="1:15" x14ac:dyDescent="0.25">
      <c r="A211" t="s">
        <v>2065</v>
      </c>
      <c r="B211" t="s">
        <v>2066</v>
      </c>
      <c r="C211" t="s">
        <v>2067</v>
      </c>
      <c r="D211" t="s">
        <v>99</v>
      </c>
      <c r="E211" s="2">
        <v>45102</v>
      </c>
      <c r="F211" t="s">
        <v>11</v>
      </c>
      <c r="G211">
        <v>1000000</v>
      </c>
      <c r="H211" s="2">
        <v>45362</v>
      </c>
      <c r="I211">
        <v>2024</v>
      </c>
      <c r="J211">
        <v>8615.9148707492495</v>
      </c>
      <c r="K211">
        <v>32825.075129250698</v>
      </c>
      <c r="L211">
        <v>250448.68</v>
      </c>
      <c r="M211">
        <v>0</v>
      </c>
      <c r="N211">
        <v>291889.67</v>
      </c>
      <c r="O211" t="s">
        <v>186</v>
      </c>
    </row>
    <row r="212" spans="1:15" x14ac:dyDescent="0.25">
      <c r="A212" t="s">
        <v>2068</v>
      </c>
      <c r="B212" t="s">
        <v>2069</v>
      </c>
      <c r="C212" t="s">
        <v>2070</v>
      </c>
      <c r="D212" t="s">
        <v>99</v>
      </c>
      <c r="E212" s="2">
        <v>45141</v>
      </c>
      <c r="F212" t="s">
        <v>41</v>
      </c>
      <c r="G212">
        <v>1000000</v>
      </c>
      <c r="H212" s="2">
        <v>45260</v>
      </c>
      <c r="I212">
        <v>2023</v>
      </c>
      <c r="J212">
        <v>4328.4058328781703</v>
      </c>
      <c r="K212">
        <v>15169.594167121801</v>
      </c>
      <c r="L212">
        <v>189396.33</v>
      </c>
      <c r="M212">
        <v>0</v>
      </c>
      <c r="N212">
        <v>208894.33</v>
      </c>
      <c r="O212" t="s">
        <v>159</v>
      </c>
    </row>
    <row r="213" spans="1:15" x14ac:dyDescent="0.25">
      <c r="A213" t="s">
        <v>2071</v>
      </c>
      <c r="B213" t="s">
        <v>2072</v>
      </c>
      <c r="C213" t="s">
        <v>2073</v>
      </c>
      <c r="D213" t="s">
        <v>99</v>
      </c>
      <c r="E213" s="2">
        <v>44977</v>
      </c>
      <c r="F213" t="s">
        <v>37</v>
      </c>
      <c r="G213">
        <v>1000000</v>
      </c>
      <c r="H213" s="2">
        <v>45194</v>
      </c>
      <c r="I213">
        <v>2023</v>
      </c>
      <c r="J213">
        <v>15865.261698030699</v>
      </c>
      <c r="K213">
        <v>41516.358301969303</v>
      </c>
      <c r="L213">
        <v>408295.52</v>
      </c>
      <c r="M213">
        <v>0</v>
      </c>
      <c r="N213">
        <v>465677.14</v>
      </c>
      <c r="O213" t="s">
        <v>1492</v>
      </c>
    </row>
    <row r="214" spans="1:15" x14ac:dyDescent="0.25">
      <c r="A214" t="s">
        <v>2074</v>
      </c>
      <c r="B214" t="s">
        <v>2075</v>
      </c>
      <c r="C214" t="s">
        <v>2076</v>
      </c>
      <c r="D214" t="s">
        <v>99</v>
      </c>
      <c r="E214" s="2">
        <v>45110</v>
      </c>
      <c r="F214" t="s">
        <v>28</v>
      </c>
      <c r="G214">
        <v>1000000</v>
      </c>
      <c r="H214" s="2">
        <v>45353</v>
      </c>
      <c r="I214">
        <v>2024</v>
      </c>
      <c r="J214">
        <v>193367.60277700701</v>
      </c>
      <c r="K214">
        <v>507902.19722299301</v>
      </c>
      <c r="L214">
        <v>2616092.4900000002</v>
      </c>
      <c r="M214">
        <v>0</v>
      </c>
      <c r="N214">
        <v>3317362.29</v>
      </c>
      <c r="O214" t="s">
        <v>375</v>
      </c>
    </row>
    <row r="215" spans="1:15" x14ac:dyDescent="0.25">
      <c r="A215" t="s">
        <v>2077</v>
      </c>
      <c r="B215" t="s">
        <v>2078</v>
      </c>
      <c r="C215" t="s">
        <v>2079</v>
      </c>
      <c r="D215" t="s">
        <v>474</v>
      </c>
      <c r="E215" s="2">
        <v>45267</v>
      </c>
      <c r="F215" t="s">
        <v>16</v>
      </c>
      <c r="G215">
        <v>1000000</v>
      </c>
      <c r="H215" s="2">
        <v>45399</v>
      </c>
      <c r="I215">
        <v>2024</v>
      </c>
      <c r="J215">
        <v>712.98826613429401</v>
      </c>
      <c r="K215">
        <v>2747.82173386571</v>
      </c>
      <c r="L215">
        <v>32288.22</v>
      </c>
      <c r="M215">
        <v>27601.79</v>
      </c>
      <c r="N215">
        <v>63350.82</v>
      </c>
      <c r="O215" t="s">
        <v>1513</v>
      </c>
    </row>
    <row r="216" spans="1:15" x14ac:dyDescent="0.25">
      <c r="A216" t="s">
        <v>2080</v>
      </c>
      <c r="B216" t="s">
        <v>2081</v>
      </c>
      <c r="C216" t="s">
        <v>2082</v>
      </c>
      <c r="D216" t="s">
        <v>99</v>
      </c>
      <c r="E216" s="2">
        <v>45084</v>
      </c>
      <c r="F216" t="s">
        <v>13</v>
      </c>
      <c r="G216">
        <v>5000000</v>
      </c>
      <c r="H216" s="2">
        <v>45410</v>
      </c>
      <c r="I216">
        <v>2024</v>
      </c>
      <c r="J216">
        <v>19309.997166512399</v>
      </c>
      <c r="K216">
        <v>45229.952833487601</v>
      </c>
      <c r="L216">
        <v>391492.77</v>
      </c>
      <c r="M216">
        <v>0</v>
      </c>
      <c r="N216">
        <v>456032.72</v>
      </c>
      <c r="O216" t="s">
        <v>1492</v>
      </c>
    </row>
    <row r="217" spans="1:15" x14ac:dyDescent="0.25">
      <c r="A217" t="s">
        <v>2083</v>
      </c>
      <c r="B217" t="s">
        <v>2084</v>
      </c>
      <c r="C217" t="s">
        <v>2085</v>
      </c>
      <c r="D217" t="s">
        <v>474</v>
      </c>
      <c r="E217" s="2">
        <v>45003</v>
      </c>
      <c r="F217" t="s">
        <v>16</v>
      </c>
      <c r="G217">
        <v>1000000</v>
      </c>
      <c r="H217" s="2">
        <v>45262</v>
      </c>
      <c r="I217">
        <v>2023</v>
      </c>
      <c r="J217">
        <v>5695.3842424457498</v>
      </c>
      <c r="K217">
        <v>16884.3757575542</v>
      </c>
      <c r="L217">
        <v>120594.99</v>
      </c>
      <c r="M217">
        <v>143559.47</v>
      </c>
      <c r="N217">
        <v>286734.21999999997</v>
      </c>
      <c r="O217" t="s">
        <v>1485</v>
      </c>
    </row>
    <row r="218" spans="1:15" x14ac:dyDescent="0.25">
      <c r="A218" t="s">
        <v>2086</v>
      </c>
      <c r="B218" t="s">
        <v>2087</v>
      </c>
      <c r="C218" t="s">
        <v>2088</v>
      </c>
      <c r="D218" t="s">
        <v>99</v>
      </c>
      <c r="E218" s="2">
        <v>45297</v>
      </c>
      <c r="F218" t="s">
        <v>11</v>
      </c>
      <c r="G218">
        <v>1000000</v>
      </c>
      <c r="H218" s="2">
        <v>45355</v>
      </c>
      <c r="I218">
        <v>2024</v>
      </c>
      <c r="J218">
        <v>13391.5993302115</v>
      </c>
      <c r="K218">
        <v>37467.000669788496</v>
      </c>
      <c r="L218">
        <v>233858.29</v>
      </c>
      <c r="M218">
        <v>0</v>
      </c>
      <c r="N218">
        <v>284716.89</v>
      </c>
      <c r="O218" t="s">
        <v>186</v>
      </c>
    </row>
    <row r="219" spans="1:15" x14ac:dyDescent="0.25">
      <c r="A219" t="s">
        <v>2089</v>
      </c>
      <c r="B219" t="s">
        <v>2090</v>
      </c>
      <c r="C219" t="s">
        <v>2091</v>
      </c>
      <c r="D219" t="s">
        <v>99</v>
      </c>
      <c r="E219" s="2">
        <v>44992</v>
      </c>
      <c r="F219" t="s">
        <v>11</v>
      </c>
      <c r="G219">
        <v>1000000</v>
      </c>
      <c r="H219" s="2">
        <v>45348</v>
      </c>
      <c r="I219">
        <v>2024</v>
      </c>
      <c r="J219">
        <v>5421.6244700930501</v>
      </c>
      <c r="K219">
        <v>14337.665529906901</v>
      </c>
      <c r="L219">
        <v>82131.77</v>
      </c>
      <c r="M219">
        <v>0</v>
      </c>
      <c r="N219">
        <v>101891.06</v>
      </c>
      <c r="O219" t="s">
        <v>1456</v>
      </c>
    </row>
    <row r="220" spans="1:15" x14ac:dyDescent="0.25">
      <c r="A220" t="s">
        <v>2092</v>
      </c>
      <c r="B220" t="s">
        <v>2093</v>
      </c>
      <c r="C220" t="s">
        <v>1816</v>
      </c>
      <c r="D220" t="s">
        <v>99</v>
      </c>
      <c r="E220" s="2">
        <v>45199</v>
      </c>
      <c r="F220" t="s">
        <v>17</v>
      </c>
      <c r="G220">
        <v>4000000</v>
      </c>
      <c r="H220" s="2">
        <v>45241</v>
      </c>
      <c r="I220">
        <v>2023</v>
      </c>
      <c r="J220">
        <v>3835.40212182594</v>
      </c>
      <c r="K220">
        <v>9914.5078781740594</v>
      </c>
      <c r="L220">
        <v>134076.5</v>
      </c>
      <c r="M220">
        <v>0</v>
      </c>
      <c r="N220">
        <v>147826.41</v>
      </c>
      <c r="O220" t="s">
        <v>1477</v>
      </c>
    </row>
    <row r="221" spans="1:15" x14ac:dyDescent="0.25">
      <c r="A221" t="s">
        <v>2094</v>
      </c>
      <c r="B221" t="s">
        <v>2095</v>
      </c>
      <c r="C221" t="s">
        <v>2096</v>
      </c>
      <c r="D221" t="s">
        <v>99</v>
      </c>
      <c r="E221" s="2">
        <v>45299</v>
      </c>
      <c r="F221" t="s">
        <v>11</v>
      </c>
      <c r="G221">
        <v>1000000</v>
      </c>
      <c r="H221" s="2">
        <v>45406</v>
      </c>
      <c r="I221">
        <v>2024</v>
      </c>
      <c r="J221">
        <v>2912.4217724773598</v>
      </c>
      <c r="K221">
        <v>9752.8382275226395</v>
      </c>
      <c r="L221">
        <v>110102.09</v>
      </c>
      <c r="M221">
        <v>0</v>
      </c>
      <c r="N221">
        <v>122767.35</v>
      </c>
      <c r="O221" t="s">
        <v>111</v>
      </c>
    </row>
    <row r="222" spans="1:15" x14ac:dyDescent="0.25">
      <c r="A222" t="s">
        <v>2097</v>
      </c>
      <c r="B222" t="s">
        <v>2098</v>
      </c>
      <c r="C222" t="s">
        <v>2099</v>
      </c>
      <c r="D222" t="s">
        <v>99</v>
      </c>
      <c r="E222" s="2">
        <v>44468</v>
      </c>
      <c r="F222" t="s">
        <v>21</v>
      </c>
      <c r="G222">
        <v>5000000</v>
      </c>
      <c r="H222" s="2">
        <v>44743</v>
      </c>
      <c r="I222">
        <v>2022</v>
      </c>
      <c r="J222">
        <v>13737.056610119</v>
      </c>
      <c r="K222">
        <v>40481.893389880999</v>
      </c>
      <c r="L222">
        <v>346581.87</v>
      </c>
      <c r="M222">
        <v>0</v>
      </c>
      <c r="N222">
        <v>400800.82</v>
      </c>
      <c r="O222" t="s">
        <v>1485</v>
      </c>
    </row>
    <row r="223" spans="1:15" x14ac:dyDescent="0.25">
      <c r="A223" t="s">
        <v>2100</v>
      </c>
      <c r="B223" t="s">
        <v>2101</v>
      </c>
      <c r="C223" t="s">
        <v>2102</v>
      </c>
      <c r="D223" t="s">
        <v>99</v>
      </c>
      <c r="E223" s="2">
        <v>45277</v>
      </c>
      <c r="F223" t="s">
        <v>11</v>
      </c>
      <c r="G223">
        <v>1000000</v>
      </c>
      <c r="H223" s="2">
        <v>45436</v>
      </c>
      <c r="I223">
        <v>2024</v>
      </c>
      <c r="J223">
        <v>3760.3590506118198</v>
      </c>
      <c r="K223">
        <v>9680.4709493881801</v>
      </c>
      <c r="L223">
        <v>74150.710000000006</v>
      </c>
      <c r="M223">
        <v>0</v>
      </c>
      <c r="N223">
        <v>87591.54</v>
      </c>
      <c r="O223" t="s">
        <v>1452</v>
      </c>
    </row>
    <row r="224" spans="1:15" x14ac:dyDescent="0.25">
      <c r="A224" t="s">
        <v>2103</v>
      </c>
      <c r="B224" t="s">
        <v>2104</v>
      </c>
      <c r="C224" t="s">
        <v>2105</v>
      </c>
      <c r="D224" t="s">
        <v>474</v>
      </c>
      <c r="E224" s="2">
        <v>45265</v>
      </c>
      <c r="F224" t="s">
        <v>11</v>
      </c>
      <c r="G224">
        <v>5000000</v>
      </c>
      <c r="H224" s="2">
        <v>45433</v>
      </c>
      <c r="I224">
        <v>2024</v>
      </c>
      <c r="J224">
        <v>3107.48023859657</v>
      </c>
      <c r="K224">
        <v>9258.4397614034297</v>
      </c>
      <c r="L224">
        <v>89533.55</v>
      </c>
      <c r="M224">
        <v>201371.53</v>
      </c>
      <c r="N224">
        <v>303271</v>
      </c>
      <c r="O224" t="s">
        <v>1492</v>
      </c>
    </row>
    <row r="225" spans="1:15" x14ac:dyDescent="0.25">
      <c r="A225" t="s">
        <v>2106</v>
      </c>
      <c r="B225" t="s">
        <v>2107</v>
      </c>
      <c r="C225" t="s">
        <v>2108</v>
      </c>
      <c r="D225" t="s">
        <v>99</v>
      </c>
      <c r="E225" s="2">
        <v>45339</v>
      </c>
      <c r="F225" t="s">
        <v>38</v>
      </c>
      <c r="G225">
        <v>1000000</v>
      </c>
      <c r="H225" s="2">
        <v>45409</v>
      </c>
      <c r="I225">
        <v>2024</v>
      </c>
      <c r="J225">
        <v>5235.7992391649996</v>
      </c>
      <c r="K225">
        <v>13447.460760835</v>
      </c>
      <c r="L225">
        <v>120561.9</v>
      </c>
      <c r="M225">
        <v>0</v>
      </c>
      <c r="N225">
        <v>139245.16</v>
      </c>
      <c r="O225" t="s">
        <v>1464</v>
      </c>
    </row>
    <row r="226" spans="1:15" x14ac:dyDescent="0.25">
      <c r="A226" t="s">
        <v>2109</v>
      </c>
      <c r="B226" t="s">
        <v>2110</v>
      </c>
      <c r="C226" t="s">
        <v>2111</v>
      </c>
      <c r="D226" t="s">
        <v>474</v>
      </c>
      <c r="E226" s="2">
        <v>45111</v>
      </c>
      <c r="F226" t="s">
        <v>25</v>
      </c>
      <c r="G226">
        <v>3000000</v>
      </c>
      <c r="H226" s="2">
        <v>45345</v>
      </c>
      <c r="I226">
        <v>2024</v>
      </c>
      <c r="J226">
        <v>787.95489257936595</v>
      </c>
      <c r="K226">
        <v>2688.9451074206299</v>
      </c>
      <c r="L226">
        <v>24565.71</v>
      </c>
      <c r="M226">
        <v>41191.25</v>
      </c>
      <c r="N226">
        <v>69233.86</v>
      </c>
      <c r="O226" t="s">
        <v>1481</v>
      </c>
    </row>
    <row r="227" spans="1:15" x14ac:dyDescent="0.25">
      <c r="A227" t="s">
        <v>2112</v>
      </c>
      <c r="B227" t="s">
        <v>2113</v>
      </c>
      <c r="C227" t="s">
        <v>2114</v>
      </c>
      <c r="D227" t="s">
        <v>99</v>
      </c>
      <c r="E227" s="2">
        <v>45437</v>
      </c>
      <c r="F227" t="s">
        <v>33</v>
      </c>
      <c r="G227">
        <v>2000000</v>
      </c>
      <c r="H227" s="2">
        <v>45462</v>
      </c>
      <c r="I227">
        <v>2024</v>
      </c>
      <c r="J227">
        <v>3296.3117579660902</v>
      </c>
      <c r="K227">
        <v>11004.3382420339</v>
      </c>
      <c r="L227">
        <v>116928.18</v>
      </c>
      <c r="M227">
        <v>0</v>
      </c>
      <c r="N227">
        <v>131228.82999999999</v>
      </c>
      <c r="O227" t="s">
        <v>1506</v>
      </c>
    </row>
    <row r="228" spans="1:15" x14ac:dyDescent="0.25">
      <c r="A228" t="s">
        <v>2115</v>
      </c>
      <c r="B228" t="s">
        <v>2116</v>
      </c>
      <c r="C228" t="s">
        <v>2117</v>
      </c>
      <c r="D228" t="s">
        <v>99</v>
      </c>
      <c r="E228" s="2">
        <v>45349</v>
      </c>
      <c r="F228" t="s">
        <v>41</v>
      </c>
      <c r="G228">
        <v>1000000</v>
      </c>
      <c r="H228" s="2">
        <v>45449</v>
      </c>
      <c r="I228">
        <v>2024</v>
      </c>
      <c r="J228">
        <v>5227.1804924053504</v>
      </c>
      <c r="K228">
        <v>20810.5495075947</v>
      </c>
      <c r="L228">
        <v>206143.45</v>
      </c>
      <c r="M228">
        <v>0</v>
      </c>
      <c r="N228">
        <v>232181.18</v>
      </c>
      <c r="O228" t="s">
        <v>159</v>
      </c>
    </row>
    <row r="229" spans="1:15" x14ac:dyDescent="0.25">
      <c r="A229" t="s">
        <v>2118</v>
      </c>
      <c r="B229" t="s">
        <v>2119</v>
      </c>
      <c r="C229" t="s">
        <v>2120</v>
      </c>
      <c r="D229" t="s">
        <v>474</v>
      </c>
      <c r="E229" s="2">
        <v>45262</v>
      </c>
      <c r="F229" t="s">
        <v>31</v>
      </c>
      <c r="G229">
        <v>1000000</v>
      </c>
      <c r="H229" s="2">
        <v>45456</v>
      </c>
      <c r="I229">
        <v>2024</v>
      </c>
      <c r="J229">
        <v>11417.4351149715</v>
      </c>
      <c r="K229">
        <v>30186.034885028501</v>
      </c>
      <c r="L229">
        <v>117053.01</v>
      </c>
      <c r="M229">
        <v>68521.179999999993</v>
      </c>
      <c r="N229">
        <v>227177.66</v>
      </c>
      <c r="O229" t="s">
        <v>163</v>
      </c>
    </row>
    <row r="230" spans="1:15" x14ac:dyDescent="0.25">
      <c r="A230" t="s">
        <v>2121</v>
      </c>
      <c r="B230" t="s">
        <v>2122</v>
      </c>
      <c r="C230" t="s">
        <v>2123</v>
      </c>
      <c r="D230" t="s">
        <v>99</v>
      </c>
      <c r="E230" s="2">
        <v>45193</v>
      </c>
      <c r="F230" t="s">
        <v>30</v>
      </c>
      <c r="G230">
        <v>5000000</v>
      </c>
      <c r="H230" s="2">
        <v>45458</v>
      </c>
      <c r="I230">
        <v>2024</v>
      </c>
      <c r="J230">
        <v>5996.7004383818603</v>
      </c>
      <c r="K230">
        <v>15357.4095616181</v>
      </c>
      <c r="L230">
        <v>134949.22</v>
      </c>
      <c r="M230">
        <v>0</v>
      </c>
      <c r="N230">
        <v>156303.32999999999</v>
      </c>
      <c r="O230" t="s">
        <v>1477</v>
      </c>
    </row>
    <row r="231" spans="1:15" x14ac:dyDescent="0.25">
      <c r="A231" t="s">
        <v>2124</v>
      </c>
      <c r="B231" t="s">
        <v>2125</v>
      </c>
      <c r="C231" t="s">
        <v>2126</v>
      </c>
      <c r="D231" t="s">
        <v>474</v>
      </c>
      <c r="E231" s="2">
        <v>45070</v>
      </c>
      <c r="F231" t="s">
        <v>13</v>
      </c>
      <c r="G231">
        <v>1000000</v>
      </c>
      <c r="H231" s="2">
        <v>45296</v>
      </c>
      <c r="I231">
        <v>2024</v>
      </c>
      <c r="J231">
        <v>6522.5578827775898</v>
      </c>
      <c r="K231">
        <v>24402.882117222402</v>
      </c>
      <c r="L231">
        <v>293660.53999999998</v>
      </c>
      <c r="M231">
        <v>73819.55</v>
      </c>
      <c r="N231">
        <v>398405.53</v>
      </c>
      <c r="O231" t="s">
        <v>1485</v>
      </c>
    </row>
    <row r="232" spans="1:15" x14ac:dyDescent="0.25">
      <c r="A232" t="s">
        <v>2127</v>
      </c>
      <c r="B232" t="s">
        <v>2128</v>
      </c>
      <c r="C232" t="s">
        <v>2129</v>
      </c>
      <c r="D232" t="s">
        <v>99</v>
      </c>
      <c r="E232" s="2">
        <v>45092</v>
      </c>
      <c r="F232" t="s">
        <v>40</v>
      </c>
      <c r="G232">
        <v>1000000</v>
      </c>
      <c r="H232" s="2">
        <v>45345</v>
      </c>
      <c r="I232">
        <v>2024</v>
      </c>
      <c r="J232">
        <v>2714.2694002958001</v>
      </c>
      <c r="K232">
        <v>6595.6605997041997</v>
      </c>
      <c r="L232">
        <v>63379.72</v>
      </c>
      <c r="M232">
        <v>0</v>
      </c>
      <c r="N232">
        <v>72689.649999999994</v>
      </c>
      <c r="O232" t="s">
        <v>1513</v>
      </c>
    </row>
    <row r="233" spans="1:15" x14ac:dyDescent="0.25">
      <c r="A233" t="s">
        <v>2130</v>
      </c>
      <c r="B233" t="s">
        <v>2131</v>
      </c>
      <c r="C233" t="s">
        <v>2132</v>
      </c>
      <c r="D233" t="s">
        <v>474</v>
      </c>
      <c r="E233" s="2">
        <v>45118</v>
      </c>
      <c r="F233" t="s">
        <v>19</v>
      </c>
      <c r="G233">
        <v>1000000</v>
      </c>
      <c r="H233" s="2">
        <v>45469</v>
      </c>
      <c r="I233">
        <v>2024</v>
      </c>
      <c r="J233">
        <v>2338.0375494804198</v>
      </c>
      <c r="K233">
        <v>7933.3524505195801</v>
      </c>
      <c r="L233">
        <v>65603.44</v>
      </c>
      <c r="M233">
        <v>64744.58</v>
      </c>
      <c r="N233">
        <v>140619.41</v>
      </c>
      <c r="O233" t="s">
        <v>1477</v>
      </c>
    </row>
    <row r="234" spans="1:15" x14ac:dyDescent="0.25">
      <c r="A234" t="s">
        <v>2133</v>
      </c>
      <c r="B234" t="s">
        <v>2134</v>
      </c>
      <c r="C234" t="s">
        <v>2135</v>
      </c>
      <c r="D234" t="s">
        <v>474</v>
      </c>
      <c r="E234" s="2">
        <v>45146</v>
      </c>
      <c r="F234" t="s">
        <v>40</v>
      </c>
      <c r="G234">
        <v>1000000</v>
      </c>
      <c r="H234" s="2">
        <v>45496</v>
      </c>
      <c r="I234">
        <v>2024</v>
      </c>
      <c r="J234">
        <v>1625.91575107725</v>
      </c>
      <c r="K234">
        <v>4330.9042489227404</v>
      </c>
      <c r="L234">
        <v>17210.78</v>
      </c>
      <c r="M234">
        <v>49911.32</v>
      </c>
      <c r="N234">
        <v>73078.92</v>
      </c>
      <c r="O234" t="s">
        <v>1481</v>
      </c>
    </row>
    <row r="235" spans="1:15" x14ac:dyDescent="0.25">
      <c r="A235" t="s">
        <v>2136</v>
      </c>
      <c r="B235" t="s">
        <v>2045</v>
      </c>
      <c r="C235" t="s">
        <v>2046</v>
      </c>
      <c r="D235" t="s">
        <v>474</v>
      </c>
      <c r="E235" s="2">
        <v>45250</v>
      </c>
      <c r="F235" t="s">
        <v>11</v>
      </c>
      <c r="G235">
        <v>4000000</v>
      </c>
      <c r="H235" s="2">
        <v>45451</v>
      </c>
      <c r="I235">
        <v>2024</v>
      </c>
      <c r="J235">
        <v>31215.483898450799</v>
      </c>
      <c r="K235">
        <v>76041.066101549193</v>
      </c>
      <c r="L235">
        <v>462654.52</v>
      </c>
      <c r="M235">
        <v>386238.01</v>
      </c>
      <c r="N235">
        <v>956149.08</v>
      </c>
      <c r="O235" t="s">
        <v>119</v>
      </c>
    </row>
    <row r="236" spans="1:15" x14ac:dyDescent="0.25">
      <c r="A236" t="s">
        <v>2137</v>
      </c>
      <c r="B236" t="s">
        <v>2138</v>
      </c>
      <c r="C236" t="s">
        <v>2139</v>
      </c>
      <c r="D236" t="s">
        <v>99</v>
      </c>
      <c r="E236" s="2">
        <v>45437</v>
      </c>
      <c r="F236" t="s">
        <v>11</v>
      </c>
      <c r="G236">
        <v>1000000</v>
      </c>
      <c r="H236" s="2">
        <v>45469</v>
      </c>
      <c r="I236">
        <v>2024</v>
      </c>
      <c r="J236">
        <v>9080.8364151999704</v>
      </c>
      <c r="K236">
        <v>29249.253584800001</v>
      </c>
      <c r="L236">
        <v>174701.44</v>
      </c>
      <c r="M236">
        <v>0</v>
      </c>
      <c r="N236">
        <v>213031.53</v>
      </c>
      <c r="O236" t="s">
        <v>163</v>
      </c>
    </row>
    <row r="237" spans="1:15" x14ac:dyDescent="0.25">
      <c r="A237" t="s">
        <v>2140</v>
      </c>
      <c r="B237" t="s">
        <v>2141</v>
      </c>
      <c r="C237" t="s">
        <v>2142</v>
      </c>
      <c r="D237" t="s">
        <v>99</v>
      </c>
      <c r="E237" s="2">
        <v>45085</v>
      </c>
      <c r="F237" t="s">
        <v>17</v>
      </c>
      <c r="G237">
        <v>3000000</v>
      </c>
      <c r="H237" s="2">
        <v>45381</v>
      </c>
      <c r="I237">
        <v>2024</v>
      </c>
      <c r="J237">
        <v>5518.70850004968</v>
      </c>
      <c r="K237">
        <v>18600.5214999503</v>
      </c>
      <c r="L237">
        <v>118541.41</v>
      </c>
      <c r="M237">
        <v>0</v>
      </c>
      <c r="N237">
        <v>142660.64000000001</v>
      </c>
      <c r="O237" t="s">
        <v>1506</v>
      </c>
    </row>
    <row r="238" spans="1:15" x14ac:dyDescent="0.25">
      <c r="A238" t="s">
        <v>2143</v>
      </c>
      <c r="B238" t="s">
        <v>2144</v>
      </c>
      <c r="C238" t="s">
        <v>2145</v>
      </c>
      <c r="D238" t="s">
        <v>474</v>
      </c>
      <c r="E238" s="2">
        <v>45229</v>
      </c>
      <c r="F238" t="s">
        <v>42</v>
      </c>
      <c r="G238">
        <v>3000000</v>
      </c>
      <c r="H238" s="2">
        <v>45503</v>
      </c>
      <c r="I238">
        <v>2024</v>
      </c>
      <c r="J238">
        <v>4364.7372757007297</v>
      </c>
      <c r="K238">
        <v>13829.2427242993</v>
      </c>
      <c r="L238">
        <v>71611.960000000006</v>
      </c>
      <c r="M238">
        <v>11913.73</v>
      </c>
      <c r="N238">
        <v>101719.67</v>
      </c>
      <c r="O238" t="s">
        <v>1456</v>
      </c>
    </row>
    <row r="239" spans="1:15" x14ac:dyDescent="0.25">
      <c r="A239" t="s">
        <v>2146</v>
      </c>
      <c r="B239" t="s">
        <v>2147</v>
      </c>
      <c r="C239" t="s">
        <v>2148</v>
      </c>
      <c r="D239" t="s">
        <v>99</v>
      </c>
      <c r="E239" s="2">
        <v>45168</v>
      </c>
      <c r="F239" t="s">
        <v>11</v>
      </c>
      <c r="G239">
        <v>3000000</v>
      </c>
      <c r="H239" s="2">
        <v>45509</v>
      </c>
      <c r="I239">
        <v>2024</v>
      </c>
      <c r="J239">
        <v>8799.2717291345998</v>
      </c>
      <c r="K239">
        <v>21169.748270865399</v>
      </c>
      <c r="L239">
        <v>220500.31</v>
      </c>
      <c r="M239">
        <v>0</v>
      </c>
      <c r="N239">
        <v>250469.33</v>
      </c>
      <c r="O239" t="s">
        <v>186</v>
      </c>
    </row>
    <row r="240" spans="1:15" x14ac:dyDescent="0.25">
      <c r="A240" t="s">
        <v>2149</v>
      </c>
      <c r="B240" t="s">
        <v>2150</v>
      </c>
      <c r="C240" t="s">
        <v>2151</v>
      </c>
      <c r="D240" t="s">
        <v>474</v>
      </c>
      <c r="E240" s="2">
        <v>45439</v>
      </c>
      <c r="F240" t="s">
        <v>44</v>
      </c>
      <c r="G240">
        <v>5000000</v>
      </c>
      <c r="H240" s="2">
        <v>45498</v>
      </c>
      <c r="I240">
        <v>2024</v>
      </c>
      <c r="J240">
        <v>2454.3960213467999</v>
      </c>
      <c r="K240">
        <v>7676.3539786532001</v>
      </c>
      <c r="L240">
        <v>46142.87</v>
      </c>
      <c r="M240">
        <v>104821.97</v>
      </c>
      <c r="N240">
        <v>161095.59</v>
      </c>
      <c r="O240" t="s">
        <v>163</v>
      </c>
    </row>
    <row r="241" spans="1:15" x14ac:dyDescent="0.25">
      <c r="A241" t="s">
        <v>2152</v>
      </c>
      <c r="B241" t="s">
        <v>2153</v>
      </c>
      <c r="C241" t="s">
        <v>2154</v>
      </c>
      <c r="D241" t="s">
        <v>474</v>
      </c>
      <c r="E241" s="2">
        <v>45262</v>
      </c>
      <c r="F241" t="s">
        <v>11</v>
      </c>
      <c r="G241">
        <v>1000000</v>
      </c>
      <c r="H241" s="2">
        <v>45514</v>
      </c>
      <c r="I241">
        <v>2024</v>
      </c>
      <c r="J241">
        <v>3748.80145199874</v>
      </c>
      <c r="K241">
        <v>11714.7385480013</v>
      </c>
      <c r="L241">
        <v>76922.41</v>
      </c>
      <c r="M241">
        <v>4115.1400000000003</v>
      </c>
      <c r="N241">
        <v>96501.09</v>
      </c>
      <c r="O241" t="s">
        <v>1456</v>
      </c>
    </row>
    <row r="242" spans="1:15" x14ac:dyDescent="0.25">
      <c r="A242" t="s">
        <v>2155</v>
      </c>
      <c r="B242" t="s">
        <v>2156</v>
      </c>
      <c r="C242" t="s">
        <v>2157</v>
      </c>
      <c r="D242" t="s">
        <v>474</v>
      </c>
      <c r="E242" s="2">
        <v>45508</v>
      </c>
      <c r="F242" t="s">
        <v>11</v>
      </c>
      <c r="G242">
        <v>1000000</v>
      </c>
      <c r="H242" s="2">
        <v>45512</v>
      </c>
      <c r="I242">
        <v>2024</v>
      </c>
      <c r="J242">
        <v>3720.5928909080399</v>
      </c>
      <c r="K242">
        <v>9054.8471090919593</v>
      </c>
      <c r="L242">
        <v>132539.69</v>
      </c>
      <c r="M242">
        <v>28658.82</v>
      </c>
      <c r="N242">
        <v>173973.95</v>
      </c>
      <c r="O242" t="s">
        <v>1563</v>
      </c>
    </row>
    <row r="243" spans="1:15" x14ac:dyDescent="0.25">
      <c r="A243" t="s">
        <v>2158</v>
      </c>
      <c r="B243" t="s">
        <v>1792</v>
      </c>
      <c r="C243" t="s">
        <v>1793</v>
      </c>
      <c r="D243" t="s">
        <v>474</v>
      </c>
      <c r="E243" s="2">
        <v>44537</v>
      </c>
      <c r="F243" t="s">
        <v>33</v>
      </c>
      <c r="G243">
        <v>10000000</v>
      </c>
      <c r="H243" s="2">
        <v>44867</v>
      </c>
      <c r="I243">
        <v>2022</v>
      </c>
      <c r="J243">
        <v>13857.792811912601</v>
      </c>
      <c r="K243">
        <v>40535.557188087398</v>
      </c>
      <c r="L243">
        <v>115131.87</v>
      </c>
      <c r="M243">
        <v>164931.5</v>
      </c>
      <c r="N243">
        <v>334456.71999999997</v>
      </c>
      <c r="O243" t="s">
        <v>1485</v>
      </c>
    </row>
    <row r="244" spans="1:15" x14ac:dyDescent="0.25">
      <c r="A244" t="s">
        <v>2159</v>
      </c>
      <c r="B244" t="s">
        <v>2160</v>
      </c>
      <c r="C244" t="s">
        <v>2161</v>
      </c>
      <c r="D244" t="s">
        <v>474</v>
      </c>
      <c r="E244" s="2">
        <v>45225</v>
      </c>
      <c r="F244" t="s">
        <v>53</v>
      </c>
      <c r="G244">
        <v>5000000</v>
      </c>
      <c r="H244" s="2">
        <v>45527</v>
      </c>
      <c r="I244">
        <v>2024</v>
      </c>
      <c r="J244">
        <v>10974.5418786914</v>
      </c>
      <c r="K244">
        <v>40560.128121308597</v>
      </c>
      <c r="L244">
        <v>252732.95</v>
      </c>
      <c r="M244">
        <v>66539.520000000004</v>
      </c>
      <c r="N244">
        <v>370807.14</v>
      </c>
      <c r="O244" t="s">
        <v>1499</v>
      </c>
    </row>
    <row r="245" spans="1:15" x14ac:dyDescent="0.25">
      <c r="A245" t="s">
        <v>2162</v>
      </c>
      <c r="B245" t="s">
        <v>2163</v>
      </c>
      <c r="C245" t="s">
        <v>2164</v>
      </c>
      <c r="D245" t="s">
        <v>474</v>
      </c>
      <c r="E245" s="2">
        <v>45466</v>
      </c>
      <c r="F245" t="s">
        <v>37</v>
      </c>
      <c r="G245">
        <v>10000000</v>
      </c>
      <c r="H245" s="2">
        <v>45531</v>
      </c>
      <c r="I245">
        <v>2024</v>
      </c>
      <c r="J245">
        <v>21098.5384801248</v>
      </c>
      <c r="K245">
        <v>72517.981519875204</v>
      </c>
      <c r="L245">
        <v>744227.37</v>
      </c>
      <c r="M245">
        <v>395891.73</v>
      </c>
      <c r="N245">
        <v>1233735.6200000001</v>
      </c>
      <c r="O245" t="s">
        <v>375</v>
      </c>
    </row>
    <row r="246" spans="1:15" x14ac:dyDescent="0.25">
      <c r="A246" t="s">
        <v>2165</v>
      </c>
      <c r="B246" t="s">
        <v>2166</v>
      </c>
      <c r="C246" t="s">
        <v>2167</v>
      </c>
      <c r="D246" t="s">
        <v>474</v>
      </c>
      <c r="E246" s="2">
        <v>45237</v>
      </c>
      <c r="F246" t="s">
        <v>40</v>
      </c>
      <c r="G246">
        <v>2000000</v>
      </c>
      <c r="H246" s="2">
        <v>45468</v>
      </c>
      <c r="I246">
        <v>2024</v>
      </c>
      <c r="J246">
        <v>17303.958276906302</v>
      </c>
      <c r="K246">
        <v>40421.921723093597</v>
      </c>
      <c r="L246">
        <v>249267.9</v>
      </c>
      <c r="M246">
        <v>336912.63</v>
      </c>
      <c r="N246">
        <v>643906.41</v>
      </c>
      <c r="O246" t="s">
        <v>119</v>
      </c>
    </row>
    <row r="247" spans="1:15" x14ac:dyDescent="0.25">
      <c r="A247" t="s">
        <v>2168</v>
      </c>
      <c r="B247" t="s">
        <v>2169</v>
      </c>
      <c r="C247" t="s">
        <v>2170</v>
      </c>
      <c r="D247" t="s">
        <v>474</v>
      </c>
      <c r="E247" s="2">
        <v>45256</v>
      </c>
      <c r="F247" t="s">
        <v>10</v>
      </c>
      <c r="G247">
        <v>1000000</v>
      </c>
      <c r="H247" s="2">
        <v>45538</v>
      </c>
      <c r="I247">
        <v>2024</v>
      </c>
      <c r="J247">
        <v>2426.6695923542202</v>
      </c>
      <c r="K247">
        <v>7201.6104076457796</v>
      </c>
      <c r="L247">
        <v>62738.559999999998</v>
      </c>
      <c r="M247">
        <v>14887.58</v>
      </c>
      <c r="N247">
        <v>87254.42</v>
      </c>
      <c r="O247" t="s">
        <v>1460</v>
      </c>
    </row>
    <row r="248" spans="1:15" x14ac:dyDescent="0.25">
      <c r="A248" t="s">
        <v>2171</v>
      </c>
      <c r="B248" t="s">
        <v>2172</v>
      </c>
      <c r="C248" t="s">
        <v>2173</v>
      </c>
      <c r="D248" t="s">
        <v>474</v>
      </c>
      <c r="E248" s="2">
        <v>45422</v>
      </c>
      <c r="F248" t="s">
        <v>20</v>
      </c>
      <c r="G248">
        <v>4000000</v>
      </c>
      <c r="H248" s="2">
        <v>45446</v>
      </c>
      <c r="I248">
        <v>2024</v>
      </c>
      <c r="J248">
        <v>1727.3078577265401</v>
      </c>
      <c r="K248">
        <v>4227.5621422734603</v>
      </c>
      <c r="L248">
        <v>18621.080000000002</v>
      </c>
      <c r="M248">
        <v>96960.49</v>
      </c>
      <c r="N248">
        <v>121536.44</v>
      </c>
      <c r="O248" t="s">
        <v>1563</v>
      </c>
    </row>
    <row r="249" spans="1:15" x14ac:dyDescent="0.25">
      <c r="A249" t="s">
        <v>2174</v>
      </c>
      <c r="B249" t="s">
        <v>2175</v>
      </c>
      <c r="C249" t="s">
        <v>2176</v>
      </c>
      <c r="D249" t="s">
        <v>474</v>
      </c>
      <c r="E249" s="2">
        <v>45561</v>
      </c>
      <c r="F249" t="s">
        <v>17</v>
      </c>
      <c r="G249">
        <v>1000000</v>
      </c>
      <c r="H249" s="2">
        <v>45569</v>
      </c>
      <c r="I249">
        <v>2024</v>
      </c>
      <c r="J249">
        <v>0</v>
      </c>
      <c r="K249">
        <v>0</v>
      </c>
      <c r="L249">
        <v>0</v>
      </c>
      <c r="M249">
        <v>112194.49</v>
      </c>
      <c r="N249">
        <v>112194.49</v>
      </c>
      <c r="O249" t="s">
        <v>1563</v>
      </c>
    </row>
    <row r="250" spans="1:15" x14ac:dyDescent="0.25">
      <c r="A250" t="s">
        <v>2177</v>
      </c>
      <c r="B250" t="s">
        <v>2178</v>
      </c>
      <c r="C250" t="s">
        <v>2179</v>
      </c>
      <c r="D250" t="s">
        <v>474</v>
      </c>
      <c r="E250" s="2">
        <v>45421</v>
      </c>
      <c r="F250" t="s">
        <v>16</v>
      </c>
      <c r="G250">
        <v>10000000</v>
      </c>
      <c r="H250" s="2">
        <v>45553</v>
      </c>
      <c r="I250">
        <v>2024</v>
      </c>
      <c r="J250">
        <v>4900.4676459841803</v>
      </c>
      <c r="K250">
        <v>12111.6523540158</v>
      </c>
      <c r="L250">
        <v>184112.45</v>
      </c>
      <c r="M250">
        <v>109368.13</v>
      </c>
      <c r="N250">
        <v>310492.7</v>
      </c>
      <c r="O250" t="s">
        <v>1485</v>
      </c>
    </row>
    <row r="251" spans="1:15" x14ac:dyDescent="0.25">
      <c r="A251" t="s">
        <v>2180</v>
      </c>
      <c r="B251" t="s">
        <v>2181</v>
      </c>
      <c r="C251" t="s">
        <v>2182</v>
      </c>
      <c r="D251" t="s">
        <v>474</v>
      </c>
      <c r="E251" s="2">
        <v>45409</v>
      </c>
      <c r="F251" t="s">
        <v>48</v>
      </c>
      <c r="G251">
        <v>1000000</v>
      </c>
      <c r="H251" s="2">
        <v>45531</v>
      </c>
      <c r="I251">
        <v>2024</v>
      </c>
      <c r="J251">
        <v>2231.6071981159498</v>
      </c>
      <c r="K251">
        <v>5240.36280188405</v>
      </c>
      <c r="L251">
        <v>46846.5</v>
      </c>
      <c r="M251">
        <v>46973.72</v>
      </c>
      <c r="N251">
        <v>101292.19</v>
      </c>
      <c r="O251" t="s">
        <v>111</v>
      </c>
    </row>
    <row r="252" spans="1:15" x14ac:dyDescent="0.25">
      <c r="A252" t="s">
        <v>2183</v>
      </c>
      <c r="B252" t="s">
        <v>2184</v>
      </c>
      <c r="C252" t="s">
        <v>2185</v>
      </c>
      <c r="D252" t="s">
        <v>474</v>
      </c>
      <c r="E252" s="2">
        <v>44472</v>
      </c>
      <c r="F252" t="s">
        <v>51</v>
      </c>
      <c r="G252">
        <v>1000000</v>
      </c>
      <c r="H252" s="2">
        <v>44803</v>
      </c>
      <c r="I252">
        <v>2022</v>
      </c>
      <c r="J252">
        <v>581.63506105891497</v>
      </c>
      <c r="K252">
        <v>1872.2949389410901</v>
      </c>
      <c r="L252">
        <v>6350.92</v>
      </c>
      <c r="M252">
        <v>65663.039999999994</v>
      </c>
      <c r="N252">
        <v>74467.89</v>
      </c>
      <c r="O252" t="s">
        <v>111</v>
      </c>
    </row>
    <row r="253" spans="1:15" x14ac:dyDescent="0.25">
      <c r="A253" t="s">
        <v>2186</v>
      </c>
      <c r="B253" t="s">
        <v>2187</v>
      </c>
      <c r="C253" t="s">
        <v>2188</v>
      </c>
      <c r="D253" t="s">
        <v>474</v>
      </c>
      <c r="E253" s="2">
        <v>45439</v>
      </c>
      <c r="F253" t="s">
        <v>10</v>
      </c>
      <c r="G253">
        <v>4000000</v>
      </c>
      <c r="H253" s="2">
        <v>45482</v>
      </c>
      <c r="I253">
        <v>2024</v>
      </c>
      <c r="J253">
        <v>721.92254684983004</v>
      </c>
      <c r="K253">
        <v>2531.98745315017</v>
      </c>
      <c r="L253">
        <v>20620.86</v>
      </c>
      <c r="M253">
        <v>84524.25</v>
      </c>
      <c r="N253">
        <v>108399.02</v>
      </c>
      <c r="O253" t="s">
        <v>1563</v>
      </c>
    </row>
    <row r="254" spans="1:15" x14ac:dyDescent="0.25">
      <c r="A254" t="s">
        <v>2189</v>
      </c>
      <c r="B254" t="s">
        <v>2190</v>
      </c>
      <c r="C254" t="s">
        <v>2191</v>
      </c>
      <c r="D254" t="s">
        <v>474</v>
      </c>
      <c r="E254" s="2">
        <v>45350</v>
      </c>
      <c r="F254" t="s">
        <v>20</v>
      </c>
      <c r="G254">
        <v>1000000</v>
      </c>
      <c r="H254" s="2">
        <v>45449</v>
      </c>
      <c r="I254">
        <v>2024</v>
      </c>
      <c r="J254">
        <v>295.24071062048</v>
      </c>
      <c r="K254">
        <v>1064.20928937952</v>
      </c>
      <c r="L254">
        <v>30345.66</v>
      </c>
      <c r="M254">
        <v>63524.29</v>
      </c>
      <c r="N254">
        <v>95229.4</v>
      </c>
      <c r="O254" t="s">
        <v>1452</v>
      </c>
    </row>
    <row r="255" spans="1:15" x14ac:dyDescent="0.25">
      <c r="E255" s="2"/>
      <c r="H255" s="2"/>
    </row>
    <row r="256" spans="1:15" x14ac:dyDescent="0.25">
      <c r="E256" s="2"/>
      <c r="H256" s="2"/>
    </row>
    <row r="257" spans="5:8" x14ac:dyDescent="0.25">
      <c r="E257" s="2"/>
      <c r="H257" s="2"/>
    </row>
    <row r="258" spans="5:8" x14ac:dyDescent="0.25">
      <c r="E258" s="2"/>
      <c r="H258" s="2"/>
    </row>
    <row r="259" spans="5:8" x14ac:dyDescent="0.25">
      <c r="E259" s="2"/>
      <c r="H259" s="2"/>
    </row>
    <row r="260" spans="5:8" x14ac:dyDescent="0.25">
      <c r="E260" s="2"/>
      <c r="H260" s="2"/>
    </row>
    <row r="261" spans="5:8" x14ac:dyDescent="0.25">
      <c r="E261" s="2"/>
      <c r="H261" s="2"/>
    </row>
    <row r="262" spans="5:8" x14ac:dyDescent="0.25">
      <c r="E262" s="2"/>
      <c r="H262" s="2"/>
    </row>
    <row r="263" spans="5:8" x14ac:dyDescent="0.25">
      <c r="E263" s="2"/>
      <c r="H263" s="2"/>
    </row>
    <row r="264" spans="5:8" x14ac:dyDescent="0.25">
      <c r="E264" s="2"/>
      <c r="H264" s="2"/>
    </row>
    <row r="265" spans="5:8" x14ac:dyDescent="0.25">
      <c r="E265" s="2"/>
      <c r="H265" s="2"/>
    </row>
    <row r="266" spans="5:8" x14ac:dyDescent="0.25">
      <c r="E266" s="2"/>
      <c r="H266" s="2"/>
    </row>
    <row r="267" spans="5:8" x14ac:dyDescent="0.25">
      <c r="E267" s="2"/>
      <c r="H267" s="2"/>
    </row>
    <row r="268" spans="5:8" x14ac:dyDescent="0.25">
      <c r="E268" s="2"/>
      <c r="H268" s="2"/>
    </row>
    <row r="269" spans="5:8" x14ac:dyDescent="0.25">
      <c r="E269" s="2"/>
      <c r="H269" s="2"/>
    </row>
    <row r="270" spans="5:8" x14ac:dyDescent="0.25">
      <c r="E270" s="2"/>
      <c r="H270" s="2"/>
    </row>
    <row r="271" spans="5:8" x14ac:dyDescent="0.25">
      <c r="E271" s="2"/>
      <c r="H271" s="2"/>
    </row>
    <row r="272" spans="5:8" x14ac:dyDescent="0.25">
      <c r="E272" s="2"/>
      <c r="H272" s="2"/>
    </row>
    <row r="273" spans="5:8" x14ac:dyDescent="0.25">
      <c r="E273" s="2"/>
      <c r="H273" s="2"/>
    </row>
    <row r="274" spans="5:8" x14ac:dyDescent="0.25">
      <c r="E274" s="2"/>
      <c r="H274" s="2"/>
    </row>
    <row r="275" spans="5:8" x14ac:dyDescent="0.25">
      <c r="E275" s="2"/>
      <c r="H275" s="2"/>
    </row>
    <row r="276" spans="5:8" x14ac:dyDescent="0.25">
      <c r="E276" s="2"/>
      <c r="H276" s="2"/>
    </row>
    <row r="277" spans="5:8" x14ac:dyDescent="0.25">
      <c r="E277" s="2"/>
      <c r="H277" s="2"/>
    </row>
    <row r="278" spans="5:8" x14ac:dyDescent="0.25">
      <c r="E278" s="2"/>
      <c r="H278" s="2"/>
    </row>
    <row r="279" spans="5:8" x14ac:dyDescent="0.25">
      <c r="E279" s="2"/>
      <c r="H279" s="2"/>
    </row>
    <row r="280" spans="5:8" x14ac:dyDescent="0.25">
      <c r="E280" s="2"/>
      <c r="H280" s="2"/>
    </row>
    <row r="281" spans="5:8" x14ac:dyDescent="0.25">
      <c r="E281" s="2"/>
      <c r="H281" s="2"/>
    </row>
    <row r="282" spans="5:8" x14ac:dyDescent="0.25">
      <c r="E282" s="2"/>
      <c r="H282" s="2"/>
    </row>
    <row r="283" spans="5:8" x14ac:dyDescent="0.25">
      <c r="E283" s="2"/>
      <c r="H283" s="2"/>
    </row>
    <row r="284" spans="5:8" x14ac:dyDescent="0.25">
      <c r="E284" s="2"/>
      <c r="H284" s="2"/>
    </row>
    <row r="285" spans="5:8" x14ac:dyDescent="0.25">
      <c r="E285" s="2"/>
      <c r="H285" s="2"/>
    </row>
    <row r="286" spans="5:8" x14ac:dyDescent="0.25">
      <c r="E286" s="2"/>
      <c r="H286" s="2"/>
    </row>
    <row r="287" spans="5:8" x14ac:dyDescent="0.25">
      <c r="E287" s="2"/>
      <c r="H287" s="2"/>
    </row>
    <row r="288" spans="5:8" x14ac:dyDescent="0.25">
      <c r="E288" s="2"/>
      <c r="H288" s="2"/>
    </row>
    <row r="289" spans="5:8" x14ac:dyDescent="0.25">
      <c r="E289" s="2"/>
      <c r="H289" s="2"/>
    </row>
    <row r="290" spans="5:8" x14ac:dyDescent="0.25">
      <c r="E290" s="2"/>
      <c r="H290" s="2"/>
    </row>
    <row r="291" spans="5:8" x14ac:dyDescent="0.25">
      <c r="E291" s="2"/>
      <c r="H291" s="2"/>
    </row>
    <row r="292" spans="5:8" x14ac:dyDescent="0.25">
      <c r="E292" s="2"/>
      <c r="H292" s="2"/>
    </row>
    <row r="293" spans="5:8" x14ac:dyDescent="0.25">
      <c r="E293" s="2"/>
      <c r="H293" s="2"/>
    </row>
    <row r="294" spans="5:8" x14ac:dyDescent="0.25">
      <c r="E294" s="2"/>
      <c r="H294" s="2"/>
    </row>
    <row r="295" spans="5:8" x14ac:dyDescent="0.25">
      <c r="E295" s="2"/>
      <c r="H295" s="2"/>
    </row>
    <row r="296" spans="5:8" x14ac:dyDescent="0.25">
      <c r="E296" s="2"/>
      <c r="H296" s="2"/>
    </row>
    <row r="297" spans="5:8" x14ac:dyDescent="0.25">
      <c r="E297" s="2"/>
      <c r="H297" s="2"/>
    </row>
    <row r="298" spans="5:8" x14ac:dyDescent="0.25">
      <c r="E298" s="2"/>
      <c r="H298" s="2"/>
    </row>
    <row r="299" spans="5:8" x14ac:dyDescent="0.25">
      <c r="E299" s="2"/>
      <c r="H299" s="2"/>
    </row>
    <row r="300" spans="5:8" x14ac:dyDescent="0.25">
      <c r="E300" s="2"/>
      <c r="H300" s="2"/>
    </row>
    <row r="301" spans="5:8" x14ac:dyDescent="0.25">
      <c r="E301" s="2"/>
      <c r="H301" s="2"/>
    </row>
    <row r="302" spans="5:8" x14ac:dyDescent="0.25">
      <c r="E302" s="2"/>
      <c r="H302" s="2"/>
    </row>
    <row r="303" spans="5:8" x14ac:dyDescent="0.25">
      <c r="E303" s="2"/>
      <c r="H303" s="2"/>
    </row>
    <row r="304" spans="5:8" x14ac:dyDescent="0.25">
      <c r="E304" s="2"/>
      <c r="H304" s="2"/>
    </row>
    <row r="305" spans="5:8" x14ac:dyDescent="0.25">
      <c r="E305" s="2"/>
      <c r="H305" s="2"/>
    </row>
    <row r="306" spans="5:8" x14ac:dyDescent="0.25">
      <c r="E306" s="2"/>
      <c r="H306" s="2"/>
    </row>
    <row r="307" spans="5:8" x14ac:dyDescent="0.25">
      <c r="E307" s="2"/>
      <c r="H307" s="2"/>
    </row>
    <row r="308" spans="5:8" x14ac:dyDescent="0.25">
      <c r="E308" s="2"/>
      <c r="H308" s="2"/>
    </row>
    <row r="309" spans="5:8" x14ac:dyDescent="0.25">
      <c r="E309" s="2"/>
      <c r="H309" s="2"/>
    </row>
    <row r="310" spans="5:8" x14ac:dyDescent="0.25">
      <c r="E310" s="2"/>
      <c r="H310" s="2"/>
    </row>
    <row r="311" spans="5:8" x14ac:dyDescent="0.25">
      <c r="E311" s="2"/>
      <c r="H311" s="2"/>
    </row>
    <row r="312" spans="5:8" x14ac:dyDescent="0.25">
      <c r="E312" s="2"/>
      <c r="H312" s="2"/>
    </row>
    <row r="313" spans="5:8" x14ac:dyDescent="0.25">
      <c r="E313" s="2"/>
      <c r="H313" s="2"/>
    </row>
    <row r="314" spans="5:8" x14ac:dyDescent="0.25">
      <c r="E314" s="2"/>
      <c r="H314" s="2"/>
    </row>
    <row r="315" spans="5:8" x14ac:dyDescent="0.25">
      <c r="E315" s="2"/>
      <c r="H315" s="2"/>
    </row>
    <row r="316" spans="5:8" x14ac:dyDescent="0.25">
      <c r="E316" s="2"/>
      <c r="H316" s="2"/>
    </row>
    <row r="317" spans="5:8" x14ac:dyDescent="0.25">
      <c r="E317" s="2"/>
      <c r="H317" s="2"/>
    </row>
    <row r="318" spans="5:8" x14ac:dyDescent="0.25">
      <c r="E318" s="2"/>
      <c r="H318" s="2"/>
    </row>
    <row r="319" spans="5:8" x14ac:dyDescent="0.25">
      <c r="E319" s="2"/>
      <c r="H319" s="2"/>
    </row>
    <row r="320" spans="5:8" x14ac:dyDescent="0.25">
      <c r="E320" s="2"/>
      <c r="H320" s="2"/>
    </row>
    <row r="321" spans="5:8" x14ac:dyDescent="0.25">
      <c r="E321" s="2"/>
      <c r="H321" s="2"/>
    </row>
    <row r="322" spans="5:8" x14ac:dyDescent="0.25">
      <c r="E322" s="2"/>
      <c r="H322" s="2"/>
    </row>
    <row r="323" spans="5:8" x14ac:dyDescent="0.25">
      <c r="E323" s="2"/>
      <c r="H323" s="2"/>
    </row>
    <row r="324" spans="5:8" x14ac:dyDescent="0.25">
      <c r="E324" s="2"/>
      <c r="H324" s="2"/>
    </row>
    <row r="325" spans="5:8" x14ac:dyDescent="0.25">
      <c r="E325" s="2"/>
      <c r="H325" s="2"/>
    </row>
    <row r="326" spans="5:8" x14ac:dyDescent="0.25">
      <c r="E326" s="2"/>
      <c r="H326" s="2"/>
    </row>
    <row r="327" spans="5:8" x14ac:dyDescent="0.25">
      <c r="E327" s="2"/>
      <c r="H327" s="2"/>
    </row>
    <row r="328" spans="5:8" x14ac:dyDescent="0.25">
      <c r="E328" s="2"/>
      <c r="H328" s="2"/>
    </row>
    <row r="329" spans="5:8" x14ac:dyDescent="0.25">
      <c r="E329" s="2"/>
      <c r="H329" s="2"/>
    </row>
    <row r="330" spans="5:8" x14ac:dyDescent="0.25">
      <c r="E330" s="2"/>
      <c r="H330" s="2"/>
    </row>
    <row r="331" spans="5:8" x14ac:dyDescent="0.25">
      <c r="E331" s="2"/>
      <c r="H331" s="2"/>
    </row>
    <row r="332" spans="5:8" x14ac:dyDescent="0.25">
      <c r="E332" s="2"/>
      <c r="H332" s="2"/>
    </row>
    <row r="333" spans="5:8" x14ac:dyDescent="0.25">
      <c r="E333" s="2"/>
      <c r="H333" s="2"/>
    </row>
    <row r="334" spans="5:8" x14ac:dyDescent="0.25">
      <c r="E334" s="2"/>
      <c r="H334" s="2"/>
    </row>
    <row r="335" spans="5:8" x14ac:dyDescent="0.25">
      <c r="E335" s="2"/>
      <c r="H335" s="2"/>
    </row>
    <row r="336" spans="5:8" x14ac:dyDescent="0.25">
      <c r="E336" s="2"/>
      <c r="H336" s="2"/>
    </row>
    <row r="337" spans="5:8" x14ac:dyDescent="0.25">
      <c r="E337" s="2"/>
      <c r="H337" s="2"/>
    </row>
    <row r="338" spans="5:8" x14ac:dyDescent="0.25">
      <c r="E338" s="2"/>
      <c r="H338" s="2"/>
    </row>
    <row r="339" spans="5:8" x14ac:dyDescent="0.25">
      <c r="E339" s="2"/>
      <c r="H339" s="2"/>
    </row>
    <row r="340" spans="5:8" x14ac:dyDescent="0.25">
      <c r="E340" s="2"/>
      <c r="H340" s="2"/>
    </row>
    <row r="341" spans="5:8" x14ac:dyDescent="0.25">
      <c r="E341" s="2"/>
      <c r="H341" s="2"/>
    </row>
    <row r="342" spans="5:8" x14ac:dyDescent="0.25">
      <c r="E342" s="2"/>
      <c r="H342" s="2"/>
    </row>
    <row r="343" spans="5:8" x14ac:dyDescent="0.25">
      <c r="E343" s="2"/>
      <c r="H343" s="2"/>
    </row>
    <row r="344" spans="5:8" x14ac:dyDescent="0.25">
      <c r="E344" s="2"/>
      <c r="H344" s="2"/>
    </row>
    <row r="345" spans="5:8" x14ac:dyDescent="0.25">
      <c r="E345" s="2"/>
      <c r="H345" s="2"/>
    </row>
    <row r="346" spans="5:8" x14ac:dyDescent="0.25">
      <c r="E346" s="2"/>
      <c r="H346" s="2"/>
    </row>
    <row r="347" spans="5:8" x14ac:dyDescent="0.25">
      <c r="E347" s="2"/>
      <c r="H347" s="2"/>
    </row>
    <row r="348" spans="5:8" x14ac:dyDescent="0.25">
      <c r="E348" s="2"/>
      <c r="H348" s="2"/>
    </row>
    <row r="349" spans="5:8" x14ac:dyDescent="0.25">
      <c r="E349" s="2"/>
      <c r="H349" s="2"/>
    </row>
    <row r="350" spans="5:8" x14ac:dyDescent="0.25">
      <c r="E350" s="2"/>
      <c r="H350" s="2"/>
    </row>
    <row r="351" spans="5:8" x14ac:dyDescent="0.25">
      <c r="E351" s="2"/>
      <c r="H351" s="2"/>
    </row>
    <row r="352" spans="5:8" x14ac:dyDescent="0.25">
      <c r="E352" s="2"/>
      <c r="H352" s="2"/>
    </row>
    <row r="353" spans="5:8" x14ac:dyDescent="0.25">
      <c r="E353" s="2"/>
      <c r="H353" s="2"/>
    </row>
    <row r="354" spans="5:8" x14ac:dyDescent="0.25">
      <c r="E354" s="2"/>
      <c r="H354" s="2"/>
    </row>
    <row r="355" spans="5:8" x14ac:dyDescent="0.25">
      <c r="E355" s="2"/>
      <c r="H355" s="2"/>
    </row>
    <row r="356" spans="5:8" x14ac:dyDescent="0.25">
      <c r="E356" s="2"/>
      <c r="H356" s="2"/>
    </row>
    <row r="357" spans="5:8" x14ac:dyDescent="0.25">
      <c r="E357" s="2"/>
      <c r="H357" s="2"/>
    </row>
    <row r="358" spans="5:8" x14ac:dyDescent="0.25">
      <c r="E358" s="2"/>
      <c r="H358" s="2"/>
    </row>
    <row r="359" spans="5:8" x14ac:dyDescent="0.25">
      <c r="E359" s="2"/>
      <c r="H359" s="2"/>
    </row>
    <row r="360" spans="5:8" x14ac:dyDescent="0.25">
      <c r="E360" s="2"/>
      <c r="H360" s="2"/>
    </row>
    <row r="361" spans="5:8" x14ac:dyDescent="0.25">
      <c r="E361" s="2"/>
      <c r="H361" s="2"/>
    </row>
    <row r="362" spans="5:8" x14ac:dyDescent="0.25">
      <c r="E362" s="2"/>
      <c r="H362" s="2"/>
    </row>
    <row r="363" spans="5:8" x14ac:dyDescent="0.25">
      <c r="E363" s="2"/>
      <c r="H363" s="2"/>
    </row>
    <row r="364" spans="5:8" x14ac:dyDescent="0.25">
      <c r="E364" s="2"/>
      <c r="H364" s="2"/>
    </row>
    <row r="365" spans="5:8" x14ac:dyDescent="0.25">
      <c r="E365" s="2"/>
      <c r="H365" s="2"/>
    </row>
    <row r="366" spans="5:8" x14ac:dyDescent="0.25">
      <c r="E366" s="2"/>
      <c r="H366" s="2"/>
    </row>
    <row r="367" spans="5:8" x14ac:dyDescent="0.25">
      <c r="E367" s="2"/>
      <c r="H367" s="2"/>
    </row>
    <row r="368" spans="5:8" x14ac:dyDescent="0.25">
      <c r="E368" s="2"/>
      <c r="H368" s="2"/>
    </row>
    <row r="369" spans="5:8" x14ac:dyDescent="0.25">
      <c r="E369" s="2"/>
      <c r="H369" s="2"/>
    </row>
    <row r="370" spans="5:8" x14ac:dyDescent="0.25">
      <c r="E370" s="2"/>
      <c r="H370" s="2"/>
    </row>
    <row r="371" spans="5:8" x14ac:dyDescent="0.25">
      <c r="E371" s="2"/>
      <c r="H371" s="2"/>
    </row>
    <row r="372" spans="5:8" x14ac:dyDescent="0.25">
      <c r="E372" s="2"/>
      <c r="H372" s="2"/>
    </row>
    <row r="373" spans="5:8" x14ac:dyDescent="0.25">
      <c r="E373" s="2"/>
      <c r="H373" s="2"/>
    </row>
    <row r="374" spans="5:8" x14ac:dyDescent="0.25">
      <c r="E374" s="2"/>
      <c r="H374" s="2"/>
    </row>
    <row r="375" spans="5:8" x14ac:dyDescent="0.25">
      <c r="E375" s="2"/>
      <c r="H375" s="2"/>
    </row>
    <row r="376" spans="5:8" x14ac:dyDescent="0.25">
      <c r="E376" s="2"/>
      <c r="H376" s="2"/>
    </row>
    <row r="377" spans="5:8" x14ac:dyDescent="0.25">
      <c r="E377" s="2"/>
      <c r="H377" s="2"/>
    </row>
    <row r="378" spans="5:8" x14ac:dyDescent="0.25">
      <c r="E378" s="2"/>
      <c r="H378" s="2"/>
    </row>
    <row r="379" spans="5:8" x14ac:dyDescent="0.25">
      <c r="E379" s="2"/>
      <c r="H379" s="2"/>
    </row>
    <row r="380" spans="5:8" x14ac:dyDescent="0.25">
      <c r="E380" s="2"/>
      <c r="H380" s="2"/>
    </row>
    <row r="381" spans="5:8" x14ac:dyDescent="0.25">
      <c r="E381" s="2"/>
      <c r="H381" s="2"/>
    </row>
    <row r="382" spans="5:8" x14ac:dyDescent="0.25">
      <c r="E382" s="2"/>
      <c r="H382" s="2"/>
    </row>
    <row r="383" spans="5:8" x14ac:dyDescent="0.25">
      <c r="E383" s="2"/>
      <c r="H383" s="2"/>
    </row>
    <row r="384" spans="5:8" x14ac:dyDescent="0.25">
      <c r="E384" s="2"/>
      <c r="H384" s="2"/>
    </row>
    <row r="385" spans="5:8" x14ac:dyDescent="0.25">
      <c r="E385" s="2"/>
      <c r="H385" s="2"/>
    </row>
    <row r="386" spans="5:8" x14ac:dyDescent="0.25">
      <c r="E386" s="2"/>
      <c r="H386" s="2"/>
    </row>
    <row r="387" spans="5:8" x14ac:dyDescent="0.25">
      <c r="E387" s="2"/>
      <c r="H387" s="2"/>
    </row>
    <row r="388" spans="5:8" x14ac:dyDescent="0.25">
      <c r="E388" s="2"/>
      <c r="H388" s="2"/>
    </row>
    <row r="389" spans="5:8" x14ac:dyDescent="0.25">
      <c r="E389" s="2"/>
      <c r="H389" s="2"/>
    </row>
    <row r="390" spans="5:8" x14ac:dyDescent="0.25">
      <c r="E390" s="2"/>
      <c r="H390" s="2"/>
    </row>
    <row r="391" spans="5:8" x14ac:dyDescent="0.25">
      <c r="E391" s="2"/>
      <c r="H391" s="2"/>
    </row>
    <row r="392" spans="5:8" x14ac:dyDescent="0.25">
      <c r="E392" s="2"/>
      <c r="H392" s="2"/>
    </row>
    <row r="393" spans="5:8" x14ac:dyDescent="0.25">
      <c r="E393" s="2"/>
      <c r="H393" s="2"/>
    </row>
    <row r="394" spans="5:8" x14ac:dyDescent="0.25">
      <c r="E394" s="2"/>
      <c r="H394" s="2"/>
    </row>
    <row r="395" spans="5:8" x14ac:dyDescent="0.25">
      <c r="E395" s="2"/>
      <c r="H395" s="2"/>
    </row>
    <row r="396" spans="5:8" x14ac:dyDescent="0.25">
      <c r="E396" s="2"/>
      <c r="H396" s="2"/>
    </row>
    <row r="397" spans="5:8" x14ac:dyDescent="0.25">
      <c r="E397" s="2"/>
      <c r="H397" s="2"/>
    </row>
    <row r="398" spans="5:8" x14ac:dyDescent="0.25">
      <c r="E398" s="2"/>
      <c r="H398" s="2"/>
    </row>
    <row r="399" spans="5:8" x14ac:dyDescent="0.25">
      <c r="E399" s="2"/>
      <c r="H399" s="2"/>
    </row>
    <row r="400" spans="5:8" x14ac:dyDescent="0.25">
      <c r="E400" s="2"/>
      <c r="H400" s="2"/>
    </row>
    <row r="401" spans="5:8" x14ac:dyDescent="0.25">
      <c r="E401" s="2"/>
      <c r="H401" s="2"/>
    </row>
    <row r="402" spans="5:8" x14ac:dyDescent="0.25">
      <c r="E402" s="2"/>
      <c r="H402" s="2"/>
    </row>
    <row r="403" spans="5:8" x14ac:dyDescent="0.25">
      <c r="E403" s="2"/>
      <c r="H403" s="2"/>
    </row>
    <row r="404" spans="5:8" x14ac:dyDescent="0.25">
      <c r="E404" s="2"/>
      <c r="H404" s="2"/>
    </row>
    <row r="405" spans="5:8" x14ac:dyDescent="0.25">
      <c r="E405" s="2"/>
      <c r="H405" s="2"/>
    </row>
    <row r="406" spans="5:8" x14ac:dyDescent="0.25">
      <c r="E406" s="2"/>
      <c r="H406" s="2"/>
    </row>
    <row r="407" spans="5:8" x14ac:dyDescent="0.25">
      <c r="E407" s="2"/>
      <c r="H407" s="2"/>
    </row>
    <row r="408" spans="5:8" x14ac:dyDescent="0.25">
      <c r="E408" s="2"/>
      <c r="H408" s="2"/>
    </row>
    <row r="409" spans="5:8" x14ac:dyDescent="0.25">
      <c r="E409" s="2"/>
      <c r="H409" s="2"/>
    </row>
    <row r="410" spans="5:8" x14ac:dyDescent="0.25">
      <c r="E410" s="2"/>
      <c r="H410" s="2"/>
    </row>
    <row r="411" spans="5:8" x14ac:dyDescent="0.25">
      <c r="E411" s="2"/>
      <c r="H411" s="2"/>
    </row>
    <row r="412" spans="5:8" x14ac:dyDescent="0.25">
      <c r="E412" s="2"/>
      <c r="H412" s="2"/>
    </row>
    <row r="413" spans="5:8" x14ac:dyDescent="0.25">
      <c r="E413" s="2"/>
      <c r="H413" s="2"/>
    </row>
    <row r="414" spans="5:8" x14ac:dyDescent="0.25">
      <c r="E414" s="2"/>
      <c r="H414" s="2"/>
    </row>
    <row r="415" spans="5:8" x14ac:dyDescent="0.25">
      <c r="E415" s="2"/>
      <c r="H415" s="2"/>
    </row>
    <row r="416" spans="5:8" x14ac:dyDescent="0.25">
      <c r="E416" s="2"/>
      <c r="H416" s="2"/>
    </row>
    <row r="417" spans="5:8" x14ac:dyDescent="0.25">
      <c r="E417" s="2"/>
      <c r="H417" s="2"/>
    </row>
    <row r="418" spans="5:8" x14ac:dyDescent="0.25">
      <c r="E418" s="2"/>
      <c r="H418" s="2"/>
    </row>
    <row r="419" spans="5:8" x14ac:dyDescent="0.25">
      <c r="E419" s="2"/>
      <c r="H419" s="2"/>
    </row>
    <row r="420" spans="5:8" x14ac:dyDescent="0.25">
      <c r="E420" s="2"/>
      <c r="H420" s="2"/>
    </row>
    <row r="421" spans="5:8" x14ac:dyDescent="0.25">
      <c r="E421" s="2"/>
      <c r="H421" s="2"/>
    </row>
    <row r="422" spans="5:8" x14ac:dyDescent="0.25">
      <c r="E422" s="2"/>
      <c r="H422" s="2"/>
    </row>
    <row r="423" spans="5:8" x14ac:dyDescent="0.25">
      <c r="E423" s="2"/>
      <c r="H423" s="2"/>
    </row>
    <row r="424" spans="5:8" x14ac:dyDescent="0.25">
      <c r="E424" s="2"/>
      <c r="H424" s="2"/>
    </row>
    <row r="425" spans="5:8" x14ac:dyDescent="0.25">
      <c r="E425" s="2"/>
      <c r="H425" s="2"/>
    </row>
    <row r="426" spans="5:8" x14ac:dyDescent="0.25">
      <c r="E426" s="2"/>
      <c r="H426" s="2"/>
    </row>
    <row r="427" spans="5:8" x14ac:dyDescent="0.25">
      <c r="E427" s="2"/>
      <c r="H427" s="2"/>
    </row>
    <row r="428" spans="5:8" x14ac:dyDescent="0.25">
      <c r="E428" s="2"/>
      <c r="H428" s="2"/>
    </row>
    <row r="429" spans="5:8" x14ac:dyDescent="0.25">
      <c r="E429" s="2"/>
      <c r="H429" s="2"/>
    </row>
    <row r="430" spans="5:8" x14ac:dyDescent="0.25">
      <c r="E430" s="2"/>
      <c r="H430" s="2"/>
    </row>
    <row r="431" spans="5:8" x14ac:dyDescent="0.25">
      <c r="E431" s="2"/>
      <c r="H431" s="2"/>
    </row>
    <row r="432" spans="5:8" x14ac:dyDescent="0.25">
      <c r="E432" s="2"/>
      <c r="H432" s="2"/>
    </row>
    <row r="433" spans="5:8" x14ac:dyDescent="0.25">
      <c r="E433" s="2"/>
      <c r="H433" s="2"/>
    </row>
    <row r="434" spans="5:8" x14ac:dyDescent="0.25">
      <c r="E434" s="2"/>
      <c r="H434" s="2"/>
    </row>
    <row r="435" spans="5:8" x14ac:dyDescent="0.25">
      <c r="E435" s="2"/>
      <c r="H435" s="2"/>
    </row>
    <row r="436" spans="5:8" x14ac:dyDescent="0.25">
      <c r="E436" s="2"/>
      <c r="H436" s="2"/>
    </row>
    <row r="437" spans="5:8" x14ac:dyDescent="0.25">
      <c r="E437" s="2"/>
      <c r="H437" s="2"/>
    </row>
    <row r="438" spans="5:8" x14ac:dyDescent="0.25">
      <c r="E438" s="2"/>
      <c r="H438" s="2"/>
    </row>
    <row r="439" spans="5:8" x14ac:dyDescent="0.25">
      <c r="E439" s="2"/>
      <c r="H439" s="2"/>
    </row>
    <row r="440" spans="5:8" x14ac:dyDescent="0.25">
      <c r="E440" s="2"/>
      <c r="H440" s="2"/>
    </row>
    <row r="441" spans="5:8" x14ac:dyDescent="0.25">
      <c r="E441" s="2"/>
      <c r="H441" s="2"/>
    </row>
    <row r="442" spans="5:8" x14ac:dyDescent="0.25">
      <c r="E442" s="2"/>
      <c r="H442" s="2"/>
    </row>
    <row r="443" spans="5:8" x14ac:dyDescent="0.25">
      <c r="E443" s="2"/>
      <c r="H443" s="2"/>
    </row>
    <row r="444" spans="5:8" x14ac:dyDescent="0.25">
      <c r="E444" s="2"/>
      <c r="H444" s="2"/>
    </row>
    <row r="445" spans="5:8" x14ac:dyDescent="0.25">
      <c r="E445" s="2"/>
      <c r="H445" s="2"/>
    </row>
    <row r="446" spans="5:8" x14ac:dyDescent="0.25">
      <c r="E446" s="2"/>
      <c r="H446" s="2"/>
    </row>
    <row r="447" spans="5:8" x14ac:dyDescent="0.25">
      <c r="E447" s="2"/>
      <c r="H447" s="2"/>
    </row>
    <row r="448" spans="5:8" x14ac:dyDescent="0.25">
      <c r="E448" s="2"/>
      <c r="H448" s="2"/>
    </row>
    <row r="449" spans="5:8" x14ac:dyDescent="0.25">
      <c r="E449" s="2"/>
      <c r="H449" s="2"/>
    </row>
    <row r="450" spans="5:8" x14ac:dyDescent="0.25">
      <c r="E450" s="2"/>
      <c r="H450" s="2"/>
    </row>
    <row r="451" spans="5:8" x14ac:dyDescent="0.25">
      <c r="E451" s="2"/>
      <c r="H451" s="2"/>
    </row>
    <row r="452" spans="5:8" x14ac:dyDescent="0.25">
      <c r="E452" s="2"/>
      <c r="H452" s="2"/>
    </row>
    <row r="453" spans="5:8" x14ac:dyDescent="0.25">
      <c r="E453" s="2"/>
      <c r="H453" s="2"/>
    </row>
    <row r="454" spans="5:8" x14ac:dyDescent="0.25">
      <c r="E454" s="2"/>
      <c r="H454" s="2"/>
    </row>
    <row r="455" spans="5:8" x14ac:dyDescent="0.25">
      <c r="E455" s="2"/>
      <c r="H455" s="2"/>
    </row>
    <row r="456" spans="5:8" x14ac:dyDescent="0.25">
      <c r="E456" s="2"/>
      <c r="H456" s="2"/>
    </row>
    <row r="457" spans="5:8" x14ac:dyDescent="0.25">
      <c r="E457" s="2"/>
      <c r="H457" s="2"/>
    </row>
    <row r="458" spans="5:8" x14ac:dyDescent="0.25">
      <c r="E458" s="2"/>
      <c r="H458" s="2"/>
    </row>
    <row r="459" spans="5:8" x14ac:dyDescent="0.25">
      <c r="E459" s="2"/>
      <c r="H459" s="2"/>
    </row>
    <row r="460" spans="5:8" x14ac:dyDescent="0.25">
      <c r="E460" s="2"/>
      <c r="H460" s="2"/>
    </row>
    <row r="461" spans="5:8" x14ac:dyDescent="0.25">
      <c r="E461" s="2"/>
      <c r="H461" s="2"/>
    </row>
    <row r="462" spans="5:8" x14ac:dyDescent="0.25">
      <c r="E462" s="2"/>
      <c r="H462" s="2"/>
    </row>
    <row r="463" spans="5:8" x14ac:dyDescent="0.25">
      <c r="E463" s="2"/>
      <c r="H463" s="2"/>
    </row>
    <row r="464" spans="5:8" x14ac:dyDescent="0.25">
      <c r="E464" s="2"/>
      <c r="H464" s="2"/>
    </row>
    <row r="465" spans="5:8" x14ac:dyDescent="0.25">
      <c r="E465" s="2"/>
      <c r="H465" s="2"/>
    </row>
    <row r="466" spans="5:8" x14ac:dyDescent="0.25">
      <c r="E466" s="2"/>
      <c r="H466" s="2"/>
    </row>
    <row r="467" spans="5:8" x14ac:dyDescent="0.25">
      <c r="E467" s="2"/>
      <c r="H467" s="2"/>
    </row>
    <row r="468" spans="5:8" x14ac:dyDescent="0.25">
      <c r="E468" s="2"/>
      <c r="H468" s="2"/>
    </row>
    <row r="469" spans="5:8" x14ac:dyDescent="0.25">
      <c r="E469" s="2"/>
      <c r="H469" s="2"/>
    </row>
    <row r="470" spans="5:8" x14ac:dyDescent="0.25">
      <c r="E470" s="2"/>
      <c r="H470" s="2"/>
    </row>
    <row r="471" spans="5:8" x14ac:dyDescent="0.25">
      <c r="E471" s="2"/>
      <c r="H471" s="2"/>
    </row>
    <row r="472" spans="5:8" x14ac:dyDescent="0.25">
      <c r="E472" s="2"/>
      <c r="H472" s="2"/>
    </row>
    <row r="473" spans="5:8" x14ac:dyDescent="0.25">
      <c r="E473" s="2"/>
      <c r="H473" s="2"/>
    </row>
    <row r="474" spans="5:8" x14ac:dyDescent="0.25">
      <c r="E474" s="2"/>
      <c r="H474" s="2"/>
    </row>
    <row r="475" spans="5:8" x14ac:dyDescent="0.25">
      <c r="E475" s="2"/>
      <c r="H475" s="2"/>
    </row>
    <row r="476" spans="5:8" x14ac:dyDescent="0.25">
      <c r="E476" s="2"/>
      <c r="H476" s="2"/>
    </row>
    <row r="477" spans="5:8" x14ac:dyDescent="0.25">
      <c r="E477" s="2"/>
      <c r="H477" s="2"/>
    </row>
    <row r="478" spans="5:8" x14ac:dyDescent="0.25">
      <c r="E478" s="2"/>
      <c r="H478" s="2"/>
    </row>
    <row r="479" spans="5:8" x14ac:dyDescent="0.25">
      <c r="E479" s="2"/>
      <c r="H479" s="2"/>
    </row>
    <row r="480" spans="5:8" x14ac:dyDescent="0.25">
      <c r="E480" s="2"/>
      <c r="H480" s="2"/>
    </row>
    <row r="481" spans="5:8" x14ac:dyDescent="0.25">
      <c r="E481" s="2"/>
      <c r="H481" s="2"/>
    </row>
    <row r="482" spans="5:8" x14ac:dyDescent="0.25">
      <c r="E482" s="2"/>
      <c r="H482" s="2"/>
    </row>
    <row r="483" spans="5:8" x14ac:dyDescent="0.25">
      <c r="E483" s="2"/>
      <c r="H483" s="2"/>
    </row>
    <row r="484" spans="5:8" x14ac:dyDescent="0.25">
      <c r="E484" s="2"/>
      <c r="H484" s="2"/>
    </row>
    <row r="485" spans="5:8" x14ac:dyDescent="0.25">
      <c r="E485" s="2"/>
      <c r="H485" s="2"/>
    </row>
    <row r="486" spans="5:8" x14ac:dyDescent="0.25">
      <c r="E486" s="2"/>
      <c r="H486" s="2"/>
    </row>
    <row r="487" spans="5:8" x14ac:dyDescent="0.25">
      <c r="E487" s="2"/>
      <c r="H487" s="2"/>
    </row>
    <row r="488" spans="5:8" x14ac:dyDescent="0.25">
      <c r="E488" s="2"/>
      <c r="H488" s="2"/>
    </row>
    <row r="489" spans="5:8" x14ac:dyDescent="0.25">
      <c r="E489" s="2"/>
      <c r="H489" s="2"/>
    </row>
    <row r="490" spans="5:8" x14ac:dyDescent="0.25">
      <c r="E490" s="2"/>
      <c r="H490" s="2"/>
    </row>
    <row r="491" spans="5:8" x14ac:dyDescent="0.25">
      <c r="E491" s="2"/>
      <c r="H491" s="2"/>
    </row>
    <row r="492" spans="5:8" x14ac:dyDescent="0.25">
      <c r="E492" s="2"/>
      <c r="H492" s="2"/>
    </row>
    <row r="493" spans="5:8" x14ac:dyDescent="0.25">
      <c r="E493" s="2"/>
      <c r="H493" s="2"/>
    </row>
    <row r="494" spans="5:8" x14ac:dyDescent="0.25">
      <c r="E494" s="2"/>
      <c r="H494" s="2"/>
    </row>
    <row r="495" spans="5:8" x14ac:dyDescent="0.25">
      <c r="E495" s="2"/>
      <c r="H495" s="2"/>
    </row>
    <row r="496" spans="5:8" x14ac:dyDescent="0.25">
      <c r="E496" s="2"/>
      <c r="H496" s="2"/>
    </row>
    <row r="497" spans="5:8" x14ac:dyDescent="0.25">
      <c r="E497" s="2"/>
      <c r="H497" s="2"/>
    </row>
    <row r="498" spans="5:8" x14ac:dyDescent="0.25">
      <c r="E498" s="2"/>
      <c r="H498" s="2"/>
    </row>
    <row r="499" spans="5:8" x14ac:dyDescent="0.25">
      <c r="E499" s="2"/>
      <c r="H499" s="2"/>
    </row>
    <row r="500" spans="5:8" x14ac:dyDescent="0.25">
      <c r="E500" s="2"/>
      <c r="H500" s="2"/>
    </row>
    <row r="501" spans="5:8" x14ac:dyDescent="0.25">
      <c r="E501" s="2"/>
      <c r="H501" s="2"/>
    </row>
    <row r="502" spans="5:8" x14ac:dyDescent="0.25">
      <c r="E502" s="2"/>
      <c r="H502" s="2"/>
    </row>
    <row r="503" spans="5:8" x14ac:dyDescent="0.25">
      <c r="E503" s="2"/>
      <c r="H503" s="2"/>
    </row>
    <row r="504" spans="5:8" x14ac:dyDescent="0.25">
      <c r="E504" s="2"/>
      <c r="H504" s="2"/>
    </row>
    <row r="505" spans="5:8" x14ac:dyDescent="0.25">
      <c r="E505" s="2"/>
      <c r="H505" s="2"/>
    </row>
    <row r="506" spans="5:8" x14ac:dyDescent="0.25">
      <c r="E506" s="2"/>
      <c r="H506" s="2"/>
    </row>
    <row r="507" spans="5:8" x14ac:dyDescent="0.25">
      <c r="E507" s="2"/>
      <c r="H507" s="2"/>
    </row>
    <row r="508" spans="5:8" x14ac:dyDescent="0.25">
      <c r="E508" s="2"/>
      <c r="H508" s="2"/>
    </row>
    <row r="509" spans="5:8" x14ac:dyDescent="0.25">
      <c r="E509" s="2"/>
      <c r="H509" s="2"/>
    </row>
    <row r="510" spans="5:8" x14ac:dyDescent="0.25">
      <c r="E510" s="2"/>
      <c r="H510" s="2"/>
    </row>
    <row r="511" spans="5:8" x14ac:dyDescent="0.25">
      <c r="E511" s="2"/>
      <c r="H511" s="2"/>
    </row>
    <row r="512" spans="5:8" x14ac:dyDescent="0.25">
      <c r="E512" s="2"/>
      <c r="H512" s="2"/>
    </row>
    <row r="513" spans="5:8" x14ac:dyDescent="0.25">
      <c r="E513" s="2"/>
      <c r="H513" s="2"/>
    </row>
    <row r="514" spans="5:8" x14ac:dyDescent="0.25">
      <c r="E514" s="2"/>
      <c r="H514" s="2"/>
    </row>
    <row r="515" spans="5:8" x14ac:dyDescent="0.25">
      <c r="E515" s="2"/>
      <c r="H515" s="2"/>
    </row>
    <row r="516" spans="5:8" x14ac:dyDescent="0.25">
      <c r="E516" s="2"/>
      <c r="H516" s="2"/>
    </row>
    <row r="517" spans="5:8" x14ac:dyDescent="0.25">
      <c r="E517" s="2"/>
      <c r="H517" s="2"/>
    </row>
    <row r="518" spans="5:8" x14ac:dyDescent="0.25">
      <c r="E518" s="2"/>
      <c r="H518" s="2"/>
    </row>
    <row r="519" spans="5:8" x14ac:dyDescent="0.25">
      <c r="E519" s="2"/>
      <c r="H519" s="2"/>
    </row>
    <row r="520" spans="5:8" x14ac:dyDescent="0.25">
      <c r="E520" s="2"/>
      <c r="H520" s="2"/>
    </row>
    <row r="521" spans="5:8" x14ac:dyDescent="0.25">
      <c r="E521" s="2"/>
      <c r="H521" s="2"/>
    </row>
    <row r="522" spans="5:8" x14ac:dyDescent="0.25">
      <c r="E522" s="2"/>
      <c r="H522" s="2"/>
    </row>
    <row r="523" spans="5:8" x14ac:dyDescent="0.25">
      <c r="E523" s="2"/>
      <c r="H523" s="2"/>
    </row>
    <row r="524" spans="5:8" x14ac:dyDescent="0.25">
      <c r="E524" s="2"/>
      <c r="H524" s="2"/>
    </row>
    <row r="525" spans="5:8" x14ac:dyDescent="0.25">
      <c r="E525" s="2"/>
      <c r="H525" s="2"/>
    </row>
    <row r="526" spans="5:8" x14ac:dyDescent="0.25">
      <c r="E526" s="2"/>
      <c r="H526" s="2"/>
    </row>
    <row r="527" spans="5:8" x14ac:dyDescent="0.25">
      <c r="E527" s="2"/>
      <c r="H527" s="2"/>
    </row>
    <row r="528" spans="5:8" x14ac:dyDescent="0.25">
      <c r="E528" s="2"/>
      <c r="H528" s="2"/>
    </row>
    <row r="529" spans="5:8" x14ac:dyDescent="0.25">
      <c r="E529" s="2"/>
      <c r="H529" s="2"/>
    </row>
    <row r="530" spans="5:8" x14ac:dyDescent="0.25">
      <c r="E530" s="2"/>
      <c r="H530" s="2"/>
    </row>
    <row r="531" spans="5:8" x14ac:dyDescent="0.25">
      <c r="E531" s="2"/>
      <c r="H531" s="2"/>
    </row>
    <row r="532" spans="5:8" x14ac:dyDescent="0.25">
      <c r="E532" s="2"/>
      <c r="H532" s="2"/>
    </row>
    <row r="533" spans="5:8" x14ac:dyDescent="0.25">
      <c r="E533" s="2"/>
      <c r="H533" s="2"/>
    </row>
    <row r="534" spans="5:8" x14ac:dyDescent="0.25">
      <c r="E534" s="2"/>
      <c r="H534" s="2"/>
    </row>
    <row r="535" spans="5:8" x14ac:dyDescent="0.25">
      <c r="E535" s="2"/>
      <c r="H535" s="2"/>
    </row>
    <row r="536" spans="5:8" x14ac:dyDescent="0.25">
      <c r="E536" s="2"/>
      <c r="H536" s="2"/>
    </row>
    <row r="537" spans="5:8" x14ac:dyDescent="0.25">
      <c r="E537" s="2"/>
      <c r="H537" s="2"/>
    </row>
    <row r="538" spans="5:8" x14ac:dyDescent="0.25">
      <c r="E538" s="2"/>
      <c r="H538" s="2"/>
    </row>
    <row r="539" spans="5:8" x14ac:dyDescent="0.25">
      <c r="E539" s="2"/>
      <c r="H539" s="2"/>
    </row>
    <row r="540" spans="5:8" x14ac:dyDescent="0.25">
      <c r="E540" s="2"/>
      <c r="H540" s="2"/>
    </row>
    <row r="541" spans="5:8" x14ac:dyDescent="0.25">
      <c r="E541" s="2"/>
      <c r="H541" s="2"/>
    </row>
    <row r="542" spans="5:8" x14ac:dyDescent="0.25">
      <c r="E542" s="2"/>
      <c r="H542" s="2"/>
    </row>
    <row r="543" spans="5:8" x14ac:dyDescent="0.25">
      <c r="E543" s="2"/>
      <c r="H543" s="2"/>
    </row>
    <row r="544" spans="5:8" x14ac:dyDescent="0.25">
      <c r="E544" s="2"/>
      <c r="H544" s="2"/>
    </row>
    <row r="545" spans="5:8" x14ac:dyDescent="0.25">
      <c r="E545" s="2"/>
      <c r="H545" s="2"/>
    </row>
    <row r="546" spans="5:8" x14ac:dyDescent="0.25">
      <c r="E546" s="2"/>
      <c r="H546" s="2"/>
    </row>
    <row r="547" spans="5:8" x14ac:dyDescent="0.25">
      <c r="E547" s="2"/>
      <c r="H547" s="2"/>
    </row>
    <row r="548" spans="5:8" x14ac:dyDescent="0.25">
      <c r="E548" s="2"/>
      <c r="H548" s="2"/>
    </row>
    <row r="549" spans="5:8" x14ac:dyDescent="0.25">
      <c r="E549" s="2"/>
      <c r="H549" s="2"/>
    </row>
    <row r="550" spans="5:8" x14ac:dyDescent="0.25">
      <c r="E550" s="2"/>
      <c r="H550" s="2"/>
    </row>
    <row r="551" spans="5:8" x14ac:dyDescent="0.25">
      <c r="E551" s="2"/>
      <c r="H551" s="2"/>
    </row>
    <row r="552" spans="5:8" x14ac:dyDescent="0.25">
      <c r="E552" s="2"/>
      <c r="H552" s="2"/>
    </row>
    <row r="553" spans="5:8" x14ac:dyDescent="0.25">
      <c r="E553" s="2"/>
      <c r="H553" s="2"/>
    </row>
    <row r="554" spans="5:8" x14ac:dyDescent="0.25">
      <c r="E554" s="2"/>
      <c r="H554" s="2"/>
    </row>
    <row r="555" spans="5:8" x14ac:dyDescent="0.25">
      <c r="E555" s="2"/>
      <c r="H555" s="2"/>
    </row>
    <row r="556" spans="5:8" x14ac:dyDescent="0.25">
      <c r="E556" s="2"/>
      <c r="H556" s="2"/>
    </row>
    <row r="557" spans="5:8" x14ac:dyDescent="0.25">
      <c r="E557" s="2"/>
      <c r="H557" s="2"/>
    </row>
    <row r="558" spans="5:8" x14ac:dyDescent="0.25">
      <c r="E558" s="2"/>
      <c r="H558" s="2"/>
    </row>
    <row r="559" spans="5:8" x14ac:dyDescent="0.25">
      <c r="E559" s="2"/>
      <c r="H559" s="2"/>
    </row>
    <row r="560" spans="5:8" x14ac:dyDescent="0.25">
      <c r="E560" s="2"/>
      <c r="H560" s="2"/>
    </row>
    <row r="561" spans="5:8" x14ac:dyDescent="0.25">
      <c r="E561" s="2"/>
      <c r="H561" s="2"/>
    </row>
    <row r="562" spans="5:8" x14ac:dyDescent="0.25">
      <c r="E562" s="2"/>
      <c r="H562" s="2"/>
    </row>
    <row r="563" spans="5:8" x14ac:dyDescent="0.25">
      <c r="E563" s="2"/>
      <c r="H563" s="2"/>
    </row>
    <row r="564" spans="5:8" x14ac:dyDescent="0.25">
      <c r="E564" s="2"/>
      <c r="H564" s="2"/>
    </row>
    <row r="565" spans="5:8" x14ac:dyDescent="0.25">
      <c r="E565" s="2"/>
      <c r="H565" s="2"/>
    </row>
    <row r="566" spans="5:8" x14ac:dyDescent="0.25">
      <c r="E566" s="2"/>
      <c r="H566" s="2"/>
    </row>
    <row r="567" spans="5:8" x14ac:dyDescent="0.25">
      <c r="E567" s="2"/>
      <c r="H567" s="2"/>
    </row>
    <row r="568" spans="5:8" x14ac:dyDescent="0.25">
      <c r="E568" s="2"/>
      <c r="H568" s="2"/>
    </row>
    <row r="569" spans="5:8" x14ac:dyDescent="0.25">
      <c r="E569" s="2"/>
      <c r="H569" s="2"/>
    </row>
    <row r="570" spans="5:8" x14ac:dyDescent="0.25">
      <c r="E570" s="2"/>
      <c r="H570" s="2"/>
    </row>
    <row r="571" spans="5:8" x14ac:dyDescent="0.25">
      <c r="E571" s="2"/>
      <c r="H571" s="2"/>
    </row>
    <row r="572" spans="5:8" x14ac:dyDescent="0.25">
      <c r="E572" s="2"/>
      <c r="H572" s="2"/>
    </row>
    <row r="573" spans="5:8" x14ac:dyDescent="0.25">
      <c r="E573" s="2"/>
      <c r="H573" s="2"/>
    </row>
    <row r="574" spans="5:8" x14ac:dyDescent="0.25">
      <c r="E574" s="2"/>
      <c r="H574" s="2"/>
    </row>
    <row r="575" spans="5:8" x14ac:dyDescent="0.25">
      <c r="E575" s="2"/>
      <c r="H575" s="2"/>
    </row>
    <row r="576" spans="5:8" x14ac:dyDescent="0.25">
      <c r="E576" s="2"/>
      <c r="H576" s="2"/>
    </row>
    <row r="577" spans="5:8" x14ac:dyDescent="0.25">
      <c r="E577" s="2"/>
      <c r="H577" s="2"/>
    </row>
    <row r="578" spans="5:8" x14ac:dyDescent="0.25">
      <c r="E578" s="2"/>
      <c r="H578" s="2"/>
    </row>
    <row r="579" spans="5:8" x14ac:dyDescent="0.25">
      <c r="E579" s="2"/>
      <c r="H579" s="2"/>
    </row>
    <row r="580" spans="5:8" x14ac:dyDescent="0.25">
      <c r="E580" s="2"/>
      <c r="H580" s="2"/>
    </row>
    <row r="581" spans="5:8" x14ac:dyDescent="0.25">
      <c r="E581" s="2"/>
      <c r="H581" s="2"/>
    </row>
    <row r="582" spans="5:8" x14ac:dyDescent="0.25">
      <c r="E582" s="2"/>
      <c r="H582" s="2"/>
    </row>
    <row r="583" spans="5:8" x14ac:dyDescent="0.25">
      <c r="E583" s="2"/>
      <c r="H583" s="2"/>
    </row>
    <row r="584" spans="5:8" x14ac:dyDescent="0.25">
      <c r="E584" s="2"/>
      <c r="H584" s="2"/>
    </row>
    <row r="585" spans="5:8" x14ac:dyDescent="0.25">
      <c r="E585" s="2"/>
      <c r="H585" s="2"/>
    </row>
    <row r="586" spans="5:8" x14ac:dyDescent="0.25">
      <c r="E586" s="2"/>
      <c r="H586" s="2"/>
    </row>
    <row r="587" spans="5:8" x14ac:dyDescent="0.25">
      <c r="E587" s="2"/>
      <c r="H587" s="2"/>
    </row>
    <row r="588" spans="5:8" x14ac:dyDescent="0.25">
      <c r="E588" s="2"/>
      <c r="H588" s="2"/>
    </row>
    <row r="589" spans="5:8" x14ac:dyDescent="0.25">
      <c r="E589" s="2"/>
      <c r="H589" s="2"/>
    </row>
    <row r="590" spans="5:8" x14ac:dyDescent="0.25">
      <c r="E590" s="2"/>
      <c r="H590" s="2"/>
    </row>
    <row r="591" spans="5:8" x14ac:dyDescent="0.25">
      <c r="E591" s="2"/>
      <c r="H591" s="2"/>
    </row>
    <row r="592" spans="5:8" x14ac:dyDescent="0.25">
      <c r="E592" s="2"/>
      <c r="H592" s="2"/>
    </row>
    <row r="593" spans="5:8" x14ac:dyDescent="0.25">
      <c r="E593" s="2"/>
      <c r="H593" s="2"/>
    </row>
    <row r="594" spans="5:8" x14ac:dyDescent="0.25">
      <c r="E594" s="2"/>
      <c r="H594" s="2"/>
    </row>
    <row r="595" spans="5:8" x14ac:dyDescent="0.25">
      <c r="E595" s="2"/>
      <c r="H595" s="2"/>
    </row>
    <row r="596" spans="5:8" x14ac:dyDescent="0.25">
      <c r="E596" s="2"/>
      <c r="H596" s="2"/>
    </row>
    <row r="597" spans="5:8" x14ac:dyDescent="0.25">
      <c r="E597" s="2"/>
      <c r="H597" s="2"/>
    </row>
    <row r="598" spans="5:8" x14ac:dyDescent="0.25">
      <c r="E598" s="2"/>
      <c r="H598" s="2"/>
    </row>
    <row r="599" spans="5:8" x14ac:dyDescent="0.25">
      <c r="E599" s="2"/>
      <c r="H599" s="2"/>
    </row>
    <row r="600" spans="5:8" x14ac:dyDescent="0.25">
      <c r="E600" s="2"/>
      <c r="H600" s="2"/>
    </row>
    <row r="601" spans="5:8" x14ac:dyDescent="0.25">
      <c r="E601" s="2"/>
      <c r="H601" s="2"/>
    </row>
    <row r="602" spans="5:8" x14ac:dyDescent="0.25">
      <c r="E602" s="2"/>
      <c r="H602" s="2"/>
    </row>
    <row r="603" spans="5:8" x14ac:dyDescent="0.25">
      <c r="E603" s="2"/>
      <c r="H603" s="2"/>
    </row>
    <row r="604" spans="5:8" x14ac:dyDescent="0.25">
      <c r="E604" s="2"/>
      <c r="H604" s="2"/>
    </row>
    <row r="605" spans="5:8" x14ac:dyDescent="0.25">
      <c r="E605" s="2"/>
      <c r="H605" s="2"/>
    </row>
    <row r="606" spans="5:8" x14ac:dyDescent="0.25">
      <c r="E606" s="2"/>
      <c r="H606" s="2"/>
    </row>
    <row r="607" spans="5:8" x14ac:dyDescent="0.25">
      <c r="E607" s="2"/>
      <c r="H607" s="2"/>
    </row>
    <row r="608" spans="5:8" x14ac:dyDescent="0.25">
      <c r="E608" s="2"/>
      <c r="H608" s="2"/>
    </row>
    <row r="609" spans="5:8" x14ac:dyDescent="0.25">
      <c r="E609" s="2"/>
      <c r="H609" s="2"/>
    </row>
    <row r="610" spans="5:8" x14ac:dyDescent="0.25">
      <c r="E610" s="2"/>
      <c r="H610" s="2"/>
    </row>
    <row r="611" spans="5:8" x14ac:dyDescent="0.25">
      <c r="E611" s="2"/>
      <c r="H611" s="2"/>
    </row>
    <row r="612" spans="5:8" x14ac:dyDescent="0.25">
      <c r="E612" s="2"/>
      <c r="H612" s="2"/>
    </row>
    <row r="613" spans="5:8" x14ac:dyDescent="0.25">
      <c r="E613" s="2"/>
      <c r="H613" s="2"/>
    </row>
    <row r="614" spans="5:8" x14ac:dyDescent="0.25">
      <c r="E614" s="2"/>
      <c r="H614" s="2"/>
    </row>
    <row r="615" spans="5:8" x14ac:dyDescent="0.25">
      <c r="E615" s="2"/>
      <c r="H615" s="2"/>
    </row>
    <row r="616" spans="5:8" x14ac:dyDescent="0.25">
      <c r="E616" s="2"/>
      <c r="H616" s="2"/>
    </row>
    <row r="617" spans="5:8" x14ac:dyDescent="0.25">
      <c r="E617" s="2"/>
      <c r="H617" s="2"/>
    </row>
    <row r="618" spans="5:8" x14ac:dyDescent="0.25">
      <c r="E618" s="2"/>
      <c r="H618" s="2"/>
    </row>
    <row r="619" spans="5:8" x14ac:dyDescent="0.25">
      <c r="E619" s="2"/>
      <c r="H619" s="2"/>
    </row>
    <row r="620" spans="5:8" x14ac:dyDescent="0.25">
      <c r="E620" s="2"/>
      <c r="H620" s="2"/>
    </row>
    <row r="621" spans="5:8" x14ac:dyDescent="0.25">
      <c r="E621" s="2"/>
      <c r="H621" s="2"/>
    </row>
    <row r="622" spans="5:8" x14ac:dyDescent="0.25">
      <c r="E622" s="2"/>
      <c r="H622" s="2"/>
    </row>
    <row r="623" spans="5:8" x14ac:dyDescent="0.25">
      <c r="E623" s="2"/>
      <c r="H623" s="2"/>
    </row>
    <row r="624" spans="5:8" x14ac:dyDescent="0.25">
      <c r="E624" s="2"/>
      <c r="H624" s="2"/>
    </row>
    <row r="625" spans="5:8" x14ac:dyDescent="0.25">
      <c r="E625" s="2"/>
      <c r="H625" s="2"/>
    </row>
    <row r="626" spans="5:8" x14ac:dyDescent="0.25">
      <c r="E626" s="2"/>
      <c r="H626" s="2"/>
    </row>
    <row r="627" spans="5:8" x14ac:dyDescent="0.25">
      <c r="E627" s="2"/>
      <c r="H627" s="2"/>
    </row>
    <row r="628" spans="5:8" x14ac:dyDescent="0.25">
      <c r="E628" s="2"/>
      <c r="H628" s="2"/>
    </row>
    <row r="629" spans="5:8" x14ac:dyDescent="0.25">
      <c r="E629" s="2"/>
      <c r="H629" s="2"/>
    </row>
    <row r="630" spans="5:8" x14ac:dyDescent="0.25">
      <c r="E630" s="2"/>
      <c r="H630" s="2"/>
    </row>
    <row r="631" spans="5:8" x14ac:dyDescent="0.25">
      <c r="E631" s="2"/>
      <c r="H631" s="2"/>
    </row>
    <row r="632" spans="5:8" x14ac:dyDescent="0.25">
      <c r="E632" s="2"/>
      <c r="H632" s="2"/>
    </row>
    <row r="633" spans="5:8" x14ac:dyDescent="0.25">
      <c r="E633" s="2"/>
      <c r="H633" s="2"/>
    </row>
    <row r="634" spans="5:8" x14ac:dyDescent="0.25">
      <c r="E634" s="2"/>
      <c r="H634" s="2"/>
    </row>
    <row r="635" spans="5:8" x14ac:dyDescent="0.25">
      <c r="E635" s="2"/>
      <c r="H635" s="2"/>
    </row>
    <row r="636" spans="5:8" x14ac:dyDescent="0.25">
      <c r="E636" s="2"/>
      <c r="H636" s="2"/>
    </row>
    <row r="637" spans="5:8" x14ac:dyDescent="0.25">
      <c r="E637" s="2"/>
      <c r="H637" s="2"/>
    </row>
    <row r="638" spans="5:8" x14ac:dyDescent="0.25">
      <c r="E638" s="2"/>
      <c r="H638" s="2"/>
    </row>
    <row r="639" spans="5:8" x14ac:dyDescent="0.25">
      <c r="E639" s="2"/>
      <c r="H639" s="2"/>
    </row>
    <row r="640" spans="5:8" x14ac:dyDescent="0.25">
      <c r="E640" s="2"/>
      <c r="H640" s="2"/>
    </row>
    <row r="641" spans="5:8" x14ac:dyDescent="0.25">
      <c r="E641" s="2"/>
      <c r="H641" s="2"/>
    </row>
    <row r="642" spans="5:8" x14ac:dyDescent="0.25">
      <c r="E642" s="2"/>
      <c r="H642" s="2"/>
    </row>
    <row r="643" spans="5:8" x14ac:dyDescent="0.25">
      <c r="E643" s="2"/>
      <c r="H643" s="2"/>
    </row>
    <row r="644" spans="5:8" x14ac:dyDescent="0.25">
      <c r="E644" s="2"/>
      <c r="H644" s="2"/>
    </row>
    <row r="645" spans="5:8" x14ac:dyDescent="0.25">
      <c r="E645" s="2"/>
      <c r="H645" s="2"/>
    </row>
    <row r="646" spans="5:8" x14ac:dyDescent="0.25">
      <c r="E646" s="2"/>
      <c r="H646" s="2"/>
    </row>
    <row r="647" spans="5:8" x14ac:dyDescent="0.25">
      <c r="E647" s="2"/>
      <c r="H647" s="2"/>
    </row>
    <row r="648" spans="5:8" x14ac:dyDescent="0.25">
      <c r="E648" s="2"/>
      <c r="H648" s="2"/>
    </row>
    <row r="649" spans="5:8" x14ac:dyDescent="0.25">
      <c r="E649" s="2"/>
      <c r="H649" s="2"/>
    </row>
    <row r="650" spans="5:8" x14ac:dyDescent="0.25">
      <c r="E650" s="2"/>
      <c r="H650" s="2"/>
    </row>
    <row r="651" spans="5:8" x14ac:dyDescent="0.25">
      <c r="E651" s="2"/>
      <c r="H651" s="2"/>
    </row>
    <row r="652" spans="5:8" x14ac:dyDescent="0.25">
      <c r="E652" s="2"/>
      <c r="H652" s="2"/>
    </row>
    <row r="653" spans="5:8" x14ac:dyDescent="0.25">
      <c r="E653" s="2"/>
      <c r="H653" s="2"/>
    </row>
    <row r="654" spans="5:8" x14ac:dyDescent="0.25">
      <c r="E654" s="2"/>
      <c r="H654" s="2"/>
    </row>
    <row r="655" spans="5:8" x14ac:dyDescent="0.25">
      <c r="E655" s="2"/>
      <c r="H655" s="2"/>
    </row>
    <row r="656" spans="5:8" x14ac:dyDescent="0.25">
      <c r="E656" s="2"/>
      <c r="H656" s="2"/>
    </row>
    <row r="657" spans="5:8" x14ac:dyDescent="0.25">
      <c r="E657" s="2"/>
      <c r="H657" s="2"/>
    </row>
    <row r="658" spans="5:8" x14ac:dyDescent="0.25">
      <c r="E658" s="2"/>
      <c r="H658" s="2"/>
    </row>
    <row r="659" spans="5:8" x14ac:dyDescent="0.25">
      <c r="E659" s="2"/>
      <c r="H659" s="2"/>
    </row>
    <row r="660" spans="5:8" x14ac:dyDescent="0.25">
      <c r="E660" s="2"/>
      <c r="H660" s="2"/>
    </row>
    <row r="661" spans="5:8" x14ac:dyDescent="0.25">
      <c r="E661" s="2"/>
      <c r="H661" s="2"/>
    </row>
    <row r="662" spans="5:8" x14ac:dyDescent="0.25">
      <c r="E662" s="2"/>
      <c r="H662" s="2"/>
    </row>
    <row r="663" spans="5:8" x14ac:dyDescent="0.25">
      <c r="E663" s="2"/>
      <c r="H663" s="2"/>
    </row>
    <row r="664" spans="5:8" x14ac:dyDescent="0.25">
      <c r="E664" s="2"/>
      <c r="H664" s="2"/>
    </row>
    <row r="665" spans="5:8" x14ac:dyDescent="0.25">
      <c r="E665" s="2"/>
      <c r="H665" s="2"/>
    </row>
    <row r="666" spans="5:8" x14ac:dyDescent="0.25">
      <c r="E666" s="2"/>
      <c r="H666" s="2"/>
    </row>
    <row r="667" spans="5:8" x14ac:dyDescent="0.25">
      <c r="E667" s="2"/>
      <c r="H667" s="2"/>
    </row>
    <row r="668" spans="5:8" x14ac:dyDescent="0.25">
      <c r="E668" s="2"/>
      <c r="H668" s="2"/>
    </row>
    <row r="669" spans="5:8" x14ac:dyDescent="0.25">
      <c r="E669" s="2"/>
      <c r="H669" s="2"/>
    </row>
    <row r="670" spans="5:8" x14ac:dyDescent="0.25">
      <c r="E670" s="2"/>
      <c r="H670" s="2"/>
    </row>
    <row r="671" spans="5:8" x14ac:dyDescent="0.25">
      <c r="E671" s="2"/>
      <c r="H671" s="2"/>
    </row>
    <row r="672" spans="5:8" x14ac:dyDescent="0.25">
      <c r="E672" s="2"/>
      <c r="H672" s="2"/>
    </row>
    <row r="673" spans="5:8" x14ac:dyDescent="0.25">
      <c r="E673" s="2"/>
      <c r="H673" s="2"/>
    </row>
    <row r="674" spans="5:8" x14ac:dyDescent="0.25">
      <c r="E674" s="2"/>
      <c r="H674" s="2"/>
    </row>
    <row r="675" spans="5:8" x14ac:dyDescent="0.25">
      <c r="E675" s="2"/>
      <c r="H675" s="2"/>
    </row>
    <row r="676" spans="5:8" x14ac:dyDescent="0.25">
      <c r="E676" s="2"/>
      <c r="H676" s="2"/>
    </row>
    <row r="677" spans="5:8" x14ac:dyDescent="0.25">
      <c r="E677" s="2"/>
      <c r="H677" s="2"/>
    </row>
    <row r="678" spans="5:8" x14ac:dyDescent="0.25">
      <c r="E678" s="2"/>
      <c r="H678" s="2"/>
    </row>
    <row r="679" spans="5:8" x14ac:dyDescent="0.25">
      <c r="E679" s="2"/>
      <c r="H679" s="2"/>
    </row>
    <row r="680" spans="5:8" x14ac:dyDescent="0.25">
      <c r="E680" s="2"/>
      <c r="H680" s="2"/>
    </row>
    <row r="681" spans="5:8" x14ac:dyDescent="0.25">
      <c r="E681" s="2"/>
      <c r="H681" s="2"/>
    </row>
    <row r="682" spans="5:8" x14ac:dyDescent="0.25">
      <c r="E682" s="2"/>
      <c r="H682" s="2"/>
    </row>
    <row r="683" spans="5:8" x14ac:dyDescent="0.25">
      <c r="E683" s="2"/>
      <c r="H683" s="2"/>
    </row>
    <row r="684" spans="5:8" x14ac:dyDescent="0.25">
      <c r="E684" s="2"/>
      <c r="H684" s="2"/>
    </row>
    <row r="685" spans="5:8" x14ac:dyDescent="0.25">
      <c r="E685" s="2"/>
      <c r="H685" s="2"/>
    </row>
    <row r="686" spans="5:8" x14ac:dyDescent="0.25">
      <c r="E686" s="2"/>
      <c r="H686" s="2"/>
    </row>
    <row r="687" spans="5:8" x14ac:dyDescent="0.25">
      <c r="E687" s="2"/>
      <c r="H687" s="2"/>
    </row>
    <row r="688" spans="5:8" x14ac:dyDescent="0.25">
      <c r="E688" s="2"/>
      <c r="H688" s="2"/>
    </row>
    <row r="689" spans="5:8" x14ac:dyDescent="0.25">
      <c r="E689" s="2"/>
      <c r="H689" s="2"/>
    </row>
    <row r="690" spans="5:8" x14ac:dyDescent="0.25">
      <c r="E690" s="2"/>
      <c r="H690" s="2"/>
    </row>
    <row r="691" spans="5:8" x14ac:dyDescent="0.25">
      <c r="E691" s="2"/>
      <c r="H691" s="2"/>
    </row>
    <row r="692" spans="5:8" x14ac:dyDescent="0.25">
      <c r="E692" s="2"/>
      <c r="H692" s="2"/>
    </row>
    <row r="693" spans="5:8" x14ac:dyDescent="0.25">
      <c r="E693" s="2"/>
      <c r="H693" s="2"/>
    </row>
    <row r="694" spans="5:8" x14ac:dyDescent="0.25">
      <c r="E694" s="2"/>
      <c r="H694" s="2"/>
    </row>
    <row r="695" spans="5:8" x14ac:dyDescent="0.25">
      <c r="E695" s="2"/>
      <c r="H695" s="2"/>
    </row>
    <row r="696" spans="5:8" x14ac:dyDescent="0.25">
      <c r="E696" s="2"/>
      <c r="H696" s="2"/>
    </row>
    <row r="697" spans="5:8" x14ac:dyDescent="0.25">
      <c r="E697" s="2"/>
      <c r="H697" s="2"/>
    </row>
    <row r="698" spans="5:8" x14ac:dyDescent="0.25">
      <c r="E698" s="2"/>
      <c r="H698" s="2"/>
    </row>
    <row r="699" spans="5:8" x14ac:dyDescent="0.25">
      <c r="E699" s="2"/>
      <c r="H699" s="2"/>
    </row>
    <row r="700" spans="5:8" x14ac:dyDescent="0.25">
      <c r="E700" s="2"/>
      <c r="H700" s="2"/>
    </row>
    <row r="701" spans="5:8" x14ac:dyDescent="0.25">
      <c r="E701" s="2"/>
      <c r="H701" s="2"/>
    </row>
    <row r="702" spans="5:8" x14ac:dyDescent="0.25">
      <c r="E702" s="2"/>
      <c r="H702" s="2"/>
    </row>
    <row r="703" spans="5:8" x14ac:dyDescent="0.25">
      <c r="E703" s="2"/>
      <c r="H703" s="2"/>
    </row>
    <row r="704" spans="5:8" x14ac:dyDescent="0.25">
      <c r="E704" s="2"/>
      <c r="H704" s="2"/>
    </row>
    <row r="705" spans="5:8" x14ac:dyDescent="0.25">
      <c r="E705" s="2"/>
      <c r="H705" s="2"/>
    </row>
    <row r="706" spans="5:8" x14ac:dyDescent="0.25">
      <c r="E706" s="2"/>
      <c r="H706" s="2"/>
    </row>
    <row r="707" spans="5:8" x14ac:dyDescent="0.25">
      <c r="E707" s="2"/>
      <c r="H707" s="2"/>
    </row>
    <row r="708" spans="5:8" x14ac:dyDescent="0.25">
      <c r="E708" s="2"/>
      <c r="H708" s="2"/>
    </row>
    <row r="709" spans="5:8" x14ac:dyDescent="0.25">
      <c r="E709" s="2"/>
      <c r="H709" s="2"/>
    </row>
    <row r="710" spans="5:8" x14ac:dyDescent="0.25">
      <c r="E710" s="2"/>
      <c r="H710" s="2"/>
    </row>
    <row r="711" spans="5:8" x14ac:dyDescent="0.25">
      <c r="E711" s="2"/>
      <c r="H711" s="2"/>
    </row>
    <row r="712" spans="5:8" x14ac:dyDescent="0.25">
      <c r="E712" s="2"/>
      <c r="H712" s="2"/>
    </row>
    <row r="713" spans="5:8" x14ac:dyDescent="0.25">
      <c r="E713" s="2"/>
      <c r="H713" s="2"/>
    </row>
    <row r="714" spans="5:8" x14ac:dyDescent="0.25">
      <c r="E714" s="2"/>
      <c r="H714" s="2"/>
    </row>
    <row r="715" spans="5:8" x14ac:dyDescent="0.25">
      <c r="E715" s="2"/>
      <c r="H715" s="2"/>
    </row>
    <row r="716" spans="5:8" x14ac:dyDescent="0.25">
      <c r="E716" s="2"/>
      <c r="H716" s="2"/>
    </row>
    <row r="717" spans="5:8" x14ac:dyDescent="0.25">
      <c r="E717" s="2"/>
      <c r="H717" s="2"/>
    </row>
    <row r="718" spans="5:8" x14ac:dyDescent="0.25">
      <c r="E718" s="2"/>
      <c r="H718" s="2"/>
    </row>
    <row r="719" spans="5:8" x14ac:dyDescent="0.25">
      <c r="E719" s="2"/>
      <c r="H719" s="2"/>
    </row>
    <row r="720" spans="5:8" x14ac:dyDescent="0.25">
      <c r="E720" s="2"/>
      <c r="H720" s="2"/>
    </row>
    <row r="721" spans="5:8" x14ac:dyDescent="0.25">
      <c r="E721" s="2"/>
      <c r="H721" s="2"/>
    </row>
    <row r="722" spans="5:8" x14ac:dyDescent="0.25">
      <c r="E722" s="2"/>
      <c r="H722" s="2"/>
    </row>
    <row r="723" spans="5:8" x14ac:dyDescent="0.25">
      <c r="E723" s="2"/>
      <c r="H723" s="2"/>
    </row>
    <row r="724" spans="5:8" x14ac:dyDescent="0.25">
      <c r="E724" s="2"/>
      <c r="H724" s="2"/>
    </row>
    <row r="725" spans="5:8" x14ac:dyDescent="0.25">
      <c r="E725" s="2"/>
      <c r="H725" s="2"/>
    </row>
    <row r="726" spans="5:8" x14ac:dyDescent="0.25">
      <c r="E726" s="2"/>
      <c r="H726" s="2"/>
    </row>
    <row r="727" spans="5:8" x14ac:dyDescent="0.25">
      <c r="E727" s="2"/>
      <c r="H727" s="2"/>
    </row>
    <row r="728" spans="5:8" x14ac:dyDescent="0.25">
      <c r="E728" s="2"/>
      <c r="H728" s="2"/>
    </row>
    <row r="729" spans="5:8" x14ac:dyDescent="0.25">
      <c r="E729" s="2"/>
      <c r="H729" s="2"/>
    </row>
    <row r="730" spans="5:8" x14ac:dyDescent="0.25">
      <c r="E730" s="2"/>
      <c r="H730" s="2"/>
    </row>
    <row r="731" spans="5:8" x14ac:dyDescent="0.25">
      <c r="E731" s="2"/>
      <c r="H731" s="2"/>
    </row>
    <row r="732" spans="5:8" x14ac:dyDescent="0.25">
      <c r="E732" s="2"/>
      <c r="H732" s="2"/>
    </row>
    <row r="733" spans="5:8" x14ac:dyDescent="0.25">
      <c r="E733" s="2"/>
      <c r="H733" s="2"/>
    </row>
    <row r="734" spans="5:8" x14ac:dyDescent="0.25">
      <c r="E734" s="2"/>
      <c r="H734" s="2"/>
    </row>
    <row r="735" spans="5:8" x14ac:dyDescent="0.25">
      <c r="E735" s="2"/>
      <c r="H735" s="2"/>
    </row>
    <row r="736" spans="5:8" x14ac:dyDescent="0.25">
      <c r="E736" s="2"/>
      <c r="H736" s="2"/>
    </row>
    <row r="737" spans="5:8" x14ac:dyDescent="0.25">
      <c r="E737" s="2"/>
      <c r="H737" s="2"/>
    </row>
    <row r="738" spans="5:8" x14ac:dyDescent="0.25">
      <c r="E738" s="2"/>
      <c r="H738" s="2"/>
    </row>
    <row r="739" spans="5:8" x14ac:dyDescent="0.25">
      <c r="E739" s="2"/>
      <c r="H739" s="2"/>
    </row>
    <row r="740" spans="5:8" x14ac:dyDescent="0.25">
      <c r="E740" s="2"/>
      <c r="H740" s="2"/>
    </row>
    <row r="741" spans="5:8" x14ac:dyDescent="0.25">
      <c r="E741" s="2"/>
      <c r="H741" s="2"/>
    </row>
    <row r="742" spans="5:8" x14ac:dyDescent="0.25">
      <c r="E742" s="2"/>
      <c r="H742" s="2"/>
    </row>
    <row r="743" spans="5:8" x14ac:dyDescent="0.25">
      <c r="E743" s="2"/>
      <c r="H743" s="2"/>
    </row>
    <row r="744" spans="5:8" x14ac:dyDescent="0.25">
      <c r="E744" s="2"/>
      <c r="H744" s="2"/>
    </row>
    <row r="745" spans="5:8" x14ac:dyDescent="0.25">
      <c r="E745" s="2"/>
      <c r="H745" s="2"/>
    </row>
    <row r="746" spans="5:8" x14ac:dyDescent="0.25">
      <c r="E746" s="2"/>
      <c r="H746" s="2"/>
    </row>
    <row r="747" spans="5:8" x14ac:dyDescent="0.25">
      <c r="E747" s="2"/>
      <c r="H747" s="2"/>
    </row>
    <row r="748" spans="5:8" x14ac:dyDescent="0.25">
      <c r="E748" s="2"/>
      <c r="H748" s="2"/>
    </row>
    <row r="749" spans="5:8" x14ac:dyDescent="0.25">
      <c r="E749" s="2"/>
      <c r="H749" s="2"/>
    </row>
    <row r="750" spans="5:8" x14ac:dyDescent="0.25">
      <c r="E750" s="2"/>
      <c r="H750" s="2"/>
    </row>
    <row r="751" spans="5:8" x14ac:dyDescent="0.25">
      <c r="E751" s="2"/>
      <c r="H751" s="2"/>
    </row>
    <row r="752" spans="5:8" x14ac:dyDescent="0.25">
      <c r="E752" s="2"/>
      <c r="H752" s="2"/>
    </row>
    <row r="753" spans="5:8" x14ac:dyDescent="0.25">
      <c r="E753" s="2"/>
      <c r="H753" s="2"/>
    </row>
    <row r="754" spans="5:8" x14ac:dyDescent="0.25">
      <c r="E754" s="2"/>
      <c r="H754" s="2"/>
    </row>
    <row r="755" spans="5:8" x14ac:dyDescent="0.25">
      <c r="E755" s="2"/>
      <c r="H755" s="2"/>
    </row>
    <row r="756" spans="5:8" x14ac:dyDescent="0.25">
      <c r="E756" s="2"/>
      <c r="H756" s="2"/>
    </row>
    <row r="757" spans="5:8" x14ac:dyDescent="0.25">
      <c r="E757" s="2"/>
      <c r="H757" s="2"/>
    </row>
    <row r="758" spans="5:8" x14ac:dyDescent="0.25">
      <c r="E758" s="2"/>
      <c r="H758" s="2"/>
    </row>
    <row r="759" spans="5:8" x14ac:dyDescent="0.25">
      <c r="E759" s="2"/>
      <c r="H759" s="2"/>
    </row>
    <row r="760" spans="5:8" x14ac:dyDescent="0.25">
      <c r="E760" s="2"/>
      <c r="H760" s="2"/>
    </row>
    <row r="761" spans="5:8" x14ac:dyDescent="0.25">
      <c r="E761" s="2"/>
      <c r="H761" s="2"/>
    </row>
    <row r="762" spans="5:8" x14ac:dyDescent="0.25">
      <c r="E762" s="2"/>
      <c r="H762" s="2"/>
    </row>
    <row r="763" spans="5:8" x14ac:dyDescent="0.25">
      <c r="E763" s="2"/>
      <c r="H763" s="2"/>
    </row>
    <row r="764" spans="5:8" x14ac:dyDescent="0.25">
      <c r="E764" s="2"/>
      <c r="H764" s="2"/>
    </row>
    <row r="765" spans="5:8" x14ac:dyDescent="0.25">
      <c r="E765" s="2"/>
      <c r="H765" s="2"/>
    </row>
    <row r="766" spans="5:8" x14ac:dyDescent="0.25">
      <c r="E766" s="2"/>
      <c r="H766" s="2"/>
    </row>
    <row r="767" spans="5:8" x14ac:dyDescent="0.25">
      <c r="E767" s="2"/>
      <c r="H767" s="2"/>
    </row>
    <row r="768" spans="5:8" x14ac:dyDescent="0.25">
      <c r="E768" s="2"/>
      <c r="H768" s="2"/>
    </row>
    <row r="769" spans="5:8" x14ac:dyDescent="0.25">
      <c r="E769" s="2"/>
      <c r="H769" s="2"/>
    </row>
    <row r="770" spans="5:8" x14ac:dyDescent="0.25">
      <c r="E770" s="2"/>
      <c r="H770" s="2"/>
    </row>
    <row r="771" spans="5:8" x14ac:dyDescent="0.25">
      <c r="E771" s="2"/>
      <c r="H771" s="2"/>
    </row>
    <row r="772" spans="5:8" x14ac:dyDescent="0.25">
      <c r="E772" s="2"/>
      <c r="H772" s="2"/>
    </row>
    <row r="773" spans="5:8" x14ac:dyDescent="0.25">
      <c r="E773" s="2"/>
      <c r="H773" s="2"/>
    </row>
    <row r="774" spans="5:8" x14ac:dyDescent="0.25">
      <c r="E774" s="2"/>
      <c r="H774" s="2"/>
    </row>
    <row r="775" spans="5:8" x14ac:dyDescent="0.25">
      <c r="E775" s="2"/>
      <c r="H775" s="2"/>
    </row>
    <row r="776" spans="5:8" x14ac:dyDescent="0.25">
      <c r="E776" s="2"/>
      <c r="H776" s="2"/>
    </row>
    <row r="777" spans="5:8" x14ac:dyDescent="0.25">
      <c r="E777" s="2"/>
      <c r="H777" s="2"/>
    </row>
    <row r="778" spans="5:8" x14ac:dyDescent="0.25">
      <c r="E778" s="2"/>
      <c r="H778" s="2"/>
    </row>
    <row r="779" spans="5:8" x14ac:dyDescent="0.25">
      <c r="E779" s="2"/>
      <c r="H779" s="2"/>
    </row>
    <row r="780" spans="5:8" x14ac:dyDescent="0.25">
      <c r="E780" s="2"/>
      <c r="H780" s="2"/>
    </row>
    <row r="781" spans="5:8" x14ac:dyDescent="0.25">
      <c r="E781" s="2"/>
      <c r="H781" s="2"/>
    </row>
    <row r="782" spans="5:8" x14ac:dyDescent="0.25">
      <c r="E782" s="2"/>
      <c r="H782" s="2"/>
    </row>
    <row r="783" spans="5:8" x14ac:dyDescent="0.25">
      <c r="E783" s="2"/>
      <c r="H783" s="2"/>
    </row>
    <row r="784" spans="5:8" x14ac:dyDescent="0.25">
      <c r="E784" s="2"/>
      <c r="H784" s="2"/>
    </row>
    <row r="785" spans="5:8" x14ac:dyDescent="0.25">
      <c r="E785" s="2"/>
      <c r="H785" s="2"/>
    </row>
    <row r="786" spans="5:8" x14ac:dyDescent="0.25">
      <c r="E786" s="2"/>
      <c r="H786" s="2"/>
    </row>
    <row r="787" spans="5:8" x14ac:dyDescent="0.25">
      <c r="E787" s="2"/>
      <c r="H787" s="2"/>
    </row>
    <row r="788" spans="5:8" x14ac:dyDescent="0.25">
      <c r="E788" s="2"/>
      <c r="H788" s="2"/>
    </row>
    <row r="789" spans="5:8" x14ac:dyDescent="0.25">
      <c r="E789" s="2"/>
      <c r="H789" s="2"/>
    </row>
    <row r="790" spans="5:8" x14ac:dyDescent="0.25">
      <c r="E790" s="2"/>
      <c r="H790" s="2"/>
    </row>
    <row r="791" spans="5:8" x14ac:dyDescent="0.25">
      <c r="E791" s="2"/>
      <c r="H791" s="2"/>
    </row>
    <row r="792" spans="5:8" x14ac:dyDescent="0.25">
      <c r="E792" s="2"/>
      <c r="H792" s="2"/>
    </row>
    <row r="793" spans="5:8" x14ac:dyDescent="0.25">
      <c r="E793" s="2"/>
      <c r="H793" s="2"/>
    </row>
    <row r="794" spans="5:8" x14ac:dyDescent="0.25">
      <c r="E794" s="2"/>
      <c r="H794" s="2"/>
    </row>
    <row r="795" spans="5:8" x14ac:dyDescent="0.25">
      <c r="E795" s="2"/>
      <c r="H795" s="2"/>
    </row>
    <row r="796" spans="5:8" x14ac:dyDescent="0.25">
      <c r="E796" s="2"/>
      <c r="H796" s="2"/>
    </row>
    <row r="797" spans="5:8" x14ac:dyDescent="0.25">
      <c r="E797" s="2"/>
      <c r="H797" s="2"/>
    </row>
    <row r="798" spans="5:8" x14ac:dyDescent="0.25">
      <c r="E798" s="2"/>
      <c r="H798" s="2"/>
    </row>
    <row r="799" spans="5:8" x14ac:dyDescent="0.25">
      <c r="E799" s="2"/>
      <c r="H799" s="2"/>
    </row>
    <row r="800" spans="5:8" x14ac:dyDescent="0.25">
      <c r="E800" s="2"/>
      <c r="H800" s="2"/>
    </row>
    <row r="801" spans="5:8" x14ac:dyDescent="0.25">
      <c r="E801" s="2"/>
      <c r="H801" s="2"/>
    </row>
    <row r="802" spans="5:8" x14ac:dyDescent="0.25">
      <c r="E802" s="2"/>
      <c r="H802" s="2"/>
    </row>
    <row r="803" spans="5:8" x14ac:dyDescent="0.25">
      <c r="E803" s="2"/>
      <c r="H803" s="2"/>
    </row>
    <row r="804" spans="5:8" x14ac:dyDescent="0.25">
      <c r="E804" s="2"/>
      <c r="H804" s="2"/>
    </row>
    <row r="805" spans="5:8" x14ac:dyDescent="0.25">
      <c r="E805" s="2"/>
      <c r="H805" s="2"/>
    </row>
    <row r="806" spans="5:8" x14ac:dyDescent="0.25">
      <c r="E806" s="2"/>
      <c r="H806" s="2"/>
    </row>
    <row r="807" spans="5:8" x14ac:dyDescent="0.25">
      <c r="E807" s="2"/>
      <c r="H807" s="2"/>
    </row>
    <row r="808" spans="5:8" x14ac:dyDescent="0.25">
      <c r="E808" s="2"/>
      <c r="H808" s="2"/>
    </row>
    <row r="809" spans="5:8" x14ac:dyDescent="0.25">
      <c r="E809" s="2"/>
      <c r="H809" s="2"/>
    </row>
    <row r="810" spans="5:8" x14ac:dyDescent="0.25">
      <c r="E810" s="2"/>
      <c r="H810" s="2"/>
    </row>
    <row r="811" spans="5:8" x14ac:dyDescent="0.25">
      <c r="E811" s="2"/>
      <c r="H811" s="2"/>
    </row>
    <row r="812" spans="5:8" x14ac:dyDescent="0.25">
      <c r="E812" s="2"/>
      <c r="H812" s="2"/>
    </row>
    <row r="813" spans="5:8" x14ac:dyDescent="0.25">
      <c r="E813" s="2"/>
      <c r="H813" s="2"/>
    </row>
    <row r="814" spans="5:8" x14ac:dyDescent="0.25">
      <c r="E814" s="2"/>
      <c r="H814" s="2"/>
    </row>
    <row r="815" spans="5:8" x14ac:dyDescent="0.25">
      <c r="E815" s="2"/>
      <c r="H815" s="2"/>
    </row>
    <row r="816" spans="5:8" x14ac:dyDescent="0.25">
      <c r="E816" s="2"/>
      <c r="H816" s="2"/>
    </row>
    <row r="817" spans="5:8" x14ac:dyDescent="0.25">
      <c r="E817" s="2"/>
      <c r="H817" s="2"/>
    </row>
    <row r="818" spans="5:8" x14ac:dyDescent="0.25">
      <c r="E818" s="2"/>
      <c r="H818" s="2"/>
    </row>
    <row r="819" spans="5:8" x14ac:dyDescent="0.25">
      <c r="E819" s="2"/>
      <c r="H819" s="2"/>
    </row>
    <row r="820" spans="5:8" x14ac:dyDescent="0.25">
      <c r="E820" s="2"/>
      <c r="H820" s="2"/>
    </row>
    <row r="821" spans="5:8" x14ac:dyDescent="0.25">
      <c r="E821" s="2"/>
      <c r="H821" s="2"/>
    </row>
    <row r="822" spans="5:8" x14ac:dyDescent="0.25">
      <c r="E822" s="2"/>
      <c r="H822" s="2"/>
    </row>
    <row r="823" spans="5:8" x14ac:dyDescent="0.25">
      <c r="E823" s="2"/>
      <c r="H823" s="2"/>
    </row>
    <row r="824" spans="5:8" x14ac:dyDescent="0.25">
      <c r="E824" s="2"/>
      <c r="H824" s="2"/>
    </row>
    <row r="825" spans="5:8" x14ac:dyDescent="0.25">
      <c r="E825" s="2"/>
      <c r="H825" s="2"/>
    </row>
    <row r="826" spans="5:8" x14ac:dyDescent="0.25">
      <c r="E826" s="2"/>
      <c r="H826" s="2"/>
    </row>
    <row r="827" spans="5:8" x14ac:dyDescent="0.25">
      <c r="E827" s="2"/>
      <c r="H827" s="2"/>
    </row>
    <row r="828" spans="5:8" x14ac:dyDescent="0.25">
      <c r="E828" s="2"/>
      <c r="H828" s="2"/>
    </row>
    <row r="829" spans="5:8" x14ac:dyDescent="0.25">
      <c r="E829" s="2"/>
      <c r="H829" s="2"/>
    </row>
    <row r="830" spans="5:8" x14ac:dyDescent="0.25">
      <c r="E830" s="2"/>
      <c r="H830" s="2"/>
    </row>
    <row r="831" spans="5:8" x14ac:dyDescent="0.25">
      <c r="E831" s="2"/>
      <c r="H831" s="2"/>
    </row>
    <row r="832" spans="5:8" x14ac:dyDescent="0.25">
      <c r="E832" s="2"/>
      <c r="H832" s="2"/>
    </row>
    <row r="833" spans="5:8" x14ac:dyDescent="0.25">
      <c r="E833" s="2"/>
      <c r="H833" s="2"/>
    </row>
    <row r="834" spans="5:8" x14ac:dyDescent="0.25">
      <c r="E834" s="2"/>
      <c r="H834" s="2"/>
    </row>
    <row r="835" spans="5:8" x14ac:dyDescent="0.25">
      <c r="E835" s="2"/>
      <c r="H835" s="2"/>
    </row>
    <row r="836" spans="5:8" x14ac:dyDescent="0.25">
      <c r="E836" s="2"/>
      <c r="H836" s="2"/>
    </row>
    <row r="837" spans="5:8" x14ac:dyDescent="0.25">
      <c r="E837" s="2"/>
      <c r="H837" s="2"/>
    </row>
    <row r="838" spans="5:8" x14ac:dyDescent="0.25">
      <c r="E838" s="2"/>
      <c r="H838" s="2"/>
    </row>
    <row r="839" spans="5:8" x14ac:dyDescent="0.25">
      <c r="E839" s="2"/>
      <c r="H839" s="2"/>
    </row>
    <row r="840" spans="5:8" x14ac:dyDescent="0.25">
      <c r="E840" s="2"/>
      <c r="H840" s="2"/>
    </row>
    <row r="841" spans="5:8" x14ac:dyDescent="0.25">
      <c r="E841" s="2"/>
      <c r="H841" s="2"/>
    </row>
    <row r="842" spans="5:8" x14ac:dyDescent="0.25">
      <c r="E842" s="2"/>
      <c r="H842" s="2"/>
    </row>
    <row r="843" spans="5:8" x14ac:dyDescent="0.25">
      <c r="E843" s="2"/>
      <c r="H843" s="2"/>
    </row>
    <row r="844" spans="5:8" x14ac:dyDescent="0.25">
      <c r="E844" s="2"/>
      <c r="H844" s="2"/>
    </row>
    <row r="845" spans="5:8" x14ac:dyDescent="0.25">
      <c r="E845" s="2"/>
      <c r="H845" s="2"/>
    </row>
    <row r="846" spans="5:8" x14ac:dyDescent="0.25">
      <c r="E846" s="2"/>
      <c r="H846" s="2"/>
    </row>
    <row r="847" spans="5:8" x14ac:dyDescent="0.25">
      <c r="E847" s="2"/>
      <c r="H847" s="2"/>
    </row>
    <row r="848" spans="5:8" x14ac:dyDescent="0.25">
      <c r="E848" s="2"/>
      <c r="H848" s="2"/>
    </row>
    <row r="849" spans="5:8" x14ac:dyDescent="0.25">
      <c r="E849" s="2"/>
      <c r="H849" s="2"/>
    </row>
    <row r="850" spans="5:8" x14ac:dyDescent="0.25">
      <c r="E850" s="2"/>
      <c r="H850" s="2"/>
    </row>
    <row r="851" spans="5:8" x14ac:dyDescent="0.25">
      <c r="E851" s="2"/>
      <c r="H851" s="2"/>
    </row>
    <row r="852" spans="5:8" x14ac:dyDescent="0.25">
      <c r="E852" s="2"/>
      <c r="H852" s="2"/>
    </row>
    <row r="853" spans="5:8" x14ac:dyDescent="0.25">
      <c r="E853" s="2"/>
      <c r="H853" s="2"/>
    </row>
    <row r="854" spans="5:8" x14ac:dyDescent="0.25">
      <c r="E854" s="2"/>
      <c r="H854" s="2"/>
    </row>
    <row r="855" spans="5:8" x14ac:dyDescent="0.25">
      <c r="E855" s="2"/>
      <c r="H855" s="2"/>
    </row>
    <row r="856" spans="5:8" x14ac:dyDescent="0.25">
      <c r="E856" s="2"/>
      <c r="H856" s="2"/>
    </row>
    <row r="857" spans="5:8" x14ac:dyDescent="0.25">
      <c r="E857" s="2"/>
      <c r="H857" s="2"/>
    </row>
    <row r="858" spans="5:8" x14ac:dyDescent="0.25">
      <c r="E858" s="2"/>
      <c r="H858" s="2"/>
    </row>
    <row r="859" spans="5:8" x14ac:dyDescent="0.25">
      <c r="E859" s="2"/>
      <c r="H859" s="2"/>
    </row>
    <row r="860" spans="5:8" x14ac:dyDescent="0.25">
      <c r="E860" s="2"/>
      <c r="H860" s="2"/>
    </row>
    <row r="861" spans="5:8" x14ac:dyDescent="0.25">
      <c r="E861" s="2"/>
      <c r="H861" s="2"/>
    </row>
    <row r="862" spans="5:8" x14ac:dyDescent="0.25">
      <c r="E862" s="2"/>
      <c r="H862" s="2"/>
    </row>
    <row r="863" spans="5:8" x14ac:dyDescent="0.25">
      <c r="E863" s="2"/>
      <c r="H863" s="2"/>
    </row>
    <row r="864" spans="5:8" x14ac:dyDescent="0.25">
      <c r="E864" s="2"/>
      <c r="H864" s="2"/>
    </row>
    <row r="865" spans="5:8" x14ac:dyDescent="0.25">
      <c r="E865" s="2"/>
      <c r="H865" s="2"/>
    </row>
    <row r="866" spans="5:8" x14ac:dyDescent="0.25">
      <c r="E866" s="2"/>
      <c r="H866" s="2"/>
    </row>
    <row r="867" spans="5:8" x14ac:dyDescent="0.25">
      <c r="E867" s="2"/>
      <c r="H867" s="2"/>
    </row>
    <row r="868" spans="5:8" x14ac:dyDescent="0.25">
      <c r="E868" s="2"/>
      <c r="H868" s="2"/>
    </row>
    <row r="869" spans="5:8" x14ac:dyDescent="0.25">
      <c r="E869" s="2"/>
      <c r="H869" s="2"/>
    </row>
    <row r="870" spans="5:8" x14ac:dyDescent="0.25">
      <c r="E870" s="2"/>
      <c r="H870" s="2"/>
    </row>
    <row r="871" spans="5:8" x14ac:dyDescent="0.25">
      <c r="E871" s="2"/>
      <c r="H871" s="2"/>
    </row>
    <row r="872" spans="5:8" x14ac:dyDescent="0.25">
      <c r="E872" s="2"/>
      <c r="H872" s="2"/>
    </row>
    <row r="873" spans="5:8" x14ac:dyDescent="0.25">
      <c r="E873" s="2"/>
      <c r="H873" s="2"/>
    </row>
    <row r="874" spans="5:8" x14ac:dyDescent="0.25">
      <c r="E874" s="2"/>
      <c r="H874" s="2"/>
    </row>
    <row r="875" spans="5:8" x14ac:dyDescent="0.25">
      <c r="E875" s="2"/>
      <c r="H875" s="2"/>
    </row>
    <row r="876" spans="5:8" x14ac:dyDescent="0.25">
      <c r="E876" s="2"/>
      <c r="H876" s="2"/>
    </row>
    <row r="877" spans="5:8" x14ac:dyDescent="0.25">
      <c r="E877" s="2"/>
      <c r="H877" s="2"/>
    </row>
    <row r="878" spans="5:8" x14ac:dyDescent="0.25">
      <c r="E878" s="2"/>
      <c r="H878" s="2"/>
    </row>
    <row r="879" spans="5:8" x14ac:dyDescent="0.25">
      <c r="E879" s="2"/>
      <c r="H879" s="2"/>
    </row>
    <row r="880" spans="5:8" x14ac:dyDescent="0.25">
      <c r="E880" s="2"/>
      <c r="H880" s="2"/>
    </row>
    <row r="881" spans="5:8" x14ac:dyDescent="0.25">
      <c r="E881" s="2"/>
      <c r="H881" s="2"/>
    </row>
    <row r="882" spans="5:8" x14ac:dyDescent="0.25">
      <c r="E882" s="2"/>
      <c r="H882" s="2"/>
    </row>
    <row r="883" spans="5:8" x14ac:dyDescent="0.25">
      <c r="E883" s="2"/>
      <c r="H883" s="2"/>
    </row>
    <row r="884" spans="5:8" x14ac:dyDescent="0.25">
      <c r="E884" s="2"/>
      <c r="H884" s="2"/>
    </row>
    <row r="885" spans="5:8" x14ac:dyDescent="0.25">
      <c r="E885" s="2"/>
      <c r="H885" s="2"/>
    </row>
    <row r="886" spans="5:8" x14ac:dyDescent="0.25">
      <c r="E886" s="2"/>
      <c r="H886" s="2"/>
    </row>
    <row r="887" spans="5:8" x14ac:dyDescent="0.25">
      <c r="E887" s="2"/>
      <c r="H887" s="2"/>
    </row>
    <row r="888" spans="5:8" x14ac:dyDescent="0.25">
      <c r="E888" s="2"/>
      <c r="H888" s="2"/>
    </row>
    <row r="889" spans="5:8" x14ac:dyDescent="0.25">
      <c r="E889" s="2"/>
      <c r="H889" s="2"/>
    </row>
    <row r="890" spans="5:8" x14ac:dyDescent="0.25">
      <c r="E890" s="2"/>
      <c r="H890" s="2"/>
    </row>
    <row r="891" spans="5:8" x14ac:dyDescent="0.25">
      <c r="E891" s="2"/>
      <c r="H891" s="2"/>
    </row>
    <row r="892" spans="5:8" x14ac:dyDescent="0.25">
      <c r="E892" s="2"/>
      <c r="H892" s="2"/>
    </row>
    <row r="893" spans="5:8" x14ac:dyDescent="0.25">
      <c r="E893" s="2"/>
      <c r="H893" s="2"/>
    </row>
    <row r="894" spans="5:8" x14ac:dyDescent="0.25">
      <c r="E894" s="2"/>
      <c r="H894" s="2"/>
    </row>
    <row r="895" spans="5:8" x14ac:dyDescent="0.25">
      <c r="E895" s="2"/>
      <c r="H895" s="2"/>
    </row>
    <row r="896" spans="5:8" x14ac:dyDescent="0.25">
      <c r="E896" s="2"/>
      <c r="H896" s="2"/>
    </row>
    <row r="897" spans="5:8" x14ac:dyDescent="0.25">
      <c r="E897" s="2"/>
      <c r="H897" s="2"/>
    </row>
    <row r="898" spans="5:8" x14ac:dyDescent="0.25">
      <c r="E898" s="2"/>
      <c r="H898" s="2"/>
    </row>
    <row r="899" spans="5:8" x14ac:dyDescent="0.25">
      <c r="E899" s="2"/>
      <c r="H899" s="2"/>
    </row>
    <row r="900" spans="5:8" x14ac:dyDescent="0.25">
      <c r="E900" s="2"/>
      <c r="H900" s="2"/>
    </row>
    <row r="901" spans="5:8" x14ac:dyDescent="0.25">
      <c r="E901" s="2"/>
      <c r="H901" s="2"/>
    </row>
    <row r="902" spans="5:8" x14ac:dyDescent="0.25">
      <c r="E902" s="2"/>
      <c r="H902" s="2"/>
    </row>
    <row r="903" spans="5:8" x14ac:dyDescent="0.25">
      <c r="E903" s="2"/>
      <c r="H903" s="2"/>
    </row>
    <row r="904" spans="5:8" x14ac:dyDescent="0.25">
      <c r="E904" s="2"/>
      <c r="H904" s="2"/>
    </row>
    <row r="905" spans="5:8" x14ac:dyDescent="0.25">
      <c r="E905" s="2"/>
      <c r="H905" s="2"/>
    </row>
    <row r="906" spans="5:8" x14ac:dyDescent="0.25">
      <c r="E906" s="2"/>
      <c r="H906" s="2"/>
    </row>
    <row r="907" spans="5:8" x14ac:dyDescent="0.25">
      <c r="E907" s="2"/>
      <c r="H907" s="2"/>
    </row>
    <row r="908" spans="5:8" x14ac:dyDescent="0.25">
      <c r="E908" s="2"/>
      <c r="H908" s="2"/>
    </row>
    <row r="909" spans="5:8" x14ac:dyDescent="0.25">
      <c r="E909" s="2"/>
      <c r="H909" s="2"/>
    </row>
    <row r="910" spans="5:8" x14ac:dyDescent="0.25">
      <c r="E910" s="2"/>
      <c r="H910" s="2"/>
    </row>
    <row r="911" spans="5:8" x14ac:dyDescent="0.25">
      <c r="E911" s="2"/>
      <c r="H911" s="2"/>
    </row>
    <row r="912" spans="5:8" x14ac:dyDescent="0.25">
      <c r="E912" s="2"/>
      <c r="H912" s="2"/>
    </row>
    <row r="913" spans="5:8" x14ac:dyDescent="0.25">
      <c r="E913" s="2"/>
      <c r="H913" s="2"/>
    </row>
    <row r="914" spans="5:8" x14ac:dyDescent="0.25">
      <c r="E914" s="2"/>
      <c r="H914" s="2"/>
    </row>
    <row r="915" spans="5:8" x14ac:dyDescent="0.25">
      <c r="E915" s="2"/>
      <c r="H915" s="2"/>
    </row>
    <row r="916" spans="5:8" x14ac:dyDescent="0.25">
      <c r="E916" s="2"/>
      <c r="H916" s="2"/>
    </row>
    <row r="917" spans="5:8" x14ac:dyDescent="0.25">
      <c r="E917" s="2"/>
      <c r="H917" s="2"/>
    </row>
    <row r="918" spans="5:8" x14ac:dyDescent="0.25">
      <c r="E918" s="2"/>
      <c r="H918" s="2"/>
    </row>
    <row r="919" spans="5:8" x14ac:dyDescent="0.25">
      <c r="E919" s="2"/>
      <c r="H919" s="2"/>
    </row>
    <row r="920" spans="5:8" x14ac:dyDescent="0.25">
      <c r="E920" s="2"/>
      <c r="H920" s="2"/>
    </row>
    <row r="921" spans="5:8" x14ac:dyDescent="0.25">
      <c r="E921" s="2"/>
      <c r="H921" s="2"/>
    </row>
    <row r="922" spans="5:8" x14ac:dyDescent="0.25">
      <c r="E922" s="2"/>
      <c r="H922" s="2"/>
    </row>
    <row r="923" spans="5:8" x14ac:dyDescent="0.25">
      <c r="E923" s="2"/>
      <c r="H923" s="2"/>
    </row>
    <row r="924" spans="5:8" x14ac:dyDescent="0.25">
      <c r="E924" s="2"/>
      <c r="H924" s="2"/>
    </row>
    <row r="925" spans="5:8" x14ac:dyDescent="0.25">
      <c r="E925" s="2"/>
      <c r="H925" s="2"/>
    </row>
    <row r="926" spans="5:8" x14ac:dyDescent="0.25">
      <c r="E926" s="2"/>
      <c r="H926" s="2"/>
    </row>
    <row r="927" spans="5:8" x14ac:dyDescent="0.25">
      <c r="E927" s="2"/>
      <c r="H927" s="2"/>
    </row>
    <row r="928" spans="5:8" x14ac:dyDescent="0.25">
      <c r="E928" s="2"/>
      <c r="H928" s="2"/>
    </row>
    <row r="929" spans="5:8" x14ac:dyDescent="0.25">
      <c r="E929" s="2"/>
      <c r="H929" s="2"/>
    </row>
    <row r="930" spans="5:8" x14ac:dyDescent="0.25">
      <c r="E930" s="2"/>
      <c r="H930" s="2"/>
    </row>
    <row r="931" spans="5:8" x14ac:dyDescent="0.25">
      <c r="E931" s="2"/>
      <c r="H931" s="2"/>
    </row>
    <row r="932" spans="5:8" x14ac:dyDescent="0.25">
      <c r="E932" s="2"/>
      <c r="H932" s="2"/>
    </row>
    <row r="933" spans="5:8" x14ac:dyDescent="0.25">
      <c r="E933" s="2"/>
      <c r="H933" s="2"/>
    </row>
    <row r="934" spans="5:8" x14ac:dyDescent="0.25">
      <c r="E934" s="2"/>
      <c r="H934" s="2"/>
    </row>
    <row r="935" spans="5:8" x14ac:dyDescent="0.25">
      <c r="E935" s="2"/>
      <c r="H935" s="2"/>
    </row>
    <row r="936" spans="5:8" x14ac:dyDescent="0.25">
      <c r="E936" s="2"/>
      <c r="H936" s="2"/>
    </row>
    <row r="937" spans="5:8" x14ac:dyDescent="0.25">
      <c r="E937" s="2"/>
      <c r="H937" s="2"/>
    </row>
    <row r="938" spans="5:8" x14ac:dyDescent="0.25">
      <c r="E938" s="2"/>
      <c r="H938" s="2"/>
    </row>
    <row r="939" spans="5:8" x14ac:dyDescent="0.25">
      <c r="E939" s="2"/>
      <c r="H939" s="2"/>
    </row>
    <row r="940" spans="5:8" x14ac:dyDescent="0.25">
      <c r="E940" s="2"/>
      <c r="H940" s="2"/>
    </row>
    <row r="941" spans="5:8" x14ac:dyDescent="0.25">
      <c r="E941" s="2"/>
      <c r="H941" s="2"/>
    </row>
    <row r="942" spans="5:8" x14ac:dyDescent="0.25">
      <c r="E942" s="2"/>
      <c r="H942" s="2"/>
    </row>
    <row r="943" spans="5:8" x14ac:dyDescent="0.25">
      <c r="E943" s="2"/>
      <c r="H943" s="2"/>
    </row>
    <row r="944" spans="5:8" x14ac:dyDescent="0.25">
      <c r="E944" s="2"/>
      <c r="H944" s="2"/>
    </row>
    <row r="945" spans="5:8" x14ac:dyDescent="0.25">
      <c r="E945" s="2"/>
      <c r="H945" s="2"/>
    </row>
    <row r="946" spans="5:8" x14ac:dyDescent="0.25">
      <c r="E946" s="2"/>
      <c r="H946" s="2"/>
    </row>
    <row r="947" spans="5:8" x14ac:dyDescent="0.25">
      <c r="E947" s="2"/>
      <c r="H947" s="2"/>
    </row>
    <row r="948" spans="5:8" x14ac:dyDescent="0.25">
      <c r="E948" s="2"/>
      <c r="H948" s="2"/>
    </row>
    <row r="949" spans="5:8" x14ac:dyDescent="0.25">
      <c r="E949" s="2"/>
      <c r="H949" s="2"/>
    </row>
    <row r="950" spans="5:8" x14ac:dyDescent="0.25">
      <c r="E950" s="2"/>
      <c r="H950" s="2"/>
    </row>
    <row r="951" spans="5:8" x14ac:dyDescent="0.25">
      <c r="E951" s="2"/>
      <c r="H951" s="2"/>
    </row>
    <row r="952" spans="5:8" x14ac:dyDescent="0.25">
      <c r="E952" s="2"/>
      <c r="H952" s="2"/>
    </row>
    <row r="953" spans="5:8" x14ac:dyDescent="0.25">
      <c r="E953" s="2"/>
      <c r="H953" s="2"/>
    </row>
    <row r="954" spans="5:8" x14ac:dyDescent="0.25">
      <c r="E954" s="2"/>
      <c r="H954" s="2"/>
    </row>
    <row r="955" spans="5:8" x14ac:dyDescent="0.25">
      <c r="E955" s="2"/>
      <c r="H955" s="2"/>
    </row>
    <row r="956" spans="5:8" x14ac:dyDescent="0.25">
      <c r="E956" s="2"/>
      <c r="H956" s="2"/>
    </row>
    <row r="957" spans="5:8" x14ac:dyDescent="0.25">
      <c r="E957" s="2"/>
      <c r="H957" s="2"/>
    </row>
    <row r="958" spans="5:8" x14ac:dyDescent="0.25">
      <c r="E958" s="2"/>
      <c r="H958" s="2"/>
    </row>
    <row r="959" spans="5:8" x14ac:dyDescent="0.25">
      <c r="E959" s="2"/>
      <c r="H959" s="2"/>
    </row>
    <row r="960" spans="5:8" x14ac:dyDescent="0.25">
      <c r="E960" s="2"/>
      <c r="H960" s="2"/>
    </row>
    <row r="961" spans="5:8" x14ac:dyDescent="0.25">
      <c r="E961" s="2"/>
      <c r="H961" s="2"/>
    </row>
    <row r="962" spans="5:8" x14ac:dyDescent="0.25">
      <c r="E962" s="2"/>
      <c r="H962" s="2"/>
    </row>
    <row r="963" spans="5:8" x14ac:dyDescent="0.25">
      <c r="E963" s="2"/>
      <c r="H963" s="2"/>
    </row>
    <row r="964" spans="5:8" x14ac:dyDescent="0.25">
      <c r="E964" s="2"/>
      <c r="H964" s="2"/>
    </row>
    <row r="965" spans="5:8" x14ac:dyDescent="0.25">
      <c r="E965" s="2"/>
      <c r="H965" s="2"/>
    </row>
    <row r="966" spans="5:8" x14ac:dyDescent="0.25">
      <c r="E966" s="2"/>
      <c r="H966" s="2"/>
    </row>
    <row r="967" spans="5:8" x14ac:dyDescent="0.25">
      <c r="E967" s="2"/>
      <c r="H967" s="2"/>
    </row>
    <row r="968" spans="5:8" x14ac:dyDescent="0.25">
      <c r="E968" s="2"/>
      <c r="H968" s="2"/>
    </row>
    <row r="969" spans="5:8" x14ac:dyDescent="0.25">
      <c r="E969" s="2"/>
      <c r="H969" s="2"/>
    </row>
    <row r="970" spans="5:8" x14ac:dyDescent="0.25">
      <c r="E970" s="2"/>
      <c r="H970" s="2"/>
    </row>
    <row r="971" spans="5:8" x14ac:dyDescent="0.25">
      <c r="E971" s="2"/>
      <c r="H971" s="2"/>
    </row>
    <row r="972" spans="5:8" x14ac:dyDescent="0.25">
      <c r="E972" s="2"/>
      <c r="H972" s="2"/>
    </row>
    <row r="973" spans="5:8" x14ac:dyDescent="0.25">
      <c r="E973" s="2"/>
      <c r="H973" s="2"/>
    </row>
    <row r="974" spans="5:8" x14ac:dyDescent="0.25">
      <c r="E974" s="2"/>
      <c r="H974" s="2"/>
    </row>
    <row r="975" spans="5:8" x14ac:dyDescent="0.25">
      <c r="E975" s="2"/>
      <c r="H975" s="2"/>
    </row>
    <row r="976" spans="5:8" x14ac:dyDescent="0.25">
      <c r="E976" s="2"/>
      <c r="H976" s="2"/>
    </row>
    <row r="977" spans="5:8" x14ac:dyDescent="0.25">
      <c r="E977" s="2"/>
      <c r="H977" s="2"/>
    </row>
    <row r="978" spans="5:8" x14ac:dyDescent="0.25">
      <c r="E978" s="2"/>
      <c r="H978" s="2"/>
    </row>
    <row r="979" spans="5:8" x14ac:dyDescent="0.25">
      <c r="E979" s="2"/>
      <c r="H979" s="2"/>
    </row>
    <row r="980" spans="5:8" x14ac:dyDescent="0.25">
      <c r="E980" s="2"/>
      <c r="H980" s="2"/>
    </row>
    <row r="981" spans="5:8" x14ac:dyDescent="0.25">
      <c r="E981" s="2"/>
      <c r="H981" s="2"/>
    </row>
    <row r="982" spans="5:8" x14ac:dyDescent="0.25">
      <c r="E982" s="2"/>
      <c r="H982" s="2"/>
    </row>
    <row r="983" spans="5:8" x14ac:dyDescent="0.25">
      <c r="E983" s="2"/>
      <c r="H983" s="2"/>
    </row>
    <row r="984" spans="5:8" x14ac:dyDescent="0.25">
      <c r="E984" s="2"/>
      <c r="H984" s="2"/>
    </row>
    <row r="985" spans="5:8" x14ac:dyDescent="0.25">
      <c r="E985" s="2"/>
      <c r="H985" s="2"/>
    </row>
    <row r="986" spans="5:8" x14ac:dyDescent="0.25">
      <c r="E986" s="2"/>
      <c r="H986" s="2"/>
    </row>
    <row r="987" spans="5:8" x14ac:dyDescent="0.25">
      <c r="E987" s="2"/>
      <c r="H987" s="2"/>
    </row>
    <row r="988" spans="5:8" x14ac:dyDescent="0.25">
      <c r="E988" s="2"/>
      <c r="H988" s="2"/>
    </row>
    <row r="989" spans="5:8" x14ac:dyDescent="0.25">
      <c r="E989" s="2"/>
      <c r="H989" s="2"/>
    </row>
    <row r="990" spans="5:8" x14ac:dyDescent="0.25">
      <c r="E990" s="2"/>
      <c r="H990" s="2"/>
    </row>
    <row r="991" spans="5:8" x14ac:dyDescent="0.25">
      <c r="E991" s="2"/>
      <c r="H991" s="2"/>
    </row>
    <row r="992" spans="5:8" x14ac:dyDescent="0.25">
      <c r="E992" s="2"/>
      <c r="H992" s="2"/>
    </row>
    <row r="993" spans="5:8" x14ac:dyDescent="0.25">
      <c r="E993" s="2"/>
      <c r="H993" s="2"/>
    </row>
    <row r="994" spans="5:8" x14ac:dyDescent="0.25">
      <c r="E994" s="2"/>
      <c r="H994" s="2"/>
    </row>
    <row r="995" spans="5:8" x14ac:dyDescent="0.25">
      <c r="E995" s="2"/>
      <c r="H995" s="2"/>
    </row>
    <row r="996" spans="5:8" x14ac:dyDescent="0.25">
      <c r="E996" s="2"/>
      <c r="H996" s="2"/>
    </row>
    <row r="997" spans="5:8" x14ac:dyDescent="0.25">
      <c r="E997" s="2"/>
      <c r="H997" s="2"/>
    </row>
    <row r="998" spans="5:8" x14ac:dyDescent="0.25">
      <c r="E998" s="2"/>
      <c r="H998" s="2"/>
    </row>
    <row r="999" spans="5:8" x14ac:dyDescent="0.25">
      <c r="E999" s="2"/>
      <c r="H999" s="2"/>
    </row>
    <row r="1000" spans="5:8" x14ac:dyDescent="0.25">
      <c r="E1000" s="2"/>
      <c r="H1000" s="2"/>
    </row>
    <row r="1001" spans="5:8" x14ac:dyDescent="0.25">
      <c r="E1001" s="2"/>
      <c r="H1001" s="2"/>
    </row>
    <row r="1002" spans="5:8" x14ac:dyDescent="0.25">
      <c r="E1002" s="2"/>
      <c r="H1002" s="2"/>
    </row>
    <row r="1003" spans="5:8" x14ac:dyDescent="0.25">
      <c r="E1003" s="2"/>
      <c r="H1003" s="2"/>
    </row>
    <row r="1004" spans="5:8" x14ac:dyDescent="0.25">
      <c r="E1004" s="2"/>
      <c r="H1004" s="2"/>
    </row>
    <row r="1005" spans="5:8" x14ac:dyDescent="0.25">
      <c r="E1005" s="2"/>
      <c r="H1005" s="2"/>
    </row>
    <row r="1006" spans="5:8" x14ac:dyDescent="0.25">
      <c r="E1006" s="2"/>
      <c r="H1006" s="2"/>
    </row>
    <row r="1007" spans="5:8" x14ac:dyDescent="0.25">
      <c r="E1007" s="2"/>
      <c r="H1007" s="2"/>
    </row>
    <row r="1008" spans="5:8" x14ac:dyDescent="0.25">
      <c r="E1008" s="2"/>
      <c r="H1008" s="2"/>
    </row>
    <row r="1009" spans="5:8" x14ac:dyDescent="0.25">
      <c r="E1009" s="2"/>
      <c r="H1009" s="2"/>
    </row>
    <row r="1010" spans="5:8" x14ac:dyDescent="0.25">
      <c r="E1010" s="2"/>
      <c r="H1010" s="2"/>
    </row>
    <row r="1011" spans="5:8" x14ac:dyDescent="0.25">
      <c r="E1011" s="2"/>
      <c r="H1011" s="2"/>
    </row>
    <row r="1012" spans="5:8" x14ac:dyDescent="0.25">
      <c r="E1012" s="2"/>
      <c r="H1012" s="2"/>
    </row>
    <row r="1013" spans="5:8" x14ac:dyDescent="0.25">
      <c r="E1013" s="2"/>
      <c r="H1013" s="2"/>
    </row>
    <row r="1014" spans="5:8" x14ac:dyDescent="0.25">
      <c r="E1014" s="2"/>
      <c r="H1014" s="2"/>
    </row>
    <row r="1015" spans="5:8" x14ac:dyDescent="0.25">
      <c r="E1015" s="2"/>
      <c r="H1015" s="2"/>
    </row>
    <row r="1016" spans="5:8" x14ac:dyDescent="0.25">
      <c r="E1016" s="2"/>
      <c r="H1016" s="2"/>
    </row>
    <row r="1017" spans="5:8" x14ac:dyDescent="0.25">
      <c r="E1017" s="2"/>
      <c r="H1017" s="2"/>
    </row>
    <row r="1018" spans="5:8" x14ac:dyDescent="0.25">
      <c r="E1018" s="2"/>
      <c r="H1018" s="2"/>
    </row>
    <row r="1019" spans="5:8" x14ac:dyDescent="0.25">
      <c r="E1019" s="2"/>
      <c r="H1019" s="2"/>
    </row>
    <row r="1020" spans="5:8" x14ac:dyDescent="0.25">
      <c r="E1020" s="2"/>
      <c r="H1020" s="2"/>
    </row>
    <row r="1021" spans="5:8" x14ac:dyDescent="0.25">
      <c r="E1021" s="2"/>
      <c r="H1021" s="2"/>
    </row>
    <row r="1022" spans="5:8" x14ac:dyDescent="0.25">
      <c r="E1022" s="2"/>
      <c r="H1022" s="2"/>
    </row>
    <row r="1023" spans="5:8" x14ac:dyDescent="0.25">
      <c r="E1023" s="2"/>
      <c r="H1023" s="2"/>
    </row>
    <row r="1024" spans="5:8" x14ac:dyDescent="0.25">
      <c r="E1024" s="2"/>
      <c r="H1024" s="2"/>
    </row>
    <row r="1025" spans="5:8" x14ac:dyDescent="0.25">
      <c r="E1025" s="2"/>
      <c r="H1025" s="2"/>
    </row>
    <row r="1026" spans="5:8" x14ac:dyDescent="0.25">
      <c r="E1026" s="2"/>
      <c r="H1026" s="2"/>
    </row>
    <row r="1027" spans="5:8" x14ac:dyDescent="0.25">
      <c r="E1027" s="2"/>
      <c r="H1027" s="2"/>
    </row>
    <row r="1028" spans="5:8" x14ac:dyDescent="0.25">
      <c r="E1028" s="2"/>
      <c r="H1028" s="2"/>
    </row>
    <row r="1029" spans="5:8" x14ac:dyDescent="0.25">
      <c r="E1029" s="2"/>
      <c r="H1029" s="2"/>
    </row>
    <row r="1030" spans="5:8" x14ac:dyDescent="0.25">
      <c r="E1030" s="2"/>
      <c r="H1030" s="2"/>
    </row>
    <row r="1031" spans="5:8" x14ac:dyDescent="0.25">
      <c r="E1031" s="2"/>
      <c r="H1031" s="2"/>
    </row>
    <row r="1032" spans="5:8" x14ac:dyDescent="0.25">
      <c r="E1032" s="2"/>
      <c r="H1032" s="2"/>
    </row>
    <row r="1033" spans="5:8" x14ac:dyDescent="0.25">
      <c r="E1033" s="2"/>
      <c r="H1033" s="2"/>
    </row>
    <row r="1034" spans="5:8" x14ac:dyDescent="0.25">
      <c r="E1034" s="2"/>
      <c r="H1034" s="2"/>
    </row>
    <row r="1035" spans="5:8" x14ac:dyDescent="0.25">
      <c r="E1035" s="2"/>
      <c r="H1035" s="2"/>
    </row>
    <row r="1036" spans="5:8" x14ac:dyDescent="0.25">
      <c r="E1036" s="2"/>
      <c r="H1036" s="2"/>
    </row>
    <row r="1037" spans="5:8" x14ac:dyDescent="0.25">
      <c r="E1037" s="2"/>
      <c r="H1037" s="2"/>
    </row>
    <row r="1038" spans="5:8" x14ac:dyDescent="0.25">
      <c r="E1038" s="2"/>
      <c r="H1038" s="2"/>
    </row>
    <row r="1039" spans="5:8" x14ac:dyDescent="0.25">
      <c r="E1039" s="2"/>
      <c r="H1039" s="2"/>
    </row>
    <row r="1040" spans="5:8" x14ac:dyDescent="0.25">
      <c r="E1040" s="2"/>
      <c r="H1040" s="2"/>
    </row>
    <row r="1041" spans="5:8" x14ac:dyDescent="0.25">
      <c r="E1041" s="2"/>
      <c r="H1041" s="2"/>
    </row>
    <row r="1042" spans="5:8" x14ac:dyDescent="0.25">
      <c r="E1042" s="2"/>
      <c r="H1042" s="2"/>
    </row>
    <row r="1043" spans="5:8" x14ac:dyDescent="0.25">
      <c r="E1043" s="2"/>
      <c r="H1043" s="2"/>
    </row>
    <row r="1044" spans="5:8" x14ac:dyDescent="0.25">
      <c r="E1044" s="2"/>
      <c r="H1044" s="2"/>
    </row>
    <row r="1045" spans="5:8" x14ac:dyDescent="0.25">
      <c r="E1045" s="2"/>
      <c r="H1045" s="2"/>
    </row>
    <row r="1046" spans="5:8" x14ac:dyDescent="0.25">
      <c r="E1046" s="2"/>
      <c r="H1046" s="2"/>
    </row>
    <row r="1047" spans="5:8" x14ac:dyDescent="0.25">
      <c r="E1047" s="2"/>
      <c r="H1047" s="2"/>
    </row>
    <row r="1048" spans="5:8" x14ac:dyDescent="0.25">
      <c r="E1048" s="2"/>
      <c r="H1048" s="2"/>
    </row>
    <row r="1049" spans="5:8" x14ac:dyDescent="0.25">
      <c r="E1049" s="2"/>
      <c r="H1049" s="2"/>
    </row>
    <row r="1050" spans="5:8" x14ac:dyDescent="0.25">
      <c r="E1050" s="2"/>
      <c r="H1050" s="2"/>
    </row>
    <row r="1051" spans="5:8" x14ac:dyDescent="0.25">
      <c r="E1051" s="2"/>
      <c r="H1051" s="2"/>
    </row>
    <row r="1052" spans="5:8" x14ac:dyDescent="0.25">
      <c r="E1052" s="2"/>
      <c r="H1052" s="2"/>
    </row>
    <row r="1053" spans="5:8" x14ac:dyDescent="0.25">
      <c r="E1053" s="2"/>
      <c r="H1053" s="2"/>
    </row>
    <row r="1054" spans="5:8" x14ac:dyDescent="0.25">
      <c r="E1054" s="2"/>
      <c r="H1054" s="2"/>
    </row>
    <row r="1055" spans="5:8" x14ac:dyDescent="0.25">
      <c r="E1055" s="2"/>
      <c r="H1055" s="2"/>
    </row>
    <row r="1056" spans="5:8" x14ac:dyDescent="0.25">
      <c r="E1056" s="2"/>
      <c r="H1056" s="2"/>
    </row>
    <row r="1057" spans="5:8" x14ac:dyDescent="0.25">
      <c r="E1057" s="2"/>
      <c r="H1057" s="2"/>
    </row>
    <row r="1058" spans="5:8" x14ac:dyDescent="0.25">
      <c r="E1058" s="2"/>
      <c r="H1058" s="2"/>
    </row>
    <row r="1059" spans="5:8" x14ac:dyDescent="0.25">
      <c r="E1059" s="2"/>
      <c r="H1059" s="2"/>
    </row>
    <row r="1060" spans="5:8" x14ac:dyDescent="0.25">
      <c r="E1060" s="2"/>
      <c r="H1060" s="2"/>
    </row>
    <row r="1061" spans="5:8" x14ac:dyDescent="0.25">
      <c r="E1061" s="2"/>
      <c r="H1061" s="2"/>
    </row>
    <row r="1062" spans="5:8" x14ac:dyDescent="0.25">
      <c r="E1062" s="2"/>
      <c r="H1062" s="2"/>
    </row>
    <row r="1063" spans="5:8" x14ac:dyDescent="0.25">
      <c r="E1063" s="2"/>
      <c r="H1063" s="2"/>
    </row>
    <row r="1064" spans="5:8" x14ac:dyDescent="0.25">
      <c r="E1064" s="2"/>
      <c r="H1064" s="2"/>
    </row>
    <row r="1065" spans="5:8" x14ac:dyDescent="0.25">
      <c r="E1065" s="2"/>
      <c r="H1065" s="2"/>
    </row>
    <row r="1066" spans="5:8" x14ac:dyDescent="0.25">
      <c r="E1066" s="2"/>
      <c r="H1066" s="2"/>
    </row>
    <row r="1067" spans="5:8" x14ac:dyDescent="0.25">
      <c r="E1067" s="2"/>
      <c r="H1067" s="2"/>
    </row>
    <row r="1068" spans="5:8" x14ac:dyDescent="0.25">
      <c r="E1068" s="2"/>
      <c r="H1068" s="2"/>
    </row>
    <row r="1069" spans="5:8" x14ac:dyDescent="0.25">
      <c r="E1069" s="2"/>
      <c r="H1069" s="2"/>
    </row>
    <row r="1070" spans="5:8" x14ac:dyDescent="0.25">
      <c r="E1070" s="2"/>
      <c r="H1070" s="2"/>
    </row>
    <row r="1071" spans="5:8" x14ac:dyDescent="0.25">
      <c r="E1071" s="2"/>
      <c r="H1071" s="2"/>
    </row>
    <row r="1072" spans="5:8" x14ac:dyDescent="0.25">
      <c r="E1072" s="2"/>
      <c r="H1072" s="2"/>
    </row>
    <row r="1073" spans="5:8" x14ac:dyDescent="0.25">
      <c r="E1073" s="2"/>
      <c r="H1073" s="2"/>
    </row>
    <row r="1074" spans="5:8" x14ac:dyDescent="0.25">
      <c r="E1074" s="2"/>
      <c r="H1074" s="2"/>
    </row>
    <row r="1075" spans="5:8" x14ac:dyDescent="0.25">
      <c r="E1075" s="2"/>
      <c r="H1075" s="2"/>
    </row>
    <row r="1076" spans="5:8" x14ac:dyDescent="0.25">
      <c r="E1076" s="2"/>
      <c r="H1076" s="2"/>
    </row>
    <row r="1077" spans="5:8" x14ac:dyDescent="0.25">
      <c r="E1077" s="2"/>
      <c r="H1077" s="2"/>
    </row>
    <row r="1078" spans="5:8" x14ac:dyDescent="0.25">
      <c r="E1078" s="2"/>
      <c r="H1078" s="2"/>
    </row>
    <row r="1079" spans="5:8" x14ac:dyDescent="0.25">
      <c r="E1079" s="2"/>
      <c r="H1079" s="2"/>
    </row>
    <row r="1080" spans="5:8" x14ac:dyDescent="0.25">
      <c r="E1080" s="2"/>
      <c r="H1080" s="2"/>
    </row>
    <row r="1081" spans="5:8" x14ac:dyDescent="0.25">
      <c r="E1081" s="2"/>
      <c r="H1081" s="2"/>
    </row>
    <row r="1082" spans="5:8" x14ac:dyDescent="0.25">
      <c r="E1082" s="2"/>
      <c r="H1082" s="2"/>
    </row>
    <row r="1083" spans="5:8" x14ac:dyDescent="0.25">
      <c r="E1083" s="2"/>
      <c r="H1083" s="2"/>
    </row>
    <row r="1084" spans="5:8" x14ac:dyDescent="0.25">
      <c r="E1084" s="2"/>
      <c r="H1084" s="2"/>
    </row>
    <row r="1085" spans="5:8" x14ac:dyDescent="0.25">
      <c r="E1085" s="2"/>
      <c r="H1085" s="2"/>
    </row>
    <row r="1086" spans="5:8" x14ac:dyDescent="0.25">
      <c r="E1086" s="2"/>
      <c r="H1086" s="2"/>
    </row>
    <row r="1087" spans="5:8" x14ac:dyDescent="0.25">
      <c r="E1087" s="2"/>
      <c r="H1087" s="2"/>
    </row>
    <row r="1088" spans="5:8" x14ac:dyDescent="0.25">
      <c r="E1088" s="2"/>
      <c r="H1088" s="2"/>
    </row>
    <row r="1089" spans="5:8" x14ac:dyDescent="0.25">
      <c r="E1089" s="2"/>
      <c r="H1089" s="2"/>
    </row>
    <row r="1090" spans="5:8" x14ac:dyDescent="0.25">
      <c r="E1090" s="2"/>
      <c r="H1090" s="2"/>
    </row>
    <row r="1091" spans="5:8" x14ac:dyDescent="0.25">
      <c r="E1091" s="2"/>
      <c r="H1091" s="2"/>
    </row>
    <row r="1092" spans="5:8" x14ac:dyDescent="0.25">
      <c r="E1092" s="2"/>
      <c r="H1092" s="2"/>
    </row>
    <row r="1093" spans="5:8" x14ac:dyDescent="0.25">
      <c r="E1093" s="2"/>
      <c r="H1093" s="2"/>
    </row>
    <row r="1094" spans="5:8" x14ac:dyDescent="0.25">
      <c r="E1094" s="2"/>
      <c r="H1094" s="2"/>
    </row>
    <row r="1095" spans="5:8" x14ac:dyDescent="0.25">
      <c r="E1095" s="2"/>
      <c r="H1095" s="2"/>
    </row>
    <row r="1096" spans="5:8" x14ac:dyDescent="0.25">
      <c r="E1096" s="2"/>
      <c r="H1096" s="2"/>
    </row>
    <row r="1097" spans="5:8" x14ac:dyDescent="0.25">
      <c r="E1097" s="2"/>
      <c r="H1097" s="2"/>
    </row>
    <row r="1098" spans="5:8" x14ac:dyDescent="0.25">
      <c r="E1098" s="2"/>
      <c r="H1098" s="2"/>
    </row>
    <row r="1099" spans="5:8" x14ac:dyDescent="0.25">
      <c r="E1099" s="2"/>
      <c r="H1099" s="2"/>
    </row>
    <row r="1100" spans="5:8" x14ac:dyDescent="0.25">
      <c r="E1100" s="2"/>
      <c r="H1100" s="2"/>
    </row>
    <row r="1101" spans="5:8" x14ac:dyDescent="0.25">
      <c r="E1101" s="2"/>
      <c r="H1101" s="2"/>
    </row>
    <row r="1102" spans="5:8" x14ac:dyDescent="0.25">
      <c r="E1102" s="2"/>
      <c r="H1102" s="2"/>
    </row>
    <row r="1103" spans="5:8" x14ac:dyDescent="0.25">
      <c r="E1103" s="2"/>
      <c r="H1103" s="2"/>
    </row>
    <row r="1104" spans="5:8" x14ac:dyDescent="0.25">
      <c r="E1104" s="2"/>
      <c r="H1104" s="2"/>
    </row>
    <row r="1105" spans="5:8" x14ac:dyDescent="0.25">
      <c r="E1105" s="2"/>
      <c r="H1105" s="2"/>
    </row>
    <row r="1106" spans="5:8" x14ac:dyDescent="0.25">
      <c r="E1106" s="2"/>
      <c r="H1106" s="2"/>
    </row>
    <row r="1107" spans="5:8" x14ac:dyDescent="0.25">
      <c r="E1107" s="2"/>
      <c r="H1107" s="2"/>
    </row>
    <row r="1108" spans="5:8" x14ac:dyDescent="0.25">
      <c r="E1108" s="2"/>
      <c r="H1108" s="2"/>
    </row>
    <row r="1109" spans="5:8" x14ac:dyDescent="0.25">
      <c r="E1109" s="2"/>
      <c r="H1109" s="2"/>
    </row>
    <row r="1110" spans="5:8" x14ac:dyDescent="0.25">
      <c r="E1110" s="2"/>
      <c r="H1110" s="2"/>
    </row>
    <row r="1111" spans="5:8" x14ac:dyDescent="0.25">
      <c r="E1111" s="2"/>
      <c r="H1111" s="2"/>
    </row>
    <row r="1112" spans="5:8" x14ac:dyDescent="0.25">
      <c r="E1112" s="2"/>
      <c r="H1112" s="2"/>
    </row>
    <row r="1113" spans="5:8" x14ac:dyDescent="0.25">
      <c r="E1113" s="2"/>
      <c r="H1113" s="2"/>
    </row>
    <row r="1114" spans="5:8" x14ac:dyDescent="0.25">
      <c r="E1114" s="2"/>
      <c r="H1114" s="2"/>
    </row>
    <row r="1115" spans="5:8" x14ac:dyDescent="0.25">
      <c r="E1115" s="2"/>
      <c r="H1115" s="2"/>
    </row>
    <row r="1116" spans="5:8" x14ac:dyDescent="0.25">
      <c r="E1116" s="2"/>
      <c r="H1116" s="2"/>
    </row>
    <row r="1117" spans="5:8" x14ac:dyDescent="0.25">
      <c r="E1117" s="2"/>
      <c r="H1117" s="2"/>
    </row>
    <row r="1118" spans="5:8" x14ac:dyDescent="0.25">
      <c r="E1118" s="2"/>
      <c r="H1118" s="2"/>
    </row>
    <row r="1119" spans="5:8" x14ac:dyDescent="0.25">
      <c r="E1119" s="2"/>
      <c r="H1119" s="2"/>
    </row>
    <row r="1120" spans="5:8" x14ac:dyDescent="0.25">
      <c r="E1120" s="2"/>
      <c r="H1120" s="2"/>
    </row>
    <row r="1121" spans="5:8" x14ac:dyDescent="0.25">
      <c r="E1121" s="2"/>
      <c r="H1121" s="2"/>
    </row>
    <row r="1122" spans="5:8" x14ac:dyDescent="0.25">
      <c r="E1122" s="2"/>
      <c r="H1122" s="2"/>
    </row>
    <row r="1123" spans="5:8" x14ac:dyDescent="0.25">
      <c r="E1123" s="2"/>
      <c r="H1123" s="2"/>
    </row>
    <row r="1124" spans="5:8" x14ac:dyDescent="0.25">
      <c r="E1124" s="2"/>
      <c r="H1124" s="2"/>
    </row>
    <row r="1125" spans="5:8" x14ac:dyDescent="0.25">
      <c r="E1125" s="2"/>
      <c r="H1125" s="2"/>
    </row>
    <row r="1126" spans="5:8" x14ac:dyDescent="0.25">
      <c r="E1126" s="2"/>
      <c r="H1126" s="2"/>
    </row>
    <row r="1127" spans="5:8" x14ac:dyDescent="0.25">
      <c r="E1127" s="2"/>
      <c r="H1127" s="2"/>
    </row>
    <row r="1128" spans="5:8" x14ac:dyDescent="0.25">
      <c r="E1128" s="2"/>
      <c r="H1128" s="2"/>
    </row>
    <row r="1129" spans="5:8" x14ac:dyDescent="0.25">
      <c r="E1129" s="2"/>
      <c r="H1129" s="2"/>
    </row>
    <row r="1130" spans="5:8" x14ac:dyDescent="0.25">
      <c r="E1130" s="2"/>
      <c r="H1130" s="2"/>
    </row>
    <row r="1131" spans="5:8" x14ac:dyDescent="0.25">
      <c r="E1131" s="2"/>
      <c r="H1131" s="2"/>
    </row>
    <row r="1132" spans="5:8" x14ac:dyDescent="0.25">
      <c r="E1132" s="2"/>
      <c r="H1132" s="2"/>
    </row>
    <row r="1133" spans="5:8" x14ac:dyDescent="0.25">
      <c r="E1133" s="2"/>
      <c r="H1133" s="2"/>
    </row>
    <row r="1134" spans="5:8" x14ac:dyDescent="0.25">
      <c r="E1134" s="2"/>
      <c r="H1134" s="2"/>
    </row>
    <row r="1135" spans="5:8" x14ac:dyDescent="0.25">
      <c r="E1135" s="2"/>
      <c r="H1135" s="2"/>
    </row>
    <row r="1136" spans="5:8" x14ac:dyDescent="0.25">
      <c r="E1136" s="2"/>
      <c r="H1136" s="2"/>
    </row>
    <row r="1137" spans="5:8" x14ac:dyDescent="0.25">
      <c r="E1137" s="2"/>
      <c r="H1137" s="2"/>
    </row>
    <row r="1138" spans="5:8" x14ac:dyDescent="0.25">
      <c r="E1138" s="2"/>
      <c r="H1138" s="2"/>
    </row>
    <row r="1139" spans="5:8" x14ac:dyDescent="0.25">
      <c r="E1139" s="2"/>
      <c r="H1139" s="2"/>
    </row>
    <row r="1140" spans="5:8" x14ac:dyDescent="0.25">
      <c r="E1140" s="2"/>
      <c r="H1140" s="2"/>
    </row>
    <row r="1141" spans="5:8" x14ac:dyDescent="0.25">
      <c r="E1141" s="2"/>
      <c r="H1141" s="2"/>
    </row>
    <row r="1142" spans="5:8" x14ac:dyDescent="0.25">
      <c r="E1142" s="2"/>
      <c r="H1142" s="2"/>
    </row>
    <row r="1143" spans="5:8" x14ac:dyDescent="0.25">
      <c r="E1143" s="2"/>
      <c r="H1143" s="2"/>
    </row>
    <row r="1144" spans="5:8" x14ac:dyDescent="0.25">
      <c r="E1144" s="2"/>
      <c r="H1144" s="2"/>
    </row>
    <row r="1145" spans="5:8" x14ac:dyDescent="0.25">
      <c r="E1145" s="2"/>
      <c r="H1145" s="2"/>
    </row>
    <row r="1146" spans="5:8" x14ac:dyDescent="0.25">
      <c r="E1146" s="2"/>
      <c r="H1146" s="2"/>
    </row>
    <row r="1147" spans="5:8" x14ac:dyDescent="0.25">
      <c r="E1147" s="2"/>
      <c r="H1147" s="2"/>
    </row>
    <row r="1148" spans="5:8" x14ac:dyDescent="0.25">
      <c r="E1148" s="2"/>
      <c r="H1148" s="2"/>
    </row>
    <row r="1149" spans="5:8" x14ac:dyDescent="0.25">
      <c r="E1149" s="2"/>
      <c r="H1149" s="2"/>
    </row>
    <row r="1150" spans="5:8" x14ac:dyDescent="0.25">
      <c r="E1150" s="2"/>
      <c r="H1150" s="2"/>
    </row>
    <row r="1151" spans="5:8" x14ac:dyDescent="0.25">
      <c r="E1151" s="2"/>
      <c r="H1151" s="2"/>
    </row>
    <row r="1152" spans="5:8" x14ac:dyDescent="0.25">
      <c r="E1152" s="2"/>
      <c r="H1152" s="2"/>
    </row>
    <row r="1153" spans="5:8" x14ac:dyDescent="0.25">
      <c r="E1153" s="2"/>
      <c r="H1153" s="2"/>
    </row>
    <row r="1154" spans="5:8" x14ac:dyDescent="0.25">
      <c r="E1154" s="2"/>
      <c r="H1154" s="2"/>
    </row>
    <row r="1155" spans="5:8" x14ac:dyDescent="0.25">
      <c r="E1155" s="2"/>
      <c r="H1155" s="2"/>
    </row>
    <row r="1156" spans="5:8" x14ac:dyDescent="0.25">
      <c r="E1156" s="2"/>
      <c r="H1156" s="2"/>
    </row>
    <row r="1157" spans="5:8" x14ac:dyDescent="0.25">
      <c r="E1157" s="2"/>
      <c r="H1157" s="2"/>
    </row>
    <row r="1158" spans="5:8" x14ac:dyDescent="0.25">
      <c r="E1158" s="2"/>
      <c r="H1158" s="2"/>
    </row>
    <row r="1159" spans="5:8" x14ac:dyDescent="0.25">
      <c r="E1159" s="2"/>
      <c r="H1159" s="2"/>
    </row>
    <row r="1160" spans="5:8" x14ac:dyDescent="0.25">
      <c r="E1160" s="2"/>
      <c r="H1160" s="2"/>
    </row>
    <row r="1161" spans="5:8" x14ac:dyDescent="0.25">
      <c r="E1161" s="2"/>
      <c r="H1161" s="2"/>
    </row>
    <row r="1162" spans="5:8" x14ac:dyDescent="0.25">
      <c r="E1162" s="2"/>
      <c r="H1162" s="2"/>
    </row>
    <row r="1163" spans="5:8" x14ac:dyDescent="0.25">
      <c r="E1163" s="2"/>
      <c r="H1163" s="2"/>
    </row>
    <row r="1164" spans="5:8" x14ac:dyDescent="0.25">
      <c r="E1164" s="2"/>
      <c r="H1164" s="2"/>
    </row>
    <row r="1165" spans="5:8" x14ac:dyDescent="0.25">
      <c r="E1165" s="2"/>
      <c r="H1165" s="2"/>
    </row>
    <row r="1166" spans="5:8" x14ac:dyDescent="0.25">
      <c r="E1166" s="2"/>
      <c r="H1166" s="2"/>
    </row>
    <row r="1167" spans="5:8" x14ac:dyDescent="0.25">
      <c r="E1167" s="2"/>
      <c r="H1167" s="2"/>
    </row>
    <row r="1168" spans="5:8" x14ac:dyDescent="0.25">
      <c r="E1168" s="2"/>
      <c r="H1168" s="2"/>
    </row>
    <row r="1169" spans="5:8" x14ac:dyDescent="0.25">
      <c r="E1169" s="2"/>
      <c r="H1169" s="2"/>
    </row>
    <row r="1170" spans="5:8" x14ac:dyDescent="0.25">
      <c r="E1170" s="2"/>
      <c r="H1170" s="2"/>
    </row>
    <row r="1171" spans="5:8" x14ac:dyDescent="0.25">
      <c r="E1171" s="2"/>
      <c r="H1171" s="2"/>
    </row>
    <row r="1172" spans="5:8" x14ac:dyDescent="0.25">
      <c r="E1172" s="2"/>
      <c r="H1172" s="2"/>
    </row>
    <row r="1173" spans="5:8" x14ac:dyDescent="0.25">
      <c r="E1173" s="2"/>
      <c r="H1173" s="2"/>
    </row>
    <row r="1174" spans="5:8" x14ac:dyDescent="0.25">
      <c r="E1174" s="2"/>
      <c r="H1174" s="2"/>
    </row>
    <row r="1175" spans="5:8" x14ac:dyDescent="0.25">
      <c r="E1175" s="2"/>
      <c r="H1175" s="2"/>
    </row>
    <row r="1176" spans="5:8" x14ac:dyDescent="0.25">
      <c r="E1176" s="2"/>
      <c r="H1176" s="2"/>
    </row>
    <row r="1177" spans="5:8" x14ac:dyDescent="0.25">
      <c r="E1177" s="2"/>
      <c r="H1177" s="2"/>
    </row>
    <row r="1178" spans="5:8" x14ac:dyDescent="0.25">
      <c r="E1178" s="2"/>
      <c r="H1178" s="2"/>
    </row>
    <row r="1179" spans="5:8" x14ac:dyDescent="0.25">
      <c r="E1179" s="2"/>
      <c r="H1179" s="2"/>
    </row>
    <row r="1180" spans="5:8" x14ac:dyDescent="0.25">
      <c r="E1180" s="2"/>
      <c r="H1180" s="2"/>
    </row>
    <row r="1181" spans="5:8" x14ac:dyDescent="0.25">
      <c r="E1181" s="2"/>
      <c r="H1181" s="2"/>
    </row>
    <row r="1182" spans="5:8" x14ac:dyDescent="0.25">
      <c r="E1182" s="2"/>
      <c r="H1182" s="2"/>
    </row>
    <row r="1183" spans="5:8" x14ac:dyDescent="0.25">
      <c r="E1183" s="2"/>
      <c r="H1183" s="2"/>
    </row>
    <row r="1184" spans="5:8" x14ac:dyDescent="0.25">
      <c r="E1184" s="2"/>
      <c r="H1184" s="2"/>
    </row>
    <row r="1185" spans="5:8" x14ac:dyDescent="0.25">
      <c r="E1185" s="2"/>
      <c r="H1185" s="2"/>
    </row>
    <row r="1186" spans="5:8" x14ac:dyDescent="0.25">
      <c r="E1186" s="2"/>
      <c r="H1186" s="2"/>
    </row>
    <row r="1187" spans="5:8" x14ac:dyDescent="0.25">
      <c r="E1187" s="2"/>
      <c r="H1187" s="2"/>
    </row>
    <row r="1188" spans="5:8" x14ac:dyDescent="0.25">
      <c r="E1188" s="2"/>
      <c r="H1188" s="2"/>
    </row>
    <row r="1189" spans="5:8" x14ac:dyDescent="0.25">
      <c r="E1189" s="2"/>
      <c r="H1189" s="2"/>
    </row>
    <row r="1190" spans="5:8" x14ac:dyDescent="0.25">
      <c r="E1190" s="2"/>
      <c r="H1190" s="2"/>
    </row>
    <row r="1191" spans="5:8" x14ac:dyDescent="0.25">
      <c r="E1191" s="2"/>
      <c r="H1191" s="2"/>
    </row>
    <row r="1192" spans="5:8" x14ac:dyDescent="0.25">
      <c r="E1192" s="2"/>
      <c r="H1192" s="2"/>
    </row>
    <row r="1193" spans="5:8" x14ac:dyDescent="0.25">
      <c r="E1193" s="2"/>
      <c r="H119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8A36-4237-4C56-A020-3FA3484E9036}">
  <dimension ref="A1:C508"/>
  <sheetViews>
    <sheetView topLeftCell="A199" workbookViewId="0">
      <selection activeCell="C26" sqref="C26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3" x14ac:dyDescent="0.25">
      <c r="A1" t="str">
        <f>'WP by State &amp; Segment'!A1</f>
        <v>Insurer NJ Umbrella</v>
      </c>
    </row>
    <row r="2" spans="1:3" x14ac:dyDescent="0.25">
      <c r="A2" t="str">
        <f>'WP by State &amp; Segment'!A2</f>
        <v>Umbrella Excess of Loss reinsurance program</v>
      </c>
    </row>
    <row r="3" spans="1:3" x14ac:dyDescent="0.25">
      <c r="A3" t="str">
        <f>'WP by State &amp; Segment'!A3</f>
        <v>Effective: 04/01/2025</v>
      </c>
    </row>
    <row r="4" spans="1:3" x14ac:dyDescent="0.25">
      <c r="A4" t="str">
        <f>'WP by State &amp; Segment'!A4</f>
        <v>Data as of: 11/30/2024</v>
      </c>
    </row>
    <row r="6" spans="1:3" x14ac:dyDescent="0.25">
      <c r="A6" t="s">
        <v>88</v>
      </c>
    </row>
    <row r="8" spans="1:3" x14ac:dyDescent="0.25">
      <c r="A8" t="s">
        <v>6</v>
      </c>
      <c r="B8" t="s">
        <v>89</v>
      </c>
      <c r="C8" t="s">
        <v>90</v>
      </c>
    </row>
    <row r="9" spans="1:3" x14ac:dyDescent="0.25">
      <c r="A9" t="s">
        <v>7</v>
      </c>
      <c r="B9">
        <v>2015</v>
      </c>
      <c r="C9">
        <v>3.5</v>
      </c>
    </row>
    <row r="10" spans="1:3" x14ac:dyDescent="0.25">
      <c r="A10" t="s">
        <v>8</v>
      </c>
      <c r="B10">
        <v>2015</v>
      </c>
      <c r="C10">
        <v>3.4</v>
      </c>
    </row>
    <row r="11" spans="1:3" x14ac:dyDescent="0.25">
      <c r="A11" t="s">
        <v>9</v>
      </c>
      <c r="B11">
        <v>2015</v>
      </c>
      <c r="C11">
        <v>6.5</v>
      </c>
    </row>
    <row r="12" spans="1:3" x14ac:dyDescent="0.25">
      <c r="A12" t="s">
        <v>10</v>
      </c>
      <c r="B12">
        <v>2015</v>
      </c>
      <c r="C12">
        <v>6.6</v>
      </c>
    </row>
    <row r="13" spans="1:3" x14ac:dyDescent="0.25">
      <c r="A13" t="s">
        <v>11</v>
      </c>
      <c r="B13">
        <v>2015</v>
      </c>
      <c r="C13">
        <v>6.7</v>
      </c>
    </row>
    <row r="14" spans="1:3" x14ac:dyDescent="0.25">
      <c r="A14" t="s">
        <v>12</v>
      </c>
      <c r="B14">
        <v>2015</v>
      </c>
      <c r="C14">
        <v>6.5</v>
      </c>
    </row>
    <row r="15" spans="1:3" x14ac:dyDescent="0.25">
      <c r="A15" t="s">
        <v>13</v>
      </c>
      <c r="B15">
        <v>2015</v>
      </c>
      <c r="C15">
        <v>4.9000000000000004</v>
      </c>
    </row>
    <row r="16" spans="1:3" x14ac:dyDescent="0.25">
      <c r="A16" t="s">
        <v>14</v>
      </c>
      <c r="B16">
        <v>2015</v>
      </c>
      <c r="C16">
        <v>6.4</v>
      </c>
    </row>
    <row r="17" spans="1:3" x14ac:dyDescent="0.25">
      <c r="A17" t="s">
        <v>15</v>
      </c>
      <c r="B17">
        <v>2015</v>
      </c>
      <c r="C17">
        <v>6.2</v>
      </c>
    </row>
    <row r="18" spans="1:3" x14ac:dyDescent="0.25">
      <c r="A18" t="s">
        <v>16</v>
      </c>
      <c r="B18">
        <v>2015</v>
      </c>
      <c r="C18">
        <v>4.8</v>
      </c>
    </row>
    <row r="19" spans="1:3" x14ac:dyDescent="0.25">
      <c r="A19" t="s">
        <v>17</v>
      </c>
      <c r="B19">
        <v>2015</v>
      </c>
      <c r="C19">
        <v>3.1</v>
      </c>
    </row>
    <row r="20" spans="1:3" x14ac:dyDescent="0.25">
      <c r="A20" t="s">
        <v>18</v>
      </c>
      <c r="B20">
        <v>2015</v>
      </c>
      <c r="C20">
        <v>5.5</v>
      </c>
    </row>
    <row r="21" spans="1:3" x14ac:dyDescent="0.25">
      <c r="A21" t="s">
        <v>19</v>
      </c>
      <c r="B21">
        <v>2015</v>
      </c>
      <c r="C21">
        <v>4.8</v>
      </c>
    </row>
    <row r="22" spans="1:3" x14ac:dyDescent="0.25">
      <c r="A22" t="s">
        <v>20</v>
      </c>
      <c r="B22">
        <v>2015</v>
      </c>
      <c r="C22">
        <v>6.1</v>
      </c>
    </row>
    <row r="23" spans="1:3" x14ac:dyDescent="0.25">
      <c r="A23" t="s">
        <v>21</v>
      </c>
      <c r="B23">
        <v>2015</v>
      </c>
      <c r="C23">
        <v>6.3</v>
      </c>
    </row>
    <row r="24" spans="1:3" x14ac:dyDescent="0.25">
      <c r="A24" t="s">
        <v>22</v>
      </c>
      <c r="B24">
        <v>2015</v>
      </c>
      <c r="C24">
        <v>6.5</v>
      </c>
    </row>
    <row r="25" spans="1:3" x14ac:dyDescent="0.25">
      <c r="A25" t="s">
        <v>23</v>
      </c>
      <c r="B25">
        <v>2015</v>
      </c>
      <c r="C25">
        <v>4</v>
      </c>
    </row>
    <row r="26" spans="1:3" x14ac:dyDescent="0.25">
      <c r="A26" t="s">
        <v>24</v>
      </c>
      <c r="B26">
        <v>2015</v>
      </c>
      <c r="C26">
        <v>5</v>
      </c>
    </row>
    <row r="27" spans="1:3" x14ac:dyDescent="0.25">
      <c r="A27" t="s">
        <v>25</v>
      </c>
      <c r="B27">
        <v>2015</v>
      </c>
      <c r="C27">
        <v>4.9000000000000004</v>
      </c>
    </row>
    <row r="28" spans="1:3" x14ac:dyDescent="0.25">
      <c r="A28" t="s">
        <v>26</v>
      </c>
      <c r="B28">
        <v>2015</v>
      </c>
      <c r="C28">
        <v>6.9</v>
      </c>
    </row>
    <row r="29" spans="1:3" x14ac:dyDescent="0.25">
      <c r="A29" t="s">
        <v>27</v>
      </c>
      <c r="B29">
        <v>2015</v>
      </c>
      <c r="C29">
        <v>4</v>
      </c>
    </row>
    <row r="30" spans="1:3" x14ac:dyDescent="0.25">
      <c r="A30" t="s">
        <v>28</v>
      </c>
      <c r="B30">
        <v>2015</v>
      </c>
      <c r="C30">
        <v>5.2</v>
      </c>
    </row>
    <row r="31" spans="1:3" x14ac:dyDescent="0.25">
      <c r="A31" t="s">
        <v>29</v>
      </c>
      <c r="B31">
        <v>2015</v>
      </c>
      <c r="C31">
        <v>4.4000000000000004</v>
      </c>
    </row>
    <row r="32" spans="1:3" x14ac:dyDescent="0.25">
      <c r="A32" t="s">
        <v>30</v>
      </c>
      <c r="B32">
        <v>2015</v>
      </c>
      <c r="C32">
        <v>6.7</v>
      </c>
    </row>
    <row r="33" spans="1:3" x14ac:dyDescent="0.25">
      <c r="A33" t="s">
        <v>31</v>
      </c>
      <c r="B33">
        <v>2015</v>
      </c>
      <c r="C33">
        <v>7.3</v>
      </c>
    </row>
    <row r="34" spans="1:3" x14ac:dyDescent="0.25">
      <c r="A34" t="s">
        <v>32</v>
      </c>
      <c r="B34">
        <v>2015</v>
      </c>
      <c r="C34">
        <v>4.5999999999999996</v>
      </c>
    </row>
    <row r="35" spans="1:3" x14ac:dyDescent="0.25">
      <c r="A35" t="s">
        <v>33</v>
      </c>
      <c r="B35">
        <v>2015</v>
      </c>
      <c r="C35">
        <v>4.9000000000000004</v>
      </c>
    </row>
    <row r="36" spans="1:3" x14ac:dyDescent="0.25">
      <c r="A36" t="s">
        <v>34</v>
      </c>
      <c r="B36">
        <v>2015</v>
      </c>
      <c r="C36">
        <v>4.4000000000000004</v>
      </c>
    </row>
    <row r="37" spans="1:3" x14ac:dyDescent="0.25">
      <c r="A37" t="s">
        <v>35</v>
      </c>
      <c r="B37">
        <v>2015</v>
      </c>
      <c r="C37">
        <v>6</v>
      </c>
    </row>
    <row r="38" spans="1:3" x14ac:dyDescent="0.25">
      <c r="A38" t="s">
        <v>36</v>
      </c>
      <c r="B38">
        <v>2015</v>
      </c>
      <c r="C38">
        <v>4.8</v>
      </c>
    </row>
    <row r="39" spans="1:3" x14ac:dyDescent="0.25">
      <c r="A39" t="s">
        <v>37</v>
      </c>
      <c r="B39">
        <v>2015</v>
      </c>
      <c r="C39">
        <v>5.4</v>
      </c>
    </row>
    <row r="40" spans="1:3" x14ac:dyDescent="0.25">
      <c r="A40" t="s">
        <v>38</v>
      </c>
      <c r="B40">
        <v>2015</v>
      </c>
      <c r="C40">
        <v>5.3</v>
      </c>
    </row>
    <row r="41" spans="1:3" x14ac:dyDescent="0.25">
      <c r="A41" t="s">
        <v>39</v>
      </c>
      <c r="B41">
        <v>2015</v>
      </c>
      <c r="C41">
        <v>6.4</v>
      </c>
    </row>
    <row r="42" spans="1:3" x14ac:dyDescent="0.25">
      <c r="A42" t="s">
        <v>40</v>
      </c>
      <c r="B42">
        <v>2015</v>
      </c>
      <c r="C42">
        <v>5.3</v>
      </c>
    </row>
    <row r="43" spans="1:3" x14ac:dyDescent="0.25">
      <c r="A43" t="s">
        <v>41</v>
      </c>
      <c r="B43">
        <v>2015</v>
      </c>
      <c r="C43">
        <v>4.5</v>
      </c>
    </row>
    <row r="44" spans="1:3" x14ac:dyDescent="0.25">
      <c r="A44" t="s">
        <v>42</v>
      </c>
      <c r="B44">
        <v>2015</v>
      </c>
      <c r="C44">
        <v>5.6</v>
      </c>
    </row>
    <row r="45" spans="1:3" x14ac:dyDescent="0.25">
      <c r="A45" t="s">
        <v>43</v>
      </c>
      <c r="B45">
        <v>2015</v>
      </c>
      <c r="C45">
        <v>3.7</v>
      </c>
    </row>
    <row r="46" spans="1:3" x14ac:dyDescent="0.25">
      <c r="A46" t="s">
        <v>44</v>
      </c>
      <c r="B46">
        <v>2015</v>
      </c>
      <c r="C46">
        <v>6.8</v>
      </c>
    </row>
    <row r="47" spans="1:3" x14ac:dyDescent="0.25">
      <c r="A47" t="s">
        <v>45</v>
      </c>
      <c r="B47">
        <v>2015</v>
      </c>
      <c r="C47">
        <v>3.7</v>
      </c>
    </row>
    <row r="48" spans="1:3" x14ac:dyDescent="0.25">
      <c r="A48" t="s">
        <v>46</v>
      </c>
      <c r="B48">
        <v>2015</v>
      </c>
      <c r="C48">
        <v>6.5</v>
      </c>
    </row>
    <row r="49" spans="1:3" x14ac:dyDescent="0.25">
      <c r="A49" t="s">
        <v>47</v>
      </c>
      <c r="B49">
        <v>2015</v>
      </c>
      <c r="C49">
        <v>5.0999999999999996</v>
      </c>
    </row>
    <row r="50" spans="1:3" x14ac:dyDescent="0.25">
      <c r="A50" t="s">
        <v>48</v>
      </c>
      <c r="B50">
        <v>2015</v>
      </c>
      <c r="C50">
        <v>7</v>
      </c>
    </row>
    <row r="51" spans="1:3" x14ac:dyDescent="0.25">
      <c r="A51" t="s">
        <v>49</v>
      </c>
      <c r="B51">
        <v>2015</v>
      </c>
      <c r="C51">
        <v>6.9</v>
      </c>
    </row>
    <row r="52" spans="1:3" x14ac:dyDescent="0.25">
      <c r="A52" t="s">
        <v>50</v>
      </c>
      <c r="B52">
        <v>2015</v>
      </c>
      <c r="C52">
        <v>5.0999999999999996</v>
      </c>
    </row>
    <row r="53" spans="1:3" x14ac:dyDescent="0.25">
      <c r="A53" t="s">
        <v>51</v>
      </c>
      <c r="B53">
        <v>2015</v>
      </c>
      <c r="C53">
        <v>6.8</v>
      </c>
    </row>
    <row r="54" spans="1:3" x14ac:dyDescent="0.25">
      <c r="A54" t="s">
        <v>52</v>
      </c>
      <c r="B54">
        <v>2015</v>
      </c>
      <c r="C54">
        <v>6.7</v>
      </c>
    </row>
    <row r="55" spans="1:3" x14ac:dyDescent="0.25">
      <c r="A55" t="s">
        <v>53</v>
      </c>
      <c r="B55">
        <v>2015</v>
      </c>
      <c r="C55">
        <v>6.6</v>
      </c>
    </row>
    <row r="56" spans="1:3" x14ac:dyDescent="0.25">
      <c r="A56" t="s">
        <v>54</v>
      </c>
      <c r="B56">
        <v>2015</v>
      </c>
      <c r="C56">
        <v>3.7</v>
      </c>
    </row>
    <row r="57" spans="1:3" x14ac:dyDescent="0.25">
      <c r="A57" t="s">
        <v>55</v>
      </c>
      <c r="B57">
        <v>2015</v>
      </c>
      <c r="C57">
        <v>4.4000000000000004</v>
      </c>
    </row>
    <row r="58" spans="1:3" x14ac:dyDescent="0.25">
      <c r="A58" t="s">
        <v>56</v>
      </c>
      <c r="B58">
        <v>2015</v>
      </c>
      <c r="C58">
        <v>4.2</v>
      </c>
    </row>
    <row r="59" spans="1:3" x14ac:dyDescent="0.25">
      <c r="A59" t="s">
        <v>7</v>
      </c>
      <c r="B59">
        <v>2016</v>
      </c>
      <c r="C59">
        <v>-1.3</v>
      </c>
    </row>
    <row r="60" spans="1:3" x14ac:dyDescent="0.25">
      <c r="A60" t="s">
        <v>8</v>
      </c>
      <c r="B60">
        <v>2016</v>
      </c>
      <c r="C60">
        <v>-1</v>
      </c>
    </row>
    <row r="61" spans="1:3" x14ac:dyDescent="0.25">
      <c r="A61" t="s">
        <v>9</v>
      </c>
      <c r="B61">
        <v>2016</v>
      </c>
      <c r="C61">
        <v>-0.1</v>
      </c>
    </row>
    <row r="62" spans="1:3" x14ac:dyDescent="0.25">
      <c r="A62" t="s">
        <v>10</v>
      </c>
      <c r="B62">
        <v>2016</v>
      </c>
      <c r="C62">
        <v>-1.6</v>
      </c>
    </row>
    <row r="63" spans="1:3" x14ac:dyDescent="0.25">
      <c r="A63" t="s">
        <v>11</v>
      </c>
      <c r="B63">
        <v>2016</v>
      </c>
      <c r="C63">
        <v>-0.2</v>
      </c>
    </row>
    <row r="64" spans="1:3" x14ac:dyDescent="0.25">
      <c r="A64" t="s">
        <v>12</v>
      </c>
      <c r="B64">
        <v>2016</v>
      </c>
      <c r="C64">
        <v>-2.9</v>
      </c>
    </row>
    <row r="65" spans="1:3" x14ac:dyDescent="0.25">
      <c r="A65" t="s">
        <v>13</v>
      </c>
      <c r="B65">
        <v>2016</v>
      </c>
      <c r="C65">
        <v>-2.9</v>
      </c>
    </row>
    <row r="66" spans="1:3" x14ac:dyDescent="0.25">
      <c r="A66" t="s">
        <v>14</v>
      </c>
      <c r="B66">
        <v>2016</v>
      </c>
      <c r="C66">
        <v>-0.5</v>
      </c>
    </row>
    <row r="67" spans="1:3" x14ac:dyDescent="0.25">
      <c r="A67" t="s">
        <v>15</v>
      </c>
      <c r="B67">
        <v>2016</v>
      </c>
      <c r="C67">
        <v>0.4</v>
      </c>
    </row>
    <row r="68" spans="1:3" x14ac:dyDescent="0.25">
      <c r="A68" t="s">
        <v>16</v>
      </c>
      <c r="B68">
        <v>2016</v>
      </c>
      <c r="C68">
        <v>-3.2</v>
      </c>
    </row>
    <row r="69" spans="1:3" x14ac:dyDescent="0.25">
      <c r="A69" t="s">
        <v>17</v>
      </c>
      <c r="B69">
        <v>2016</v>
      </c>
      <c r="C69">
        <v>-0.7</v>
      </c>
    </row>
    <row r="70" spans="1:3" x14ac:dyDescent="0.25">
      <c r="A70" t="s">
        <v>18</v>
      </c>
      <c r="B70">
        <v>2016</v>
      </c>
      <c r="C70">
        <v>-1.7</v>
      </c>
    </row>
    <row r="71" spans="1:3" x14ac:dyDescent="0.25">
      <c r="A71" t="s">
        <v>19</v>
      </c>
      <c r="B71">
        <v>2016</v>
      </c>
      <c r="C71">
        <v>-2.4</v>
      </c>
    </row>
    <row r="72" spans="1:3" x14ac:dyDescent="0.25">
      <c r="A72" t="s">
        <v>20</v>
      </c>
      <c r="B72">
        <v>2016</v>
      </c>
      <c r="C72">
        <v>-2.2999999999999998</v>
      </c>
    </row>
    <row r="73" spans="1:3" x14ac:dyDescent="0.25">
      <c r="A73" t="s">
        <v>21</v>
      </c>
      <c r="B73">
        <v>2016</v>
      </c>
      <c r="C73">
        <v>-3.2</v>
      </c>
    </row>
    <row r="74" spans="1:3" x14ac:dyDescent="0.25">
      <c r="A74" t="s">
        <v>22</v>
      </c>
      <c r="B74">
        <v>2016</v>
      </c>
      <c r="C74">
        <v>-1.3</v>
      </c>
    </row>
    <row r="75" spans="1:3" x14ac:dyDescent="0.25">
      <c r="A75" t="s">
        <v>23</v>
      </c>
      <c r="B75">
        <v>2016</v>
      </c>
      <c r="C75">
        <v>0.7</v>
      </c>
    </row>
    <row r="76" spans="1:3" x14ac:dyDescent="0.25">
      <c r="A76" t="s">
        <v>24</v>
      </c>
      <c r="B76">
        <v>2016</v>
      </c>
      <c r="C76">
        <v>-2.2000000000000002</v>
      </c>
    </row>
    <row r="77" spans="1:3" x14ac:dyDescent="0.25">
      <c r="A77" t="s">
        <v>25</v>
      </c>
      <c r="B77">
        <v>2016</v>
      </c>
      <c r="C77">
        <v>-2.7</v>
      </c>
    </row>
    <row r="78" spans="1:3" x14ac:dyDescent="0.25">
      <c r="A78" t="s">
        <v>26</v>
      </c>
      <c r="B78">
        <v>2016</v>
      </c>
      <c r="C78">
        <v>-3</v>
      </c>
    </row>
    <row r="79" spans="1:3" x14ac:dyDescent="0.25">
      <c r="A79" t="s">
        <v>27</v>
      </c>
      <c r="B79">
        <v>2016</v>
      </c>
      <c r="C79">
        <v>-1.6</v>
      </c>
    </row>
    <row r="80" spans="1:3" x14ac:dyDescent="0.25">
      <c r="A80" t="s">
        <v>28</v>
      </c>
      <c r="B80">
        <v>2016</v>
      </c>
      <c r="C80">
        <v>0.4</v>
      </c>
    </row>
    <row r="81" spans="1:3" x14ac:dyDescent="0.25">
      <c r="A81" t="s">
        <v>29</v>
      </c>
      <c r="B81">
        <v>2016</v>
      </c>
      <c r="C81">
        <v>-0.6</v>
      </c>
    </row>
    <row r="82" spans="1:3" x14ac:dyDescent="0.25">
      <c r="A82" t="s">
        <v>30</v>
      </c>
      <c r="B82">
        <v>2016</v>
      </c>
      <c r="C82">
        <v>0.1</v>
      </c>
    </row>
    <row r="83" spans="1:3" x14ac:dyDescent="0.25">
      <c r="A83" t="s">
        <v>31</v>
      </c>
      <c r="B83">
        <v>2016</v>
      </c>
      <c r="C83">
        <v>-0.1</v>
      </c>
    </row>
    <row r="84" spans="1:3" x14ac:dyDescent="0.25">
      <c r="A84" t="s">
        <v>32</v>
      </c>
      <c r="B84">
        <v>2016</v>
      </c>
      <c r="C84">
        <v>-2.7</v>
      </c>
    </row>
    <row r="85" spans="1:3" x14ac:dyDescent="0.25">
      <c r="A85" t="s">
        <v>33</v>
      </c>
      <c r="B85">
        <v>2016</v>
      </c>
      <c r="C85">
        <v>-2.2000000000000002</v>
      </c>
    </row>
    <row r="86" spans="1:3" x14ac:dyDescent="0.25">
      <c r="A86" t="s">
        <v>34</v>
      </c>
      <c r="B86">
        <v>2016</v>
      </c>
      <c r="C86">
        <v>0.4</v>
      </c>
    </row>
    <row r="87" spans="1:3" x14ac:dyDescent="0.25">
      <c r="A87" t="s">
        <v>35</v>
      </c>
      <c r="B87">
        <v>2016</v>
      </c>
      <c r="C87">
        <v>-2.2999999999999998</v>
      </c>
    </row>
    <row r="88" spans="1:3" x14ac:dyDescent="0.25">
      <c r="A88" t="s">
        <v>36</v>
      </c>
      <c r="B88">
        <v>2016</v>
      </c>
      <c r="C88">
        <v>-0.9</v>
      </c>
    </row>
    <row r="89" spans="1:3" x14ac:dyDescent="0.25">
      <c r="A89" t="s">
        <v>37</v>
      </c>
      <c r="B89">
        <v>2016</v>
      </c>
      <c r="C89">
        <v>-2.6</v>
      </c>
    </row>
    <row r="90" spans="1:3" x14ac:dyDescent="0.25">
      <c r="A90" t="s">
        <v>38</v>
      </c>
      <c r="B90">
        <v>2016</v>
      </c>
      <c r="C90">
        <v>-2.2000000000000002</v>
      </c>
    </row>
    <row r="91" spans="1:3" x14ac:dyDescent="0.25">
      <c r="A91" t="s">
        <v>39</v>
      </c>
      <c r="B91">
        <v>2016</v>
      </c>
      <c r="C91">
        <v>-1.6</v>
      </c>
    </row>
    <row r="92" spans="1:3" x14ac:dyDescent="0.25">
      <c r="A92" t="s">
        <v>40</v>
      </c>
      <c r="B92">
        <v>2016</v>
      </c>
      <c r="C92">
        <v>-1.8</v>
      </c>
    </row>
    <row r="93" spans="1:3" x14ac:dyDescent="0.25">
      <c r="A93" t="s">
        <v>41</v>
      </c>
      <c r="B93">
        <v>2016</v>
      </c>
      <c r="C93">
        <v>-0.5</v>
      </c>
    </row>
    <row r="94" spans="1:3" x14ac:dyDescent="0.25">
      <c r="A94" t="s">
        <v>42</v>
      </c>
      <c r="B94">
        <v>2016</v>
      </c>
      <c r="C94">
        <v>-1.8</v>
      </c>
    </row>
    <row r="95" spans="1:3" x14ac:dyDescent="0.25">
      <c r="A95" t="s">
        <v>43</v>
      </c>
      <c r="B95">
        <v>2016</v>
      </c>
      <c r="C95">
        <v>-2.5</v>
      </c>
    </row>
    <row r="96" spans="1:3" x14ac:dyDescent="0.25">
      <c r="A96" t="s">
        <v>44</v>
      </c>
      <c r="B96">
        <v>2016</v>
      </c>
      <c r="C96">
        <v>-2.1</v>
      </c>
    </row>
    <row r="97" spans="1:3" x14ac:dyDescent="0.25">
      <c r="A97" t="s">
        <v>45</v>
      </c>
      <c r="B97">
        <v>2016</v>
      </c>
      <c r="C97">
        <v>-3</v>
      </c>
    </row>
    <row r="98" spans="1:3" x14ac:dyDescent="0.25">
      <c r="A98" t="s">
        <v>46</v>
      </c>
      <c r="B98">
        <v>2016</v>
      </c>
      <c r="C98">
        <v>-2.8</v>
      </c>
    </row>
    <row r="99" spans="1:3" x14ac:dyDescent="0.25">
      <c r="A99" t="s">
        <v>47</v>
      </c>
      <c r="B99">
        <v>2016</v>
      </c>
      <c r="C99">
        <v>-2.6</v>
      </c>
    </row>
    <row r="100" spans="1:3" x14ac:dyDescent="0.25">
      <c r="A100" t="s">
        <v>48</v>
      </c>
      <c r="B100">
        <v>2016</v>
      </c>
      <c r="C100">
        <v>-0.2</v>
      </c>
    </row>
    <row r="101" spans="1:3" x14ac:dyDescent="0.25">
      <c r="A101" t="s">
        <v>49</v>
      </c>
      <c r="B101">
        <v>2016</v>
      </c>
      <c r="C101">
        <v>0</v>
      </c>
    </row>
    <row r="102" spans="1:3" x14ac:dyDescent="0.25">
      <c r="A102" t="s">
        <v>50</v>
      </c>
      <c r="B102">
        <v>2016</v>
      </c>
      <c r="C102">
        <v>-0.8</v>
      </c>
    </row>
    <row r="103" spans="1:3" x14ac:dyDescent="0.25">
      <c r="A103" t="s">
        <v>51</v>
      </c>
      <c r="B103">
        <v>2016</v>
      </c>
      <c r="C103">
        <v>-1.6</v>
      </c>
    </row>
    <row r="104" spans="1:3" x14ac:dyDescent="0.25">
      <c r="A104" t="s">
        <v>52</v>
      </c>
      <c r="B104">
        <v>2016</v>
      </c>
      <c r="C104">
        <v>0.7</v>
      </c>
    </row>
    <row r="105" spans="1:3" x14ac:dyDescent="0.25">
      <c r="A105" t="s">
        <v>53</v>
      </c>
      <c r="B105">
        <v>2016</v>
      </c>
      <c r="C105">
        <v>-1</v>
      </c>
    </row>
    <row r="106" spans="1:3" x14ac:dyDescent="0.25">
      <c r="A106" t="s">
        <v>54</v>
      </c>
      <c r="B106">
        <v>2016</v>
      </c>
      <c r="C106">
        <v>-1.6</v>
      </c>
    </row>
    <row r="107" spans="1:3" x14ac:dyDescent="0.25">
      <c r="A107" t="s">
        <v>55</v>
      </c>
      <c r="B107">
        <v>2016</v>
      </c>
      <c r="C107">
        <v>-0.7</v>
      </c>
    </row>
    <row r="108" spans="1:3" x14ac:dyDescent="0.25">
      <c r="A108" t="s">
        <v>56</v>
      </c>
      <c r="B108">
        <v>2016</v>
      </c>
      <c r="C108">
        <v>-1.2</v>
      </c>
    </row>
    <row r="109" spans="1:3" x14ac:dyDescent="0.25">
      <c r="A109" t="s">
        <v>7</v>
      </c>
      <c r="B109">
        <v>2017</v>
      </c>
      <c r="C109">
        <v>1.2</v>
      </c>
    </row>
    <row r="110" spans="1:3" x14ac:dyDescent="0.25">
      <c r="A110" t="s">
        <v>8</v>
      </c>
      <c r="B110">
        <v>2017</v>
      </c>
      <c r="C110">
        <v>1.3</v>
      </c>
    </row>
    <row r="111" spans="1:3" x14ac:dyDescent="0.25">
      <c r="A111" t="s">
        <v>9</v>
      </c>
      <c r="B111">
        <v>2017</v>
      </c>
      <c r="C111">
        <v>4</v>
      </c>
    </row>
    <row r="112" spans="1:3" x14ac:dyDescent="0.25">
      <c r="A112" t="s">
        <v>10</v>
      </c>
      <c r="B112">
        <v>2017</v>
      </c>
      <c r="C112">
        <v>2.9</v>
      </c>
    </row>
    <row r="113" spans="1:3" x14ac:dyDescent="0.25">
      <c r="A113" t="s">
        <v>11</v>
      </c>
      <c r="B113">
        <v>2017</v>
      </c>
      <c r="C113">
        <v>3.7</v>
      </c>
    </row>
    <row r="114" spans="1:3" x14ac:dyDescent="0.25">
      <c r="A114" t="s">
        <v>12</v>
      </c>
      <c r="B114">
        <v>2017</v>
      </c>
      <c r="C114">
        <v>2.8</v>
      </c>
    </row>
    <row r="115" spans="1:3" x14ac:dyDescent="0.25">
      <c r="A115" t="s">
        <v>13</v>
      </c>
      <c r="B115">
        <v>2017</v>
      </c>
      <c r="C115">
        <v>1.3</v>
      </c>
    </row>
    <row r="116" spans="1:3" x14ac:dyDescent="0.25">
      <c r="A116" t="s">
        <v>14</v>
      </c>
      <c r="B116">
        <v>2017</v>
      </c>
      <c r="C116">
        <v>3.3</v>
      </c>
    </row>
    <row r="117" spans="1:3" x14ac:dyDescent="0.25">
      <c r="A117" t="s">
        <v>15</v>
      </c>
      <c r="B117">
        <v>2017</v>
      </c>
      <c r="C117">
        <v>3.2</v>
      </c>
    </row>
    <row r="118" spans="1:3" x14ac:dyDescent="0.25">
      <c r="A118" t="s">
        <v>16</v>
      </c>
      <c r="B118">
        <v>2017</v>
      </c>
      <c r="C118">
        <v>4</v>
      </c>
    </row>
    <row r="119" spans="1:3" x14ac:dyDescent="0.25">
      <c r="A119" t="s">
        <v>17</v>
      </c>
      <c r="B119">
        <v>2017</v>
      </c>
      <c r="C119">
        <v>2.2999999999999998</v>
      </c>
    </row>
    <row r="120" spans="1:3" x14ac:dyDescent="0.25">
      <c r="A120" t="s">
        <v>18</v>
      </c>
      <c r="B120">
        <v>2017</v>
      </c>
      <c r="C120">
        <v>0.4</v>
      </c>
    </row>
    <row r="121" spans="1:3" x14ac:dyDescent="0.25">
      <c r="A121" t="s">
        <v>19</v>
      </c>
      <c r="B121">
        <v>2017</v>
      </c>
      <c r="C121">
        <v>0.9</v>
      </c>
    </row>
    <row r="122" spans="1:3" x14ac:dyDescent="0.25">
      <c r="A122" t="s">
        <v>20</v>
      </c>
      <c r="B122">
        <v>2017</v>
      </c>
      <c r="C122">
        <v>1.8</v>
      </c>
    </row>
    <row r="123" spans="1:3" x14ac:dyDescent="0.25">
      <c r="A123" t="s">
        <v>21</v>
      </c>
      <c r="B123">
        <v>2017</v>
      </c>
      <c r="C123">
        <v>1.4</v>
      </c>
    </row>
    <row r="124" spans="1:3" x14ac:dyDescent="0.25">
      <c r="A124" t="s">
        <v>22</v>
      </c>
      <c r="B124">
        <v>2017</v>
      </c>
      <c r="C124">
        <v>0.3</v>
      </c>
    </row>
    <row r="125" spans="1:3" x14ac:dyDescent="0.25">
      <c r="A125" t="s">
        <v>23</v>
      </c>
      <c r="B125">
        <v>2017</v>
      </c>
      <c r="C125">
        <v>1.8</v>
      </c>
    </row>
    <row r="126" spans="1:3" x14ac:dyDescent="0.25">
      <c r="A126" t="s">
        <v>24</v>
      </c>
      <c r="B126">
        <v>2017</v>
      </c>
      <c r="C126">
        <v>1.1000000000000001</v>
      </c>
    </row>
    <row r="127" spans="1:3" x14ac:dyDescent="0.25">
      <c r="A127" t="s">
        <v>25</v>
      </c>
      <c r="B127">
        <v>2017</v>
      </c>
      <c r="C127">
        <v>3.2</v>
      </c>
    </row>
    <row r="128" spans="1:3" x14ac:dyDescent="0.25">
      <c r="A128" t="s">
        <v>26</v>
      </c>
      <c r="B128">
        <v>2017</v>
      </c>
      <c r="C128">
        <v>1.4</v>
      </c>
    </row>
    <row r="129" spans="1:3" x14ac:dyDescent="0.25">
      <c r="A129" t="s">
        <v>27</v>
      </c>
      <c r="B129">
        <v>2017</v>
      </c>
      <c r="C129">
        <v>4.0999999999999996</v>
      </c>
    </row>
    <row r="130" spans="1:3" x14ac:dyDescent="0.25">
      <c r="A130" t="s">
        <v>28</v>
      </c>
      <c r="B130">
        <v>2017</v>
      </c>
      <c r="C130">
        <v>2.7</v>
      </c>
    </row>
    <row r="131" spans="1:3" x14ac:dyDescent="0.25">
      <c r="A131" t="s">
        <v>29</v>
      </c>
      <c r="B131">
        <v>2017</v>
      </c>
      <c r="C131">
        <v>0.4</v>
      </c>
    </row>
    <row r="132" spans="1:3" x14ac:dyDescent="0.25">
      <c r="A132" t="s">
        <v>30</v>
      </c>
      <c r="B132">
        <v>2017</v>
      </c>
      <c r="C132">
        <v>2.4</v>
      </c>
    </row>
    <row r="133" spans="1:3" x14ac:dyDescent="0.25">
      <c r="A133" t="s">
        <v>31</v>
      </c>
      <c r="B133">
        <v>2017</v>
      </c>
      <c r="C133">
        <v>3.3</v>
      </c>
    </row>
    <row r="134" spans="1:3" x14ac:dyDescent="0.25">
      <c r="A134" t="s">
        <v>32</v>
      </c>
      <c r="B134">
        <v>2017</v>
      </c>
      <c r="C134">
        <v>1.3</v>
      </c>
    </row>
    <row r="135" spans="1:3" x14ac:dyDescent="0.25">
      <c r="A135" t="s">
        <v>33</v>
      </c>
      <c r="B135">
        <v>2017</v>
      </c>
      <c r="C135">
        <v>0.4</v>
      </c>
    </row>
    <row r="136" spans="1:3" x14ac:dyDescent="0.25">
      <c r="A136" t="s">
        <v>34</v>
      </c>
      <c r="B136">
        <v>2017</v>
      </c>
      <c r="C136">
        <v>2.1</v>
      </c>
    </row>
    <row r="137" spans="1:3" x14ac:dyDescent="0.25">
      <c r="A137" t="s">
        <v>35</v>
      </c>
      <c r="B137">
        <v>2017</v>
      </c>
      <c r="C137">
        <v>0.6</v>
      </c>
    </row>
    <row r="138" spans="1:3" x14ac:dyDescent="0.25">
      <c r="A138" t="s">
        <v>36</v>
      </c>
      <c r="B138">
        <v>2017</v>
      </c>
      <c r="C138">
        <v>2.2999999999999998</v>
      </c>
    </row>
    <row r="139" spans="1:3" x14ac:dyDescent="0.25">
      <c r="A139" t="s">
        <v>37</v>
      </c>
      <c r="B139">
        <v>2017</v>
      </c>
      <c r="C139">
        <v>2.6</v>
      </c>
    </row>
    <row r="140" spans="1:3" x14ac:dyDescent="0.25">
      <c r="A140" t="s">
        <v>38</v>
      </c>
      <c r="B140">
        <v>2017</v>
      </c>
      <c r="C140">
        <v>0.6</v>
      </c>
    </row>
    <row r="141" spans="1:3" x14ac:dyDescent="0.25">
      <c r="A141" t="s">
        <v>39</v>
      </c>
      <c r="B141">
        <v>2017</v>
      </c>
      <c r="C141">
        <v>3.8</v>
      </c>
    </row>
    <row r="142" spans="1:3" x14ac:dyDescent="0.25">
      <c r="A142" t="s">
        <v>40</v>
      </c>
      <c r="B142">
        <v>2017</v>
      </c>
      <c r="C142">
        <v>3.7</v>
      </c>
    </row>
    <row r="143" spans="1:3" x14ac:dyDescent="0.25">
      <c r="A143" t="s">
        <v>41</v>
      </c>
      <c r="B143">
        <v>2017</v>
      </c>
      <c r="C143">
        <v>4</v>
      </c>
    </row>
    <row r="144" spans="1:3" x14ac:dyDescent="0.25">
      <c r="A144" t="s">
        <v>42</v>
      </c>
      <c r="B144">
        <v>2017</v>
      </c>
      <c r="C144">
        <v>0.7</v>
      </c>
    </row>
    <row r="145" spans="1:3" x14ac:dyDescent="0.25">
      <c r="A145" t="s">
        <v>43</v>
      </c>
      <c r="B145">
        <v>2017</v>
      </c>
      <c r="C145">
        <v>1.6</v>
      </c>
    </row>
    <row r="146" spans="1:3" x14ac:dyDescent="0.25">
      <c r="A146" t="s">
        <v>44</v>
      </c>
      <c r="B146">
        <v>2017</v>
      </c>
      <c r="C146">
        <v>3.5</v>
      </c>
    </row>
    <row r="147" spans="1:3" x14ac:dyDescent="0.25">
      <c r="A147" t="s">
        <v>45</v>
      </c>
      <c r="B147">
        <v>2017</v>
      </c>
      <c r="C147">
        <v>0.7</v>
      </c>
    </row>
    <row r="148" spans="1:3" x14ac:dyDescent="0.25">
      <c r="A148" t="s">
        <v>46</v>
      </c>
      <c r="B148">
        <v>2017</v>
      </c>
      <c r="C148">
        <v>1.5</v>
      </c>
    </row>
    <row r="149" spans="1:3" x14ac:dyDescent="0.25">
      <c r="A149" t="s">
        <v>47</v>
      </c>
      <c r="B149">
        <v>2017</v>
      </c>
      <c r="C149">
        <v>1.3</v>
      </c>
    </row>
    <row r="150" spans="1:3" x14ac:dyDescent="0.25">
      <c r="A150" t="s">
        <v>48</v>
      </c>
      <c r="B150">
        <v>2017</v>
      </c>
      <c r="C150">
        <v>0.8</v>
      </c>
    </row>
    <row r="151" spans="1:3" x14ac:dyDescent="0.25">
      <c r="A151" t="s">
        <v>49</v>
      </c>
      <c r="B151">
        <v>2017</v>
      </c>
      <c r="C151">
        <v>0.8</v>
      </c>
    </row>
    <row r="152" spans="1:3" x14ac:dyDescent="0.25">
      <c r="A152" t="s">
        <v>50</v>
      </c>
      <c r="B152">
        <v>2017</v>
      </c>
      <c r="C152">
        <v>0.4</v>
      </c>
    </row>
    <row r="153" spans="1:3" x14ac:dyDescent="0.25">
      <c r="A153" t="s">
        <v>51</v>
      </c>
      <c r="B153">
        <v>2017</v>
      </c>
      <c r="C153">
        <v>2.8</v>
      </c>
    </row>
    <row r="154" spans="1:3" x14ac:dyDescent="0.25">
      <c r="A154" t="s">
        <v>52</v>
      </c>
      <c r="B154">
        <v>2017</v>
      </c>
      <c r="C154">
        <v>3.6</v>
      </c>
    </row>
    <row r="155" spans="1:3" x14ac:dyDescent="0.25">
      <c r="A155" t="s">
        <v>53</v>
      </c>
      <c r="B155">
        <v>2017</v>
      </c>
      <c r="C155">
        <v>1.8</v>
      </c>
    </row>
    <row r="156" spans="1:3" x14ac:dyDescent="0.25">
      <c r="A156" t="s">
        <v>54</v>
      </c>
      <c r="B156">
        <v>2017</v>
      </c>
      <c r="C156">
        <v>2.2000000000000002</v>
      </c>
    </row>
    <row r="157" spans="1:3" x14ac:dyDescent="0.25">
      <c r="A157" t="s">
        <v>55</v>
      </c>
      <c r="B157">
        <v>2017</v>
      </c>
      <c r="C157">
        <v>2.1</v>
      </c>
    </row>
    <row r="158" spans="1:3" x14ac:dyDescent="0.25">
      <c r="A158" t="s">
        <v>56</v>
      </c>
      <c r="B158">
        <v>2017</v>
      </c>
      <c r="C158">
        <v>4.0999999999999996</v>
      </c>
    </row>
    <row r="159" spans="1:3" x14ac:dyDescent="0.25">
      <c r="A159" t="s">
        <v>7</v>
      </c>
      <c r="B159">
        <v>2018</v>
      </c>
      <c r="C159">
        <v>8.3000000000000007</v>
      </c>
    </row>
    <row r="160" spans="1:3" x14ac:dyDescent="0.25">
      <c r="A160" t="s">
        <v>8</v>
      </c>
      <c r="B160">
        <v>2018</v>
      </c>
      <c r="C160">
        <v>6.1</v>
      </c>
    </row>
    <row r="161" spans="1:3" x14ac:dyDescent="0.25">
      <c r="A161" t="s">
        <v>9</v>
      </c>
      <c r="B161">
        <v>2018</v>
      </c>
      <c r="C161">
        <v>7.8</v>
      </c>
    </row>
    <row r="162" spans="1:3" x14ac:dyDescent="0.25">
      <c r="A162" t="s">
        <v>10</v>
      </c>
      <c r="B162">
        <v>2018</v>
      </c>
      <c r="C162">
        <v>6.4</v>
      </c>
    </row>
    <row r="163" spans="1:3" x14ac:dyDescent="0.25">
      <c r="A163" t="s">
        <v>11</v>
      </c>
      <c r="B163">
        <v>2018</v>
      </c>
      <c r="C163">
        <v>8.1999999999999993</v>
      </c>
    </row>
    <row r="164" spans="1:3" x14ac:dyDescent="0.25">
      <c r="A164" t="s">
        <v>12</v>
      </c>
      <c r="B164">
        <v>2018</v>
      </c>
      <c r="C164">
        <v>8.8000000000000007</v>
      </c>
    </row>
    <row r="165" spans="1:3" x14ac:dyDescent="0.25">
      <c r="A165" t="s">
        <v>13</v>
      </c>
      <c r="B165">
        <v>2018</v>
      </c>
      <c r="C165">
        <v>7.2</v>
      </c>
    </row>
    <row r="166" spans="1:3" x14ac:dyDescent="0.25">
      <c r="A166" t="s">
        <v>14</v>
      </c>
      <c r="B166">
        <v>2018</v>
      </c>
      <c r="C166">
        <v>8.1999999999999993</v>
      </c>
    </row>
    <row r="167" spans="1:3" x14ac:dyDescent="0.25">
      <c r="A167" t="s">
        <v>15</v>
      </c>
      <c r="B167">
        <v>2018</v>
      </c>
      <c r="C167">
        <v>9.3000000000000007</v>
      </c>
    </row>
    <row r="168" spans="1:3" x14ac:dyDescent="0.25">
      <c r="A168" t="s">
        <v>16</v>
      </c>
      <c r="B168">
        <v>2018</v>
      </c>
      <c r="C168">
        <v>8.6</v>
      </c>
    </row>
    <row r="169" spans="1:3" x14ac:dyDescent="0.25">
      <c r="A169" t="s">
        <v>17</v>
      </c>
      <c r="B169">
        <v>2018</v>
      </c>
      <c r="C169">
        <v>9.4</v>
      </c>
    </row>
    <row r="170" spans="1:3" x14ac:dyDescent="0.25">
      <c r="A170" t="s">
        <v>18</v>
      </c>
      <c r="B170">
        <v>2018</v>
      </c>
      <c r="C170">
        <v>6.3</v>
      </c>
    </row>
    <row r="171" spans="1:3" x14ac:dyDescent="0.25">
      <c r="A171" t="s">
        <v>19</v>
      </c>
      <c r="B171">
        <v>2018</v>
      </c>
      <c r="C171">
        <v>5.2</v>
      </c>
    </row>
    <row r="172" spans="1:3" x14ac:dyDescent="0.25">
      <c r="A172" t="s">
        <v>20</v>
      </c>
      <c r="B172">
        <v>2018</v>
      </c>
      <c r="C172">
        <v>7.8</v>
      </c>
    </row>
    <row r="173" spans="1:3" x14ac:dyDescent="0.25">
      <c r="A173" t="s">
        <v>21</v>
      </c>
      <c r="B173">
        <v>2018</v>
      </c>
      <c r="C173">
        <v>6.4</v>
      </c>
    </row>
    <row r="174" spans="1:3" x14ac:dyDescent="0.25">
      <c r="A174" t="s">
        <v>22</v>
      </c>
      <c r="B174">
        <v>2018</v>
      </c>
      <c r="C174">
        <v>8.1</v>
      </c>
    </row>
    <row r="175" spans="1:3" x14ac:dyDescent="0.25">
      <c r="A175" t="s">
        <v>23</v>
      </c>
      <c r="B175">
        <v>2018</v>
      </c>
      <c r="C175">
        <v>7.5</v>
      </c>
    </row>
    <row r="176" spans="1:3" x14ac:dyDescent="0.25">
      <c r="A176" t="s">
        <v>24</v>
      </c>
      <c r="B176">
        <v>2018</v>
      </c>
      <c r="C176">
        <v>5.2</v>
      </c>
    </row>
    <row r="177" spans="1:3" x14ac:dyDescent="0.25">
      <c r="A177" t="s">
        <v>25</v>
      </c>
      <c r="B177">
        <v>2018</v>
      </c>
      <c r="C177">
        <v>5.2</v>
      </c>
    </row>
    <row r="178" spans="1:3" x14ac:dyDescent="0.25">
      <c r="A178" t="s">
        <v>26</v>
      </c>
      <c r="B178">
        <v>2018</v>
      </c>
      <c r="C178">
        <v>6.2</v>
      </c>
    </row>
    <row r="179" spans="1:3" x14ac:dyDescent="0.25">
      <c r="A179" t="s">
        <v>27</v>
      </c>
      <c r="B179">
        <v>2018</v>
      </c>
      <c r="C179">
        <v>6.1</v>
      </c>
    </row>
    <row r="180" spans="1:3" x14ac:dyDescent="0.25">
      <c r="A180" t="s">
        <v>28</v>
      </c>
      <c r="B180">
        <v>2018</v>
      </c>
      <c r="C180">
        <v>7</v>
      </c>
    </row>
    <row r="181" spans="1:3" x14ac:dyDescent="0.25">
      <c r="A181" t="s">
        <v>29</v>
      </c>
      <c r="B181">
        <v>2018</v>
      </c>
      <c r="C181">
        <v>8</v>
      </c>
    </row>
    <row r="182" spans="1:3" x14ac:dyDescent="0.25">
      <c r="A182" t="s">
        <v>30</v>
      </c>
      <c r="B182">
        <v>2018</v>
      </c>
      <c r="C182">
        <v>7.4</v>
      </c>
    </row>
    <row r="183" spans="1:3" x14ac:dyDescent="0.25">
      <c r="A183" t="s">
        <v>31</v>
      </c>
      <c r="B183">
        <v>2018</v>
      </c>
      <c r="C183">
        <v>8</v>
      </c>
    </row>
    <row r="184" spans="1:3" x14ac:dyDescent="0.25">
      <c r="A184" t="s">
        <v>32</v>
      </c>
      <c r="B184">
        <v>2018</v>
      </c>
      <c r="C184">
        <v>9</v>
      </c>
    </row>
    <row r="185" spans="1:3" x14ac:dyDescent="0.25">
      <c r="A185" t="s">
        <v>33</v>
      </c>
      <c r="B185">
        <v>2018</v>
      </c>
      <c r="C185">
        <v>7.9</v>
      </c>
    </row>
    <row r="186" spans="1:3" x14ac:dyDescent="0.25">
      <c r="A186" t="s">
        <v>34</v>
      </c>
      <c r="B186">
        <v>2018</v>
      </c>
      <c r="C186">
        <v>7</v>
      </c>
    </row>
    <row r="187" spans="1:3" x14ac:dyDescent="0.25">
      <c r="A187" t="s">
        <v>35</v>
      </c>
      <c r="B187">
        <v>2018</v>
      </c>
      <c r="C187">
        <v>8.9</v>
      </c>
    </row>
    <row r="188" spans="1:3" x14ac:dyDescent="0.25">
      <c r="A188" t="s">
        <v>36</v>
      </c>
      <c r="B188">
        <v>2018</v>
      </c>
      <c r="C188">
        <v>8.1</v>
      </c>
    </row>
    <row r="189" spans="1:3" x14ac:dyDescent="0.25">
      <c r="A189" t="s">
        <v>37</v>
      </c>
      <c r="B189">
        <v>2018</v>
      </c>
      <c r="C189">
        <v>6.6</v>
      </c>
    </row>
    <row r="190" spans="1:3" x14ac:dyDescent="0.25">
      <c r="A190" t="s">
        <v>38</v>
      </c>
      <c r="B190">
        <v>2018</v>
      </c>
      <c r="C190">
        <v>6.6</v>
      </c>
    </row>
    <row r="191" spans="1:3" x14ac:dyDescent="0.25">
      <c r="A191" t="s">
        <v>39</v>
      </c>
      <c r="B191">
        <v>2018</v>
      </c>
      <c r="C191">
        <v>6.1</v>
      </c>
    </row>
    <row r="192" spans="1:3" x14ac:dyDescent="0.25">
      <c r="A192" t="s">
        <v>40</v>
      </c>
      <c r="B192">
        <v>2018</v>
      </c>
      <c r="C192">
        <v>7.8</v>
      </c>
    </row>
    <row r="193" spans="1:3" x14ac:dyDescent="0.25">
      <c r="A193" t="s">
        <v>41</v>
      </c>
      <c r="B193">
        <v>2018</v>
      </c>
      <c r="C193">
        <v>8.6999999999999993</v>
      </c>
    </row>
    <row r="194" spans="1:3" x14ac:dyDescent="0.25">
      <c r="A194" t="s">
        <v>42</v>
      </c>
      <c r="B194">
        <v>2018</v>
      </c>
      <c r="C194">
        <v>9</v>
      </c>
    </row>
    <row r="195" spans="1:3" x14ac:dyDescent="0.25">
      <c r="A195" t="s">
        <v>43</v>
      </c>
      <c r="B195">
        <v>2018</v>
      </c>
      <c r="C195">
        <v>7.2</v>
      </c>
    </row>
    <row r="196" spans="1:3" x14ac:dyDescent="0.25">
      <c r="A196" t="s">
        <v>44</v>
      </c>
      <c r="B196">
        <v>2018</v>
      </c>
      <c r="C196">
        <v>5.4</v>
      </c>
    </row>
    <row r="197" spans="1:3" x14ac:dyDescent="0.25">
      <c r="A197" t="s">
        <v>45</v>
      </c>
      <c r="B197">
        <v>2018</v>
      </c>
      <c r="C197">
        <v>7.9</v>
      </c>
    </row>
    <row r="198" spans="1:3" x14ac:dyDescent="0.25">
      <c r="A198" t="s">
        <v>46</v>
      </c>
      <c r="B198">
        <v>2018</v>
      </c>
      <c r="C198">
        <v>6</v>
      </c>
    </row>
    <row r="199" spans="1:3" x14ac:dyDescent="0.25">
      <c r="A199" t="s">
        <v>47</v>
      </c>
      <c r="B199">
        <v>2018</v>
      </c>
      <c r="C199">
        <v>8.8000000000000007</v>
      </c>
    </row>
    <row r="200" spans="1:3" x14ac:dyDescent="0.25">
      <c r="A200" t="s">
        <v>48</v>
      </c>
      <c r="B200">
        <v>2018</v>
      </c>
      <c r="C200">
        <v>5.0999999999999996</v>
      </c>
    </row>
    <row r="201" spans="1:3" x14ac:dyDescent="0.25">
      <c r="A201" t="s">
        <v>49</v>
      </c>
      <c r="B201">
        <v>2018</v>
      </c>
      <c r="C201">
        <v>7</v>
      </c>
    </row>
    <row r="202" spans="1:3" x14ac:dyDescent="0.25">
      <c r="A202" t="s">
        <v>50</v>
      </c>
      <c r="B202">
        <v>2018</v>
      </c>
      <c r="C202">
        <v>8</v>
      </c>
    </row>
    <row r="203" spans="1:3" x14ac:dyDescent="0.25">
      <c r="A203" t="s">
        <v>51</v>
      </c>
      <c r="B203">
        <v>2018</v>
      </c>
      <c r="C203">
        <v>5.7</v>
      </c>
    </row>
    <row r="204" spans="1:3" x14ac:dyDescent="0.25">
      <c r="A204" t="s">
        <v>52</v>
      </c>
      <c r="B204">
        <v>2018</v>
      </c>
      <c r="C204">
        <v>6.6</v>
      </c>
    </row>
    <row r="205" spans="1:3" x14ac:dyDescent="0.25">
      <c r="A205" t="s">
        <v>53</v>
      </c>
      <c r="B205">
        <v>2018</v>
      </c>
      <c r="C205">
        <v>7</v>
      </c>
    </row>
    <row r="206" spans="1:3" x14ac:dyDescent="0.25">
      <c r="A206" t="s">
        <v>54</v>
      </c>
      <c r="B206">
        <v>2018</v>
      </c>
      <c r="C206">
        <v>8.1999999999999993</v>
      </c>
    </row>
    <row r="207" spans="1:3" x14ac:dyDescent="0.25">
      <c r="A207" t="s">
        <v>55</v>
      </c>
      <c r="B207">
        <v>2018</v>
      </c>
      <c r="C207">
        <v>5.5</v>
      </c>
    </row>
    <row r="208" spans="1:3" x14ac:dyDescent="0.25">
      <c r="A208" t="s">
        <v>56</v>
      </c>
      <c r="B208">
        <v>2018</v>
      </c>
      <c r="C208">
        <v>5.3</v>
      </c>
    </row>
    <row r="209" spans="1:3" x14ac:dyDescent="0.25">
      <c r="A209" t="s">
        <v>7</v>
      </c>
      <c r="B209">
        <v>2019</v>
      </c>
      <c r="C209">
        <v>3.1</v>
      </c>
    </row>
    <row r="210" spans="1:3" x14ac:dyDescent="0.25">
      <c r="A210" t="s">
        <v>8</v>
      </c>
      <c r="B210">
        <v>2019</v>
      </c>
      <c r="C210">
        <v>2.6</v>
      </c>
    </row>
    <row r="211" spans="1:3" x14ac:dyDescent="0.25">
      <c r="A211" t="s">
        <v>9</v>
      </c>
      <c r="B211">
        <v>2019</v>
      </c>
      <c r="C211">
        <v>4.4000000000000004</v>
      </c>
    </row>
    <row r="212" spans="1:3" x14ac:dyDescent="0.25">
      <c r="A212" t="s">
        <v>10</v>
      </c>
      <c r="B212">
        <v>2019</v>
      </c>
      <c r="C212">
        <v>3.8</v>
      </c>
    </row>
    <row r="213" spans="1:3" x14ac:dyDescent="0.25">
      <c r="A213" t="s">
        <v>11</v>
      </c>
      <c r="B213">
        <v>2019</v>
      </c>
      <c r="C213">
        <v>4.0999999999999996</v>
      </c>
    </row>
    <row r="214" spans="1:3" x14ac:dyDescent="0.25">
      <c r="A214" t="s">
        <v>12</v>
      </c>
      <c r="B214">
        <v>2019</v>
      </c>
      <c r="C214">
        <v>2.7</v>
      </c>
    </row>
    <row r="215" spans="1:3" x14ac:dyDescent="0.25">
      <c r="A215" t="s">
        <v>13</v>
      </c>
      <c r="B215">
        <v>2019</v>
      </c>
      <c r="C215">
        <v>5.3</v>
      </c>
    </row>
    <row r="216" spans="1:3" x14ac:dyDescent="0.25">
      <c r="A216" t="s">
        <v>14</v>
      </c>
      <c r="B216">
        <v>2019</v>
      </c>
      <c r="C216">
        <v>4.8</v>
      </c>
    </row>
    <row r="217" spans="1:3" x14ac:dyDescent="0.25">
      <c r="A217" t="s">
        <v>15</v>
      </c>
      <c r="B217">
        <v>2019</v>
      </c>
      <c r="C217">
        <v>2.8</v>
      </c>
    </row>
    <row r="218" spans="1:3" x14ac:dyDescent="0.25">
      <c r="A218" t="s">
        <v>16</v>
      </c>
      <c r="B218">
        <v>2019</v>
      </c>
      <c r="C218">
        <v>3.1</v>
      </c>
    </row>
    <row r="219" spans="1:3" x14ac:dyDescent="0.25">
      <c r="A219" t="s">
        <v>17</v>
      </c>
      <c r="B219">
        <v>2019</v>
      </c>
      <c r="C219">
        <v>4.7</v>
      </c>
    </row>
    <row r="220" spans="1:3" x14ac:dyDescent="0.25">
      <c r="A220" t="s">
        <v>18</v>
      </c>
      <c r="B220">
        <v>2019</v>
      </c>
      <c r="C220">
        <v>2.4</v>
      </c>
    </row>
    <row r="221" spans="1:3" x14ac:dyDescent="0.25">
      <c r="A221" t="s">
        <v>19</v>
      </c>
      <c r="B221">
        <v>2019</v>
      </c>
      <c r="C221">
        <v>2.1</v>
      </c>
    </row>
    <row r="222" spans="1:3" x14ac:dyDescent="0.25">
      <c r="A222" t="s">
        <v>20</v>
      </c>
      <c r="B222">
        <v>2019</v>
      </c>
      <c r="C222">
        <v>4.4000000000000004</v>
      </c>
    </row>
    <row r="223" spans="1:3" x14ac:dyDescent="0.25">
      <c r="A223" t="s">
        <v>21</v>
      </c>
      <c r="B223">
        <v>2019</v>
      </c>
      <c r="C223">
        <v>5.4</v>
      </c>
    </row>
    <row r="224" spans="1:3" x14ac:dyDescent="0.25">
      <c r="A224" t="s">
        <v>22</v>
      </c>
      <c r="B224">
        <v>2019</v>
      </c>
      <c r="C224">
        <v>4.7</v>
      </c>
    </row>
    <row r="225" spans="1:3" x14ac:dyDescent="0.25">
      <c r="A225" t="s">
        <v>23</v>
      </c>
      <c r="B225">
        <v>2019</v>
      </c>
      <c r="C225">
        <v>5.8</v>
      </c>
    </row>
    <row r="226" spans="1:3" x14ac:dyDescent="0.25">
      <c r="A226" t="s">
        <v>24</v>
      </c>
      <c r="B226">
        <v>2019</v>
      </c>
      <c r="C226">
        <v>4.3</v>
      </c>
    </row>
    <row r="227" spans="1:3" x14ac:dyDescent="0.25">
      <c r="A227" t="s">
        <v>25</v>
      </c>
      <c r="B227">
        <v>2019</v>
      </c>
      <c r="C227">
        <v>4.5</v>
      </c>
    </row>
    <row r="228" spans="1:3" x14ac:dyDescent="0.25">
      <c r="A228" t="s">
        <v>26</v>
      </c>
      <c r="B228">
        <v>2019</v>
      </c>
      <c r="C228">
        <v>3.8</v>
      </c>
    </row>
    <row r="229" spans="1:3" x14ac:dyDescent="0.25">
      <c r="A229" t="s">
        <v>27</v>
      </c>
      <c r="B229">
        <v>2019</v>
      </c>
      <c r="C229">
        <v>2.9</v>
      </c>
    </row>
    <row r="230" spans="1:3" x14ac:dyDescent="0.25">
      <c r="A230" t="s">
        <v>28</v>
      </c>
      <c r="B230">
        <v>2019</v>
      </c>
      <c r="C230">
        <v>5.3</v>
      </c>
    </row>
    <row r="231" spans="1:3" x14ac:dyDescent="0.25">
      <c r="A231" t="s">
        <v>29</v>
      </c>
      <c r="B231">
        <v>2019</v>
      </c>
      <c r="C231">
        <v>3.6</v>
      </c>
    </row>
    <row r="232" spans="1:3" x14ac:dyDescent="0.25">
      <c r="A232" t="s">
        <v>30</v>
      </c>
      <c r="B232">
        <v>2019</v>
      </c>
      <c r="C232">
        <v>5.7</v>
      </c>
    </row>
    <row r="233" spans="1:3" x14ac:dyDescent="0.25">
      <c r="A233" t="s">
        <v>31</v>
      </c>
      <c r="B233">
        <v>2019</v>
      </c>
      <c r="C233">
        <v>4.9000000000000004</v>
      </c>
    </row>
    <row r="234" spans="1:3" x14ac:dyDescent="0.25">
      <c r="A234" t="s">
        <v>32</v>
      </c>
      <c r="B234">
        <v>2019</v>
      </c>
      <c r="C234">
        <v>2.2999999999999998</v>
      </c>
    </row>
    <row r="235" spans="1:3" x14ac:dyDescent="0.25">
      <c r="A235" t="s">
        <v>33</v>
      </c>
      <c r="B235">
        <v>2019</v>
      </c>
      <c r="C235">
        <v>2.2000000000000002</v>
      </c>
    </row>
    <row r="236" spans="1:3" x14ac:dyDescent="0.25">
      <c r="A236" t="s">
        <v>34</v>
      </c>
      <c r="B236">
        <v>2019</v>
      </c>
      <c r="C236">
        <v>4.4000000000000004</v>
      </c>
    </row>
    <row r="237" spans="1:3" x14ac:dyDescent="0.25">
      <c r="A237" t="s">
        <v>35</v>
      </c>
      <c r="B237">
        <v>2019</v>
      </c>
      <c r="C237">
        <v>2.2999999999999998</v>
      </c>
    </row>
    <row r="238" spans="1:3" x14ac:dyDescent="0.25">
      <c r="A238" t="s">
        <v>36</v>
      </c>
      <c r="B238">
        <v>2019</v>
      </c>
      <c r="C238">
        <v>5.5</v>
      </c>
    </row>
    <row r="239" spans="1:3" x14ac:dyDescent="0.25">
      <c r="A239" t="s">
        <v>37</v>
      </c>
      <c r="B239">
        <v>2019</v>
      </c>
      <c r="C239">
        <v>5</v>
      </c>
    </row>
    <row r="240" spans="1:3" x14ac:dyDescent="0.25">
      <c r="A240" t="s">
        <v>38</v>
      </c>
      <c r="B240">
        <v>2019</v>
      </c>
      <c r="C240">
        <v>3.6</v>
      </c>
    </row>
    <row r="241" spans="1:3" x14ac:dyDescent="0.25">
      <c r="A241" t="s">
        <v>39</v>
      </c>
      <c r="B241">
        <v>2019</v>
      </c>
      <c r="C241">
        <v>3.2</v>
      </c>
    </row>
    <row r="242" spans="1:3" x14ac:dyDescent="0.25">
      <c r="A242" t="s">
        <v>40</v>
      </c>
      <c r="B242">
        <v>2019</v>
      </c>
      <c r="C242">
        <v>5</v>
      </c>
    </row>
    <row r="243" spans="1:3" x14ac:dyDescent="0.25">
      <c r="A243" t="s">
        <v>41</v>
      </c>
      <c r="B243">
        <v>2019</v>
      </c>
      <c r="C243">
        <v>5.4</v>
      </c>
    </row>
    <row r="244" spans="1:3" x14ac:dyDescent="0.25">
      <c r="A244" t="s">
        <v>42</v>
      </c>
      <c r="B244">
        <v>2019</v>
      </c>
      <c r="C244">
        <v>3.3</v>
      </c>
    </row>
    <row r="245" spans="1:3" x14ac:dyDescent="0.25">
      <c r="A245" t="s">
        <v>43</v>
      </c>
      <c r="B245">
        <v>2019</v>
      </c>
      <c r="C245">
        <v>3.8</v>
      </c>
    </row>
    <row r="246" spans="1:3" x14ac:dyDescent="0.25">
      <c r="A246" t="s">
        <v>44</v>
      </c>
      <c r="B246">
        <v>2019</v>
      </c>
      <c r="C246">
        <v>2.9</v>
      </c>
    </row>
    <row r="247" spans="1:3" x14ac:dyDescent="0.25">
      <c r="A247" t="s">
        <v>45</v>
      </c>
      <c r="B247">
        <v>2019</v>
      </c>
      <c r="C247">
        <v>5.8</v>
      </c>
    </row>
    <row r="248" spans="1:3" x14ac:dyDescent="0.25">
      <c r="A248" t="s">
        <v>46</v>
      </c>
      <c r="B248">
        <v>2019</v>
      </c>
      <c r="C248">
        <v>3.7</v>
      </c>
    </row>
    <row r="249" spans="1:3" x14ac:dyDescent="0.25">
      <c r="A249" t="s">
        <v>47</v>
      </c>
      <c r="B249">
        <v>2019</v>
      </c>
      <c r="C249">
        <v>2</v>
      </c>
    </row>
    <row r="250" spans="1:3" x14ac:dyDescent="0.25">
      <c r="A250" t="s">
        <v>48</v>
      </c>
      <c r="B250">
        <v>2019</v>
      </c>
      <c r="C250">
        <v>4.7</v>
      </c>
    </row>
    <row r="251" spans="1:3" x14ac:dyDescent="0.25">
      <c r="A251" t="s">
        <v>49</v>
      </c>
      <c r="B251">
        <v>2019</v>
      </c>
      <c r="C251">
        <v>2.2000000000000002</v>
      </c>
    </row>
    <row r="252" spans="1:3" x14ac:dyDescent="0.25">
      <c r="A252" t="s">
        <v>50</v>
      </c>
      <c r="B252">
        <v>2019</v>
      </c>
      <c r="C252">
        <v>4.0999999999999996</v>
      </c>
    </row>
    <row r="253" spans="1:3" x14ac:dyDescent="0.25">
      <c r="A253" t="s">
        <v>51</v>
      </c>
      <c r="B253">
        <v>2019</v>
      </c>
      <c r="C253">
        <v>4.7</v>
      </c>
    </row>
    <row r="254" spans="1:3" x14ac:dyDescent="0.25">
      <c r="A254" t="s">
        <v>52</v>
      </c>
      <c r="B254">
        <v>2019</v>
      </c>
      <c r="C254">
        <v>2.7</v>
      </c>
    </row>
    <row r="255" spans="1:3" x14ac:dyDescent="0.25">
      <c r="A255" t="s">
        <v>53</v>
      </c>
      <c r="B255">
        <v>2019</v>
      </c>
      <c r="C255">
        <v>4.4000000000000004</v>
      </c>
    </row>
    <row r="256" spans="1:3" x14ac:dyDescent="0.25">
      <c r="A256" t="s">
        <v>54</v>
      </c>
      <c r="B256">
        <v>2019</v>
      </c>
      <c r="C256">
        <v>4.4000000000000004</v>
      </c>
    </row>
    <row r="257" spans="1:3" x14ac:dyDescent="0.25">
      <c r="A257" t="s">
        <v>55</v>
      </c>
      <c r="B257">
        <v>2019</v>
      </c>
      <c r="C257">
        <v>2.9</v>
      </c>
    </row>
    <row r="258" spans="1:3" x14ac:dyDescent="0.25">
      <c r="A258" t="s">
        <v>56</v>
      </c>
      <c r="B258">
        <v>2019</v>
      </c>
      <c r="C258">
        <v>5.7</v>
      </c>
    </row>
    <row r="259" spans="1:3" x14ac:dyDescent="0.25">
      <c r="A259" t="s">
        <v>7</v>
      </c>
      <c r="B259">
        <v>2020</v>
      </c>
      <c r="C259">
        <v>6.5</v>
      </c>
    </row>
    <row r="260" spans="1:3" x14ac:dyDescent="0.25">
      <c r="A260" t="s">
        <v>8</v>
      </c>
      <c r="B260">
        <v>2020</v>
      </c>
      <c r="C260">
        <v>4.7</v>
      </c>
    </row>
    <row r="261" spans="1:3" x14ac:dyDescent="0.25">
      <c r="A261" t="s">
        <v>9</v>
      </c>
      <c r="B261">
        <v>2020</v>
      </c>
      <c r="C261">
        <v>6.4</v>
      </c>
    </row>
    <row r="262" spans="1:3" x14ac:dyDescent="0.25">
      <c r="A262" t="s">
        <v>10</v>
      </c>
      <c r="B262">
        <v>2020</v>
      </c>
      <c r="C262">
        <v>5.2</v>
      </c>
    </row>
    <row r="263" spans="1:3" x14ac:dyDescent="0.25">
      <c r="A263" t="s">
        <v>11</v>
      </c>
      <c r="B263">
        <v>2020</v>
      </c>
      <c r="C263">
        <v>4.3</v>
      </c>
    </row>
    <row r="264" spans="1:3" x14ac:dyDescent="0.25">
      <c r="A264" t="s">
        <v>12</v>
      </c>
      <c r="B264">
        <v>2020</v>
      </c>
      <c r="C264">
        <v>3.9</v>
      </c>
    </row>
    <row r="265" spans="1:3" x14ac:dyDescent="0.25">
      <c r="A265" t="s">
        <v>13</v>
      </c>
      <c r="B265">
        <v>2020</v>
      </c>
      <c r="C265">
        <v>4.9000000000000004</v>
      </c>
    </row>
    <row r="266" spans="1:3" x14ac:dyDescent="0.25">
      <c r="A266" t="s">
        <v>14</v>
      </c>
      <c r="B266">
        <v>2020</v>
      </c>
      <c r="C266">
        <v>2.6</v>
      </c>
    </row>
    <row r="267" spans="1:3" x14ac:dyDescent="0.25">
      <c r="A267" t="s">
        <v>15</v>
      </c>
      <c r="B267">
        <v>2020</v>
      </c>
      <c r="C267">
        <v>3.4</v>
      </c>
    </row>
    <row r="268" spans="1:3" x14ac:dyDescent="0.25">
      <c r="A268" t="s">
        <v>16</v>
      </c>
      <c r="B268">
        <v>2020</v>
      </c>
      <c r="C268">
        <v>4.7</v>
      </c>
    </row>
    <row r="269" spans="1:3" x14ac:dyDescent="0.25">
      <c r="A269" t="s">
        <v>17</v>
      </c>
      <c r="B269">
        <v>2020</v>
      </c>
      <c r="C269">
        <v>6.3</v>
      </c>
    </row>
    <row r="270" spans="1:3" x14ac:dyDescent="0.25">
      <c r="A270" t="s">
        <v>18</v>
      </c>
      <c r="B270">
        <v>2020</v>
      </c>
      <c r="C270">
        <v>6.3</v>
      </c>
    </row>
    <row r="271" spans="1:3" x14ac:dyDescent="0.25">
      <c r="A271" t="s">
        <v>19</v>
      </c>
      <c r="B271">
        <v>2020</v>
      </c>
      <c r="C271">
        <v>5.8</v>
      </c>
    </row>
    <row r="272" spans="1:3" x14ac:dyDescent="0.25">
      <c r="A272" t="s">
        <v>20</v>
      </c>
      <c r="B272">
        <v>2020</v>
      </c>
      <c r="C272">
        <v>3.4</v>
      </c>
    </row>
    <row r="273" spans="1:3" x14ac:dyDescent="0.25">
      <c r="A273" t="s">
        <v>21</v>
      </c>
      <c r="B273">
        <v>2020</v>
      </c>
      <c r="C273">
        <v>2.9</v>
      </c>
    </row>
    <row r="274" spans="1:3" x14ac:dyDescent="0.25">
      <c r="A274" t="s">
        <v>22</v>
      </c>
      <c r="B274">
        <v>2020</v>
      </c>
      <c r="C274">
        <v>3.8</v>
      </c>
    </row>
    <row r="275" spans="1:3" x14ac:dyDescent="0.25">
      <c r="A275" t="s">
        <v>23</v>
      </c>
      <c r="B275">
        <v>2020</v>
      </c>
      <c r="C275">
        <v>5.4</v>
      </c>
    </row>
    <row r="276" spans="1:3" x14ac:dyDescent="0.25">
      <c r="A276" t="s">
        <v>24</v>
      </c>
      <c r="B276">
        <v>2020</v>
      </c>
      <c r="C276">
        <v>3.6</v>
      </c>
    </row>
    <row r="277" spans="1:3" x14ac:dyDescent="0.25">
      <c r="A277" t="s">
        <v>25</v>
      </c>
      <c r="B277">
        <v>2020</v>
      </c>
      <c r="C277">
        <v>5.4</v>
      </c>
    </row>
    <row r="278" spans="1:3" x14ac:dyDescent="0.25">
      <c r="A278" t="s">
        <v>26</v>
      </c>
      <c r="B278">
        <v>2020</v>
      </c>
      <c r="C278">
        <v>3.9</v>
      </c>
    </row>
    <row r="279" spans="1:3" x14ac:dyDescent="0.25">
      <c r="A279" t="s">
        <v>27</v>
      </c>
      <c r="B279">
        <v>2020</v>
      </c>
      <c r="C279">
        <v>4.0999999999999996</v>
      </c>
    </row>
    <row r="280" spans="1:3" x14ac:dyDescent="0.25">
      <c r="A280" t="s">
        <v>28</v>
      </c>
      <c r="B280">
        <v>2020</v>
      </c>
      <c r="C280">
        <v>2.8</v>
      </c>
    </row>
    <row r="281" spans="1:3" x14ac:dyDescent="0.25">
      <c r="A281" t="s">
        <v>29</v>
      </c>
      <c r="B281">
        <v>2020</v>
      </c>
      <c r="C281">
        <v>2.9</v>
      </c>
    </row>
    <row r="282" spans="1:3" x14ac:dyDescent="0.25">
      <c r="A282" t="s">
        <v>30</v>
      </c>
      <c r="B282">
        <v>2020</v>
      </c>
      <c r="C282">
        <v>2.9</v>
      </c>
    </row>
    <row r="283" spans="1:3" x14ac:dyDescent="0.25">
      <c r="A283" t="s">
        <v>31</v>
      </c>
      <c r="B283">
        <v>2020</v>
      </c>
      <c r="C283">
        <v>4.9000000000000004</v>
      </c>
    </row>
    <row r="284" spans="1:3" x14ac:dyDescent="0.25">
      <c r="A284" t="s">
        <v>32</v>
      </c>
      <c r="B284">
        <v>2020</v>
      </c>
      <c r="C284">
        <v>4.3</v>
      </c>
    </row>
    <row r="285" spans="1:3" x14ac:dyDescent="0.25">
      <c r="A285" t="s">
        <v>33</v>
      </c>
      <c r="B285">
        <v>2020</v>
      </c>
      <c r="C285">
        <v>5.0999999999999996</v>
      </c>
    </row>
    <row r="286" spans="1:3" x14ac:dyDescent="0.25">
      <c r="A286" t="s">
        <v>34</v>
      </c>
      <c r="B286">
        <v>2020</v>
      </c>
      <c r="C286">
        <v>5.4</v>
      </c>
    </row>
    <row r="287" spans="1:3" x14ac:dyDescent="0.25">
      <c r="A287" t="s">
        <v>35</v>
      </c>
      <c r="B287">
        <v>2020</v>
      </c>
      <c r="C287">
        <v>4.3</v>
      </c>
    </row>
    <row r="288" spans="1:3" x14ac:dyDescent="0.25">
      <c r="A288" t="s">
        <v>36</v>
      </c>
      <c r="B288">
        <v>2020</v>
      </c>
      <c r="C288">
        <v>4</v>
      </c>
    </row>
    <row r="289" spans="1:3" x14ac:dyDescent="0.25">
      <c r="A289" t="s">
        <v>37</v>
      </c>
      <c r="B289">
        <v>2020</v>
      </c>
      <c r="C289">
        <v>3.8</v>
      </c>
    </row>
    <row r="290" spans="1:3" x14ac:dyDescent="0.25">
      <c r="A290" t="s">
        <v>38</v>
      </c>
      <c r="B290">
        <v>2020</v>
      </c>
      <c r="C290">
        <v>3.4</v>
      </c>
    </row>
    <row r="291" spans="1:3" x14ac:dyDescent="0.25">
      <c r="A291" t="s">
        <v>39</v>
      </c>
      <c r="B291">
        <v>2020</v>
      </c>
      <c r="C291">
        <v>6</v>
      </c>
    </row>
    <row r="292" spans="1:3" x14ac:dyDescent="0.25">
      <c r="A292" t="s">
        <v>40</v>
      </c>
      <c r="B292">
        <v>2020</v>
      </c>
      <c r="C292">
        <v>4.2</v>
      </c>
    </row>
    <row r="293" spans="1:3" x14ac:dyDescent="0.25">
      <c r="A293" t="s">
        <v>41</v>
      </c>
      <c r="B293">
        <v>2020</v>
      </c>
      <c r="C293">
        <v>5.0999999999999996</v>
      </c>
    </row>
    <row r="294" spans="1:3" x14ac:dyDescent="0.25">
      <c r="A294" t="s">
        <v>42</v>
      </c>
      <c r="B294">
        <v>2020</v>
      </c>
      <c r="C294">
        <v>4.3</v>
      </c>
    </row>
    <row r="295" spans="1:3" x14ac:dyDescent="0.25">
      <c r="A295" t="s">
        <v>43</v>
      </c>
      <c r="B295">
        <v>2020</v>
      </c>
      <c r="C295">
        <v>5.8</v>
      </c>
    </row>
    <row r="296" spans="1:3" x14ac:dyDescent="0.25">
      <c r="A296" t="s">
        <v>44</v>
      </c>
      <c r="B296">
        <v>2020</v>
      </c>
      <c r="C296">
        <v>3.3</v>
      </c>
    </row>
    <row r="297" spans="1:3" x14ac:dyDescent="0.25">
      <c r="A297" t="s">
        <v>45</v>
      </c>
      <c r="B297">
        <v>2020</v>
      </c>
      <c r="C297">
        <v>6.1</v>
      </c>
    </row>
    <row r="298" spans="1:3" x14ac:dyDescent="0.25">
      <c r="A298" t="s">
        <v>46</v>
      </c>
      <c r="B298">
        <v>2020</v>
      </c>
      <c r="C298">
        <v>2.6</v>
      </c>
    </row>
    <row r="299" spans="1:3" x14ac:dyDescent="0.25">
      <c r="A299" t="s">
        <v>47</v>
      </c>
      <c r="B299">
        <v>2020</v>
      </c>
      <c r="C299">
        <v>4.8</v>
      </c>
    </row>
    <row r="300" spans="1:3" x14ac:dyDescent="0.25">
      <c r="A300" t="s">
        <v>48</v>
      </c>
      <c r="B300">
        <v>2020</v>
      </c>
      <c r="C300">
        <v>3.6</v>
      </c>
    </row>
    <row r="301" spans="1:3" x14ac:dyDescent="0.25">
      <c r="A301" t="s">
        <v>49</v>
      </c>
      <c r="B301">
        <v>2020</v>
      </c>
      <c r="C301">
        <v>4.7</v>
      </c>
    </row>
    <row r="302" spans="1:3" x14ac:dyDescent="0.25">
      <c r="A302" t="s">
        <v>50</v>
      </c>
      <c r="B302">
        <v>2020</v>
      </c>
      <c r="C302">
        <v>4.0999999999999996</v>
      </c>
    </row>
    <row r="303" spans="1:3" x14ac:dyDescent="0.25">
      <c r="A303" t="s">
        <v>51</v>
      </c>
      <c r="B303">
        <v>2020</v>
      </c>
      <c r="C303">
        <v>4.3</v>
      </c>
    </row>
    <row r="304" spans="1:3" x14ac:dyDescent="0.25">
      <c r="A304" t="s">
        <v>52</v>
      </c>
      <c r="B304">
        <v>2020</v>
      </c>
      <c r="C304">
        <v>2.9</v>
      </c>
    </row>
    <row r="305" spans="1:3" x14ac:dyDescent="0.25">
      <c r="A305" t="s">
        <v>53</v>
      </c>
      <c r="B305">
        <v>2020</v>
      </c>
      <c r="C305">
        <v>5.5</v>
      </c>
    </row>
    <row r="306" spans="1:3" x14ac:dyDescent="0.25">
      <c r="A306" t="s">
        <v>54</v>
      </c>
      <c r="B306">
        <v>2020</v>
      </c>
      <c r="C306">
        <v>3.2</v>
      </c>
    </row>
    <row r="307" spans="1:3" x14ac:dyDescent="0.25">
      <c r="A307" t="s">
        <v>55</v>
      </c>
      <c r="B307">
        <v>2020</v>
      </c>
      <c r="C307">
        <v>4.5</v>
      </c>
    </row>
    <row r="308" spans="1:3" x14ac:dyDescent="0.25">
      <c r="A308" t="s">
        <v>56</v>
      </c>
      <c r="B308">
        <v>2020</v>
      </c>
      <c r="C308">
        <v>6.2</v>
      </c>
    </row>
    <row r="309" spans="1:3" x14ac:dyDescent="0.25">
      <c r="A309" t="s">
        <v>7</v>
      </c>
      <c r="B309">
        <v>2021</v>
      </c>
      <c r="C309">
        <v>0.1</v>
      </c>
    </row>
    <row r="310" spans="1:3" x14ac:dyDescent="0.25">
      <c r="A310" t="s">
        <v>8</v>
      </c>
      <c r="B310">
        <v>2021</v>
      </c>
      <c r="C310">
        <v>1.5</v>
      </c>
    </row>
    <row r="311" spans="1:3" x14ac:dyDescent="0.25">
      <c r="A311" t="s">
        <v>9</v>
      </c>
      <c r="B311">
        <v>2021</v>
      </c>
      <c r="C311">
        <v>1</v>
      </c>
    </row>
    <row r="312" spans="1:3" x14ac:dyDescent="0.25">
      <c r="A312" t="s">
        <v>10</v>
      </c>
      <c r="B312">
        <v>2021</v>
      </c>
      <c r="C312">
        <v>3.7</v>
      </c>
    </row>
    <row r="313" spans="1:3" x14ac:dyDescent="0.25">
      <c r="A313" t="s">
        <v>11</v>
      </c>
      <c r="B313">
        <v>2021</v>
      </c>
      <c r="C313">
        <v>2.5</v>
      </c>
    </row>
    <row r="314" spans="1:3" x14ac:dyDescent="0.25">
      <c r="A314" t="s">
        <v>12</v>
      </c>
      <c r="B314">
        <v>2021</v>
      </c>
      <c r="C314">
        <v>1.7</v>
      </c>
    </row>
    <row r="315" spans="1:3" x14ac:dyDescent="0.25">
      <c r="A315" t="s">
        <v>13</v>
      </c>
      <c r="B315">
        <v>2021</v>
      </c>
      <c r="C315">
        <v>0.5</v>
      </c>
    </row>
    <row r="316" spans="1:3" x14ac:dyDescent="0.25">
      <c r="A316" t="s">
        <v>14</v>
      </c>
      <c r="B316">
        <v>2021</v>
      </c>
      <c r="C316">
        <v>1.7</v>
      </c>
    </row>
    <row r="317" spans="1:3" x14ac:dyDescent="0.25">
      <c r="A317" t="s">
        <v>15</v>
      </c>
      <c r="B317">
        <v>2021</v>
      </c>
      <c r="C317">
        <v>3.1</v>
      </c>
    </row>
    <row r="318" spans="1:3" x14ac:dyDescent="0.25">
      <c r="A318" t="s">
        <v>16</v>
      </c>
      <c r="B318">
        <v>2021</v>
      </c>
      <c r="C318">
        <v>3.7</v>
      </c>
    </row>
    <row r="319" spans="1:3" x14ac:dyDescent="0.25">
      <c r="A319" t="s">
        <v>17</v>
      </c>
      <c r="B319">
        <v>2021</v>
      </c>
      <c r="C319">
        <v>1.1000000000000001</v>
      </c>
    </row>
    <row r="320" spans="1:3" x14ac:dyDescent="0.25">
      <c r="A320" t="s">
        <v>18</v>
      </c>
      <c r="B320">
        <v>2021</v>
      </c>
      <c r="C320">
        <v>2.4</v>
      </c>
    </row>
    <row r="321" spans="1:3" x14ac:dyDescent="0.25">
      <c r="A321" t="s">
        <v>19</v>
      </c>
      <c r="B321">
        <v>2021</v>
      </c>
      <c r="C321">
        <v>1.9</v>
      </c>
    </row>
    <row r="322" spans="1:3" x14ac:dyDescent="0.25">
      <c r="A322" t="s">
        <v>20</v>
      </c>
      <c r="B322">
        <v>2021</v>
      </c>
      <c r="C322">
        <v>2</v>
      </c>
    </row>
    <row r="323" spans="1:3" x14ac:dyDescent="0.25">
      <c r="A323" t="s">
        <v>21</v>
      </c>
      <c r="B323">
        <v>2021</v>
      </c>
      <c r="C323">
        <v>1.2</v>
      </c>
    </row>
    <row r="324" spans="1:3" x14ac:dyDescent="0.25">
      <c r="A324" t="s">
        <v>22</v>
      </c>
      <c r="B324">
        <v>2021</v>
      </c>
      <c r="C324">
        <v>0.6</v>
      </c>
    </row>
    <row r="325" spans="1:3" x14ac:dyDescent="0.25">
      <c r="A325" t="s">
        <v>23</v>
      </c>
      <c r="B325">
        <v>2021</v>
      </c>
      <c r="C325">
        <v>3.3</v>
      </c>
    </row>
    <row r="326" spans="1:3" x14ac:dyDescent="0.25">
      <c r="A326" t="s">
        <v>24</v>
      </c>
      <c r="B326">
        <v>2021</v>
      </c>
      <c r="C326">
        <v>0.2</v>
      </c>
    </row>
    <row r="327" spans="1:3" x14ac:dyDescent="0.25">
      <c r="A327" t="s">
        <v>25</v>
      </c>
      <c r="B327">
        <v>2021</v>
      </c>
      <c r="C327">
        <v>2.8</v>
      </c>
    </row>
    <row r="328" spans="1:3" x14ac:dyDescent="0.25">
      <c r="A328" t="s">
        <v>26</v>
      </c>
      <c r="B328">
        <v>2021</v>
      </c>
      <c r="C328">
        <v>2.9</v>
      </c>
    </row>
    <row r="329" spans="1:3" x14ac:dyDescent="0.25">
      <c r="A329" t="s">
        <v>27</v>
      </c>
      <c r="B329">
        <v>2021</v>
      </c>
      <c r="C329">
        <v>2.2999999999999998</v>
      </c>
    </row>
    <row r="330" spans="1:3" x14ac:dyDescent="0.25">
      <c r="A330" t="s">
        <v>28</v>
      </c>
      <c r="B330">
        <v>2021</v>
      </c>
      <c r="C330">
        <v>0.7</v>
      </c>
    </row>
    <row r="331" spans="1:3" x14ac:dyDescent="0.25">
      <c r="A331" t="s">
        <v>29</v>
      </c>
      <c r="B331">
        <v>2021</v>
      </c>
      <c r="C331">
        <v>0.5</v>
      </c>
    </row>
    <row r="332" spans="1:3" x14ac:dyDescent="0.25">
      <c r="A332" t="s">
        <v>30</v>
      </c>
      <c r="B332">
        <v>2021</v>
      </c>
      <c r="C332">
        <v>3.2</v>
      </c>
    </row>
    <row r="333" spans="1:3" x14ac:dyDescent="0.25">
      <c r="A333" t="s">
        <v>31</v>
      </c>
      <c r="B333">
        <v>2021</v>
      </c>
      <c r="C333">
        <v>2.4</v>
      </c>
    </row>
    <row r="334" spans="1:3" x14ac:dyDescent="0.25">
      <c r="A334" t="s">
        <v>32</v>
      </c>
      <c r="B334">
        <v>2021</v>
      </c>
      <c r="C334">
        <v>1.4</v>
      </c>
    </row>
    <row r="335" spans="1:3" x14ac:dyDescent="0.25">
      <c r="A335" t="s">
        <v>33</v>
      </c>
      <c r="B335">
        <v>2021</v>
      </c>
      <c r="C335">
        <v>0.1</v>
      </c>
    </row>
    <row r="336" spans="1:3" x14ac:dyDescent="0.25">
      <c r="A336" t="s">
        <v>34</v>
      </c>
      <c r="B336">
        <v>2021</v>
      </c>
      <c r="C336">
        <v>3.9</v>
      </c>
    </row>
    <row r="337" spans="1:3" x14ac:dyDescent="0.25">
      <c r="A337" t="s">
        <v>35</v>
      </c>
      <c r="B337">
        <v>2021</v>
      </c>
      <c r="C337">
        <v>2.2000000000000002</v>
      </c>
    </row>
    <row r="338" spans="1:3" x14ac:dyDescent="0.25">
      <c r="A338" t="s">
        <v>36</v>
      </c>
      <c r="B338">
        <v>2021</v>
      </c>
      <c r="C338">
        <v>0.7</v>
      </c>
    </row>
    <row r="339" spans="1:3" x14ac:dyDescent="0.25">
      <c r="A339" t="s">
        <v>37</v>
      </c>
      <c r="B339">
        <v>2021</v>
      </c>
      <c r="C339">
        <v>0.8</v>
      </c>
    </row>
    <row r="340" spans="1:3" x14ac:dyDescent="0.25">
      <c r="A340" t="s">
        <v>38</v>
      </c>
      <c r="B340">
        <v>2021</v>
      </c>
      <c r="C340">
        <v>2.5</v>
      </c>
    </row>
    <row r="341" spans="1:3" x14ac:dyDescent="0.25">
      <c r="A341" t="s">
        <v>39</v>
      </c>
      <c r="B341">
        <v>2021</v>
      </c>
      <c r="C341">
        <v>0.3</v>
      </c>
    </row>
    <row r="342" spans="1:3" x14ac:dyDescent="0.25">
      <c r="A342" t="s">
        <v>40</v>
      </c>
      <c r="B342">
        <v>2021</v>
      </c>
      <c r="C342">
        <v>1.1000000000000001</v>
      </c>
    </row>
    <row r="343" spans="1:3" x14ac:dyDescent="0.25">
      <c r="A343" t="s">
        <v>41</v>
      </c>
      <c r="B343">
        <v>2021</v>
      </c>
      <c r="C343">
        <v>1.5</v>
      </c>
    </row>
    <row r="344" spans="1:3" x14ac:dyDescent="0.25">
      <c r="A344" t="s">
        <v>42</v>
      </c>
      <c r="B344">
        <v>2021</v>
      </c>
      <c r="C344">
        <v>2.7</v>
      </c>
    </row>
    <row r="345" spans="1:3" x14ac:dyDescent="0.25">
      <c r="A345" t="s">
        <v>43</v>
      </c>
      <c r="B345">
        <v>2021</v>
      </c>
      <c r="C345">
        <v>1.6</v>
      </c>
    </row>
    <row r="346" spans="1:3" x14ac:dyDescent="0.25">
      <c r="A346" t="s">
        <v>44</v>
      </c>
      <c r="B346">
        <v>2021</v>
      </c>
      <c r="C346">
        <v>2.8</v>
      </c>
    </row>
    <row r="347" spans="1:3" x14ac:dyDescent="0.25">
      <c r="A347" t="s">
        <v>45</v>
      </c>
      <c r="B347">
        <v>2021</v>
      </c>
      <c r="C347">
        <v>0.9</v>
      </c>
    </row>
    <row r="348" spans="1:3" x14ac:dyDescent="0.25">
      <c r="A348" t="s">
        <v>46</v>
      </c>
      <c r="B348">
        <v>2021</v>
      </c>
      <c r="C348">
        <v>1.1000000000000001</v>
      </c>
    </row>
    <row r="349" spans="1:3" x14ac:dyDescent="0.25">
      <c r="A349" t="s">
        <v>47</v>
      </c>
      <c r="B349">
        <v>2021</v>
      </c>
      <c r="C349">
        <v>2.5</v>
      </c>
    </row>
    <row r="350" spans="1:3" x14ac:dyDescent="0.25">
      <c r="A350" t="s">
        <v>48</v>
      </c>
      <c r="B350">
        <v>2021</v>
      </c>
      <c r="C350">
        <v>3</v>
      </c>
    </row>
    <row r="351" spans="1:3" x14ac:dyDescent="0.25">
      <c r="A351" t="s">
        <v>49</v>
      </c>
      <c r="B351">
        <v>2021</v>
      </c>
      <c r="C351">
        <v>0.8</v>
      </c>
    </row>
    <row r="352" spans="1:3" x14ac:dyDescent="0.25">
      <c r="A352" t="s">
        <v>50</v>
      </c>
      <c r="B352">
        <v>2021</v>
      </c>
      <c r="C352">
        <v>3.6</v>
      </c>
    </row>
    <row r="353" spans="1:3" x14ac:dyDescent="0.25">
      <c r="A353" t="s">
        <v>51</v>
      </c>
      <c r="B353">
        <v>2021</v>
      </c>
      <c r="C353">
        <v>0.1</v>
      </c>
    </row>
    <row r="354" spans="1:3" x14ac:dyDescent="0.25">
      <c r="A354" t="s">
        <v>52</v>
      </c>
      <c r="B354">
        <v>2021</v>
      </c>
      <c r="C354">
        <v>1.6</v>
      </c>
    </row>
    <row r="355" spans="1:3" x14ac:dyDescent="0.25">
      <c r="A355" t="s">
        <v>53</v>
      </c>
      <c r="B355">
        <v>2021</v>
      </c>
      <c r="C355">
        <v>4</v>
      </c>
    </row>
    <row r="356" spans="1:3" x14ac:dyDescent="0.25">
      <c r="A356" t="s">
        <v>54</v>
      </c>
      <c r="B356">
        <v>2021</v>
      </c>
      <c r="C356">
        <v>4</v>
      </c>
    </row>
    <row r="357" spans="1:3" x14ac:dyDescent="0.25">
      <c r="A357" t="s">
        <v>55</v>
      </c>
      <c r="B357">
        <v>2021</v>
      </c>
      <c r="C357">
        <v>1.9</v>
      </c>
    </row>
    <row r="358" spans="1:3" x14ac:dyDescent="0.25">
      <c r="A358" t="s">
        <v>56</v>
      </c>
      <c r="B358">
        <v>2021</v>
      </c>
      <c r="C358">
        <v>0.2</v>
      </c>
    </row>
    <row r="359" spans="1:3" x14ac:dyDescent="0.25">
      <c r="A359" t="s">
        <v>7</v>
      </c>
      <c r="B359">
        <v>2022</v>
      </c>
      <c r="C359">
        <v>-1.9</v>
      </c>
    </row>
    <row r="360" spans="1:3" x14ac:dyDescent="0.25">
      <c r="A360" t="s">
        <v>8</v>
      </c>
      <c r="B360">
        <v>2022</v>
      </c>
      <c r="C360">
        <v>-3.5</v>
      </c>
    </row>
    <row r="361" spans="1:3" x14ac:dyDescent="0.25">
      <c r="A361" t="s">
        <v>9</v>
      </c>
      <c r="B361">
        <v>2022</v>
      </c>
      <c r="C361">
        <v>-1.2</v>
      </c>
    </row>
    <row r="362" spans="1:3" x14ac:dyDescent="0.25">
      <c r="A362" t="s">
        <v>10</v>
      </c>
      <c r="B362">
        <v>2022</v>
      </c>
      <c r="C362">
        <v>-3.6</v>
      </c>
    </row>
    <row r="363" spans="1:3" x14ac:dyDescent="0.25">
      <c r="A363" t="s">
        <v>11</v>
      </c>
      <c r="B363">
        <v>2022</v>
      </c>
      <c r="C363">
        <v>-3.6</v>
      </c>
    </row>
    <row r="364" spans="1:3" x14ac:dyDescent="0.25">
      <c r="A364" t="s">
        <v>12</v>
      </c>
      <c r="B364">
        <v>2022</v>
      </c>
      <c r="C364">
        <v>-1.2</v>
      </c>
    </row>
    <row r="365" spans="1:3" x14ac:dyDescent="0.25">
      <c r="A365" t="s">
        <v>13</v>
      </c>
      <c r="B365">
        <v>2022</v>
      </c>
      <c r="C365">
        <v>0.1</v>
      </c>
    </row>
    <row r="366" spans="1:3" x14ac:dyDescent="0.25">
      <c r="A366" t="s">
        <v>14</v>
      </c>
      <c r="B366">
        <v>2022</v>
      </c>
      <c r="C366">
        <v>-2.6</v>
      </c>
    </row>
    <row r="367" spans="1:3" x14ac:dyDescent="0.25">
      <c r="A367" t="s">
        <v>15</v>
      </c>
      <c r="B367">
        <v>2022</v>
      </c>
      <c r="C367">
        <v>-3.7</v>
      </c>
    </row>
    <row r="368" spans="1:3" x14ac:dyDescent="0.25">
      <c r="A368" t="s">
        <v>16</v>
      </c>
      <c r="B368">
        <v>2022</v>
      </c>
      <c r="C368">
        <v>-1.2</v>
      </c>
    </row>
    <row r="369" spans="1:3" x14ac:dyDescent="0.25">
      <c r="A369" t="s">
        <v>17</v>
      </c>
      <c r="B369">
        <v>2022</v>
      </c>
      <c r="C369">
        <v>-1.1000000000000001</v>
      </c>
    </row>
    <row r="370" spans="1:3" x14ac:dyDescent="0.25">
      <c r="A370" t="s">
        <v>18</v>
      </c>
      <c r="B370">
        <v>2022</v>
      </c>
      <c r="C370">
        <v>-1.3</v>
      </c>
    </row>
    <row r="371" spans="1:3" x14ac:dyDescent="0.25">
      <c r="A371" t="s">
        <v>19</v>
      </c>
      <c r="B371">
        <v>2022</v>
      </c>
      <c r="C371">
        <v>-2.9</v>
      </c>
    </row>
    <row r="372" spans="1:3" x14ac:dyDescent="0.25">
      <c r="A372" t="s">
        <v>20</v>
      </c>
      <c r="B372">
        <v>2022</v>
      </c>
      <c r="C372">
        <v>-0.7</v>
      </c>
    </row>
    <row r="373" spans="1:3" x14ac:dyDescent="0.25">
      <c r="A373" t="s">
        <v>21</v>
      </c>
      <c r="B373">
        <v>2022</v>
      </c>
      <c r="C373">
        <v>-2.2999999999999998</v>
      </c>
    </row>
    <row r="374" spans="1:3" x14ac:dyDescent="0.25">
      <c r="A374" t="s">
        <v>22</v>
      </c>
      <c r="B374">
        <v>2022</v>
      </c>
      <c r="C374">
        <v>-2.7</v>
      </c>
    </row>
    <row r="375" spans="1:3" x14ac:dyDescent="0.25">
      <c r="A375" t="s">
        <v>23</v>
      </c>
      <c r="B375">
        <v>2022</v>
      </c>
      <c r="C375">
        <v>-0.5</v>
      </c>
    </row>
    <row r="376" spans="1:3" x14ac:dyDescent="0.25">
      <c r="A376" t="s">
        <v>24</v>
      </c>
      <c r="B376">
        <v>2022</v>
      </c>
      <c r="C376">
        <v>-2</v>
      </c>
    </row>
    <row r="377" spans="1:3" x14ac:dyDescent="0.25">
      <c r="A377" t="s">
        <v>25</v>
      </c>
      <c r="B377">
        <v>2022</v>
      </c>
      <c r="C377">
        <v>-0.2</v>
      </c>
    </row>
    <row r="378" spans="1:3" x14ac:dyDescent="0.25">
      <c r="A378" t="s">
        <v>26</v>
      </c>
      <c r="B378">
        <v>2022</v>
      </c>
      <c r="C378">
        <v>-0.7</v>
      </c>
    </row>
    <row r="379" spans="1:3" x14ac:dyDescent="0.25">
      <c r="A379" t="s">
        <v>27</v>
      </c>
      <c r="B379">
        <v>2022</v>
      </c>
      <c r="C379">
        <v>-1.5</v>
      </c>
    </row>
    <row r="380" spans="1:3" x14ac:dyDescent="0.25">
      <c r="A380" t="s">
        <v>28</v>
      </c>
      <c r="B380">
        <v>2022</v>
      </c>
      <c r="C380">
        <v>-2.8</v>
      </c>
    </row>
    <row r="381" spans="1:3" x14ac:dyDescent="0.25">
      <c r="A381" t="s">
        <v>29</v>
      </c>
      <c r="B381">
        <v>2022</v>
      </c>
      <c r="C381">
        <v>-3.2</v>
      </c>
    </row>
    <row r="382" spans="1:3" x14ac:dyDescent="0.25">
      <c r="A382" t="s">
        <v>30</v>
      </c>
      <c r="B382">
        <v>2022</v>
      </c>
      <c r="C382">
        <v>-1.5</v>
      </c>
    </row>
    <row r="383" spans="1:3" x14ac:dyDescent="0.25">
      <c r="A383" t="s">
        <v>31</v>
      </c>
      <c r="B383">
        <v>2022</v>
      </c>
      <c r="C383">
        <v>-2.2000000000000002</v>
      </c>
    </row>
    <row r="384" spans="1:3" x14ac:dyDescent="0.25">
      <c r="A384" t="s">
        <v>32</v>
      </c>
      <c r="B384">
        <v>2022</v>
      </c>
      <c r="C384">
        <v>-3.6</v>
      </c>
    </row>
    <row r="385" spans="1:3" x14ac:dyDescent="0.25">
      <c r="A385" t="s">
        <v>33</v>
      </c>
      <c r="B385">
        <v>2022</v>
      </c>
      <c r="C385">
        <v>-2.2999999999999998</v>
      </c>
    </row>
    <row r="386" spans="1:3" x14ac:dyDescent="0.25">
      <c r="A386" t="s">
        <v>34</v>
      </c>
      <c r="B386">
        <v>2022</v>
      </c>
      <c r="C386">
        <v>-1.1000000000000001</v>
      </c>
    </row>
    <row r="387" spans="1:3" x14ac:dyDescent="0.25">
      <c r="A387" t="s">
        <v>35</v>
      </c>
      <c r="B387">
        <v>2022</v>
      </c>
      <c r="C387">
        <v>0</v>
      </c>
    </row>
    <row r="388" spans="1:3" x14ac:dyDescent="0.25">
      <c r="A388" t="s">
        <v>36</v>
      </c>
      <c r="B388">
        <v>2022</v>
      </c>
      <c r="C388">
        <v>-2.8</v>
      </c>
    </row>
    <row r="389" spans="1:3" x14ac:dyDescent="0.25">
      <c r="A389" t="s">
        <v>37</v>
      </c>
      <c r="B389">
        <v>2022</v>
      </c>
      <c r="C389">
        <v>-0.2</v>
      </c>
    </row>
    <row r="390" spans="1:3" x14ac:dyDescent="0.25">
      <c r="A390" t="s">
        <v>38</v>
      </c>
      <c r="B390">
        <v>2022</v>
      </c>
      <c r="C390">
        <v>-1.9</v>
      </c>
    </row>
    <row r="391" spans="1:3" x14ac:dyDescent="0.25">
      <c r="A391" t="s">
        <v>39</v>
      </c>
      <c r="B391">
        <v>2022</v>
      </c>
      <c r="C391">
        <v>-0.8</v>
      </c>
    </row>
    <row r="392" spans="1:3" x14ac:dyDescent="0.25">
      <c r="A392" t="s">
        <v>40</v>
      </c>
      <c r="B392">
        <v>2022</v>
      </c>
      <c r="C392">
        <v>-0.6</v>
      </c>
    </row>
    <row r="393" spans="1:3" x14ac:dyDescent="0.25">
      <c r="A393" t="s">
        <v>41</v>
      </c>
      <c r="B393">
        <v>2022</v>
      </c>
      <c r="C393">
        <v>-1.6</v>
      </c>
    </row>
    <row r="394" spans="1:3" x14ac:dyDescent="0.25">
      <c r="A394" t="s">
        <v>42</v>
      </c>
      <c r="B394">
        <v>2022</v>
      </c>
      <c r="C394">
        <v>-3</v>
      </c>
    </row>
    <row r="395" spans="1:3" x14ac:dyDescent="0.25">
      <c r="A395" t="s">
        <v>43</v>
      </c>
      <c r="B395">
        <v>2022</v>
      </c>
      <c r="C395">
        <v>-2</v>
      </c>
    </row>
    <row r="396" spans="1:3" x14ac:dyDescent="0.25">
      <c r="A396" t="s">
        <v>44</v>
      </c>
      <c r="B396">
        <v>2022</v>
      </c>
      <c r="C396">
        <v>0.1</v>
      </c>
    </row>
    <row r="397" spans="1:3" x14ac:dyDescent="0.25">
      <c r="A397" t="s">
        <v>45</v>
      </c>
      <c r="B397">
        <v>2022</v>
      </c>
      <c r="C397">
        <v>-2.6</v>
      </c>
    </row>
    <row r="398" spans="1:3" x14ac:dyDescent="0.25">
      <c r="A398" t="s">
        <v>46</v>
      </c>
      <c r="B398">
        <v>2022</v>
      </c>
      <c r="C398">
        <v>-1.5</v>
      </c>
    </row>
    <row r="399" spans="1:3" x14ac:dyDescent="0.25">
      <c r="A399" t="s">
        <v>47</v>
      </c>
      <c r="B399">
        <v>2022</v>
      </c>
      <c r="C399">
        <v>-1.4</v>
      </c>
    </row>
    <row r="400" spans="1:3" x14ac:dyDescent="0.25">
      <c r="A400" t="s">
        <v>48</v>
      </c>
      <c r="B400">
        <v>2022</v>
      </c>
      <c r="C400">
        <v>-3.7</v>
      </c>
    </row>
    <row r="401" spans="1:3" x14ac:dyDescent="0.25">
      <c r="A401" t="s">
        <v>49</v>
      </c>
      <c r="B401">
        <v>2022</v>
      </c>
      <c r="C401">
        <v>-0.2</v>
      </c>
    </row>
    <row r="402" spans="1:3" x14ac:dyDescent="0.25">
      <c r="A402" t="s">
        <v>50</v>
      </c>
      <c r="B402">
        <v>2022</v>
      </c>
      <c r="C402">
        <v>-0.7</v>
      </c>
    </row>
    <row r="403" spans="1:3" x14ac:dyDescent="0.25">
      <c r="A403" t="s">
        <v>51</v>
      </c>
      <c r="B403">
        <v>2022</v>
      </c>
      <c r="C403">
        <v>-0.8</v>
      </c>
    </row>
    <row r="404" spans="1:3" x14ac:dyDescent="0.25">
      <c r="A404" t="s">
        <v>52</v>
      </c>
      <c r="B404">
        <v>2022</v>
      </c>
      <c r="C404">
        <v>-2.2000000000000002</v>
      </c>
    </row>
    <row r="405" spans="1:3" x14ac:dyDescent="0.25">
      <c r="A405" t="s">
        <v>53</v>
      </c>
      <c r="B405">
        <v>2022</v>
      </c>
      <c r="C405">
        <v>-0.4</v>
      </c>
    </row>
    <row r="406" spans="1:3" x14ac:dyDescent="0.25">
      <c r="A406" t="s">
        <v>54</v>
      </c>
      <c r="B406">
        <v>2022</v>
      </c>
      <c r="C406">
        <v>-1.7</v>
      </c>
    </row>
    <row r="407" spans="1:3" x14ac:dyDescent="0.25">
      <c r="A407" t="s">
        <v>55</v>
      </c>
      <c r="B407">
        <v>2022</v>
      </c>
      <c r="C407">
        <v>0.2</v>
      </c>
    </row>
    <row r="408" spans="1:3" x14ac:dyDescent="0.25">
      <c r="A408" t="s">
        <v>56</v>
      </c>
      <c r="B408">
        <v>2022</v>
      </c>
      <c r="C408">
        <v>-1.7</v>
      </c>
    </row>
    <row r="409" spans="1:3" x14ac:dyDescent="0.25">
      <c r="A409" t="s">
        <v>7</v>
      </c>
      <c r="B409">
        <v>2023</v>
      </c>
      <c r="C409">
        <v>8.6999999999999993</v>
      </c>
    </row>
    <row r="410" spans="1:3" x14ac:dyDescent="0.25">
      <c r="A410" t="s">
        <v>8</v>
      </c>
      <c r="B410">
        <v>2023</v>
      </c>
      <c r="C410">
        <v>9.5</v>
      </c>
    </row>
    <row r="411" spans="1:3" x14ac:dyDescent="0.25">
      <c r="A411" t="s">
        <v>9</v>
      </c>
      <c r="B411">
        <v>2023</v>
      </c>
      <c r="C411">
        <v>7.9</v>
      </c>
    </row>
    <row r="412" spans="1:3" x14ac:dyDescent="0.25">
      <c r="A412" t="s">
        <v>10</v>
      </c>
      <c r="B412">
        <v>2023</v>
      </c>
      <c r="C412">
        <v>6.1</v>
      </c>
    </row>
    <row r="413" spans="1:3" x14ac:dyDescent="0.25">
      <c r="A413" t="s">
        <v>11</v>
      </c>
      <c r="B413">
        <v>2023</v>
      </c>
      <c r="C413">
        <v>8.8000000000000007</v>
      </c>
    </row>
    <row r="414" spans="1:3" x14ac:dyDescent="0.25">
      <c r="A414" t="s">
        <v>12</v>
      </c>
      <c r="B414">
        <v>2023</v>
      </c>
      <c r="C414">
        <v>7.7</v>
      </c>
    </row>
    <row r="415" spans="1:3" x14ac:dyDescent="0.25">
      <c r="A415" t="s">
        <v>13</v>
      </c>
      <c r="B415">
        <v>2023</v>
      </c>
      <c r="C415">
        <v>8.1</v>
      </c>
    </row>
    <row r="416" spans="1:3" x14ac:dyDescent="0.25">
      <c r="A416" t="s">
        <v>14</v>
      </c>
      <c r="B416">
        <v>2023</v>
      </c>
      <c r="C416">
        <v>6.8</v>
      </c>
    </row>
    <row r="417" spans="1:3" x14ac:dyDescent="0.25">
      <c r="A417" t="s">
        <v>15</v>
      </c>
      <c r="B417">
        <v>2023</v>
      </c>
      <c r="C417">
        <v>9.6</v>
      </c>
    </row>
    <row r="418" spans="1:3" x14ac:dyDescent="0.25">
      <c r="A418" t="s">
        <v>16</v>
      </c>
      <c r="B418">
        <v>2023</v>
      </c>
      <c r="C418">
        <v>9.1</v>
      </c>
    </row>
    <row r="419" spans="1:3" x14ac:dyDescent="0.25">
      <c r="A419" t="s">
        <v>17</v>
      </c>
      <c r="B419">
        <v>2023</v>
      </c>
      <c r="C419">
        <v>8.5</v>
      </c>
    </row>
    <row r="420" spans="1:3" x14ac:dyDescent="0.25">
      <c r="A420" t="s">
        <v>18</v>
      </c>
      <c r="B420">
        <v>2023</v>
      </c>
      <c r="C420">
        <v>6.6</v>
      </c>
    </row>
    <row r="421" spans="1:3" x14ac:dyDescent="0.25">
      <c r="A421" t="s">
        <v>19</v>
      </c>
      <c r="B421">
        <v>2023</v>
      </c>
      <c r="C421">
        <v>5.9</v>
      </c>
    </row>
    <row r="422" spans="1:3" x14ac:dyDescent="0.25">
      <c r="A422" t="s">
        <v>20</v>
      </c>
      <c r="B422">
        <v>2023</v>
      </c>
      <c r="C422">
        <v>6.6</v>
      </c>
    </row>
    <row r="423" spans="1:3" x14ac:dyDescent="0.25">
      <c r="A423" t="s">
        <v>21</v>
      </c>
      <c r="B423">
        <v>2023</v>
      </c>
      <c r="C423">
        <v>9.1</v>
      </c>
    </row>
    <row r="424" spans="1:3" x14ac:dyDescent="0.25">
      <c r="A424" t="s">
        <v>22</v>
      </c>
      <c r="B424">
        <v>2023</v>
      </c>
      <c r="C424">
        <v>6.3</v>
      </c>
    </row>
    <row r="425" spans="1:3" x14ac:dyDescent="0.25">
      <c r="A425" t="s">
        <v>23</v>
      </c>
      <c r="B425">
        <v>2023</v>
      </c>
      <c r="C425">
        <v>5.9</v>
      </c>
    </row>
    <row r="426" spans="1:3" x14ac:dyDescent="0.25">
      <c r="A426" t="s">
        <v>24</v>
      </c>
      <c r="B426">
        <v>2023</v>
      </c>
      <c r="C426">
        <v>7.6</v>
      </c>
    </row>
    <row r="427" spans="1:3" x14ac:dyDescent="0.25">
      <c r="A427" t="s">
        <v>25</v>
      </c>
      <c r="B427">
        <v>2023</v>
      </c>
      <c r="C427">
        <v>6.1</v>
      </c>
    </row>
    <row r="428" spans="1:3" x14ac:dyDescent="0.25">
      <c r="A428" t="s">
        <v>26</v>
      </c>
      <c r="B428">
        <v>2023</v>
      </c>
      <c r="C428">
        <v>6.2</v>
      </c>
    </row>
    <row r="429" spans="1:3" x14ac:dyDescent="0.25">
      <c r="A429" t="s">
        <v>27</v>
      </c>
      <c r="B429">
        <v>2023</v>
      </c>
      <c r="C429">
        <v>6.8</v>
      </c>
    </row>
    <row r="430" spans="1:3" x14ac:dyDescent="0.25">
      <c r="A430" t="s">
        <v>28</v>
      </c>
      <c r="B430">
        <v>2023</v>
      </c>
      <c r="C430">
        <v>6.7</v>
      </c>
    </row>
    <row r="431" spans="1:3" x14ac:dyDescent="0.25">
      <c r="A431" t="s">
        <v>29</v>
      </c>
      <c r="B431">
        <v>2023</v>
      </c>
      <c r="C431">
        <v>5.7</v>
      </c>
    </row>
    <row r="432" spans="1:3" x14ac:dyDescent="0.25">
      <c r="A432" t="s">
        <v>30</v>
      </c>
      <c r="B432">
        <v>2023</v>
      </c>
      <c r="C432">
        <v>9.3000000000000007</v>
      </c>
    </row>
    <row r="433" spans="1:3" x14ac:dyDescent="0.25">
      <c r="A433" t="s">
        <v>31</v>
      </c>
      <c r="B433">
        <v>2023</v>
      </c>
      <c r="C433">
        <v>8.3000000000000007</v>
      </c>
    </row>
    <row r="434" spans="1:3" x14ac:dyDescent="0.25">
      <c r="A434" t="s">
        <v>32</v>
      </c>
      <c r="B434">
        <v>2023</v>
      </c>
      <c r="C434">
        <v>5.9</v>
      </c>
    </row>
    <row r="435" spans="1:3" x14ac:dyDescent="0.25">
      <c r="A435" t="s">
        <v>33</v>
      </c>
      <c r="B435">
        <v>2023</v>
      </c>
      <c r="C435">
        <v>6.9</v>
      </c>
    </row>
    <row r="436" spans="1:3" x14ac:dyDescent="0.25">
      <c r="A436" t="s">
        <v>34</v>
      </c>
      <c r="B436">
        <v>2023</v>
      </c>
      <c r="C436">
        <v>8.1</v>
      </c>
    </row>
    <row r="437" spans="1:3" x14ac:dyDescent="0.25">
      <c r="A437" t="s">
        <v>35</v>
      </c>
      <c r="B437">
        <v>2023</v>
      </c>
      <c r="C437">
        <v>6.3</v>
      </c>
    </row>
    <row r="438" spans="1:3" x14ac:dyDescent="0.25">
      <c r="A438" t="s">
        <v>36</v>
      </c>
      <c r="B438">
        <v>2023</v>
      </c>
      <c r="C438">
        <v>5.9</v>
      </c>
    </row>
    <row r="439" spans="1:3" x14ac:dyDescent="0.25">
      <c r="A439" t="s">
        <v>37</v>
      </c>
      <c r="B439">
        <v>2023</v>
      </c>
      <c r="C439">
        <v>9</v>
      </c>
    </row>
    <row r="440" spans="1:3" x14ac:dyDescent="0.25">
      <c r="A440" t="s">
        <v>38</v>
      </c>
      <c r="B440">
        <v>2023</v>
      </c>
      <c r="C440">
        <v>7.6</v>
      </c>
    </row>
    <row r="441" spans="1:3" x14ac:dyDescent="0.25">
      <c r="A441" t="s">
        <v>39</v>
      </c>
      <c r="B441">
        <v>2023</v>
      </c>
      <c r="C441">
        <v>6.3</v>
      </c>
    </row>
    <row r="442" spans="1:3" x14ac:dyDescent="0.25">
      <c r="A442" t="s">
        <v>40</v>
      </c>
      <c r="B442">
        <v>2023</v>
      </c>
      <c r="C442">
        <v>9.1</v>
      </c>
    </row>
    <row r="443" spans="1:3" x14ac:dyDescent="0.25">
      <c r="A443" t="s">
        <v>41</v>
      </c>
      <c r="B443">
        <v>2023</v>
      </c>
      <c r="C443">
        <v>7.7</v>
      </c>
    </row>
    <row r="444" spans="1:3" x14ac:dyDescent="0.25">
      <c r="A444" t="s">
        <v>42</v>
      </c>
      <c r="B444">
        <v>2023</v>
      </c>
      <c r="C444">
        <v>7.2</v>
      </c>
    </row>
    <row r="445" spans="1:3" x14ac:dyDescent="0.25">
      <c r="A445" t="s">
        <v>43</v>
      </c>
      <c r="B445">
        <v>2023</v>
      </c>
      <c r="C445">
        <v>9.3000000000000007</v>
      </c>
    </row>
    <row r="446" spans="1:3" x14ac:dyDescent="0.25">
      <c r="A446" t="s">
        <v>44</v>
      </c>
      <c r="B446">
        <v>2023</v>
      </c>
      <c r="C446">
        <v>6.4</v>
      </c>
    </row>
    <row r="447" spans="1:3" x14ac:dyDescent="0.25">
      <c r="A447" t="s">
        <v>45</v>
      </c>
      <c r="B447">
        <v>2023</v>
      </c>
      <c r="C447">
        <v>8.6</v>
      </c>
    </row>
    <row r="448" spans="1:3" x14ac:dyDescent="0.25">
      <c r="A448" t="s">
        <v>46</v>
      </c>
      <c r="B448">
        <v>2023</v>
      </c>
      <c r="C448">
        <v>9.1999999999999993</v>
      </c>
    </row>
    <row r="449" spans="1:3" x14ac:dyDescent="0.25">
      <c r="A449" t="s">
        <v>47</v>
      </c>
      <c r="B449">
        <v>2023</v>
      </c>
      <c r="C449">
        <v>9.1</v>
      </c>
    </row>
    <row r="450" spans="1:3" x14ac:dyDescent="0.25">
      <c r="A450" t="s">
        <v>48</v>
      </c>
      <c r="B450">
        <v>2023</v>
      </c>
      <c r="C450">
        <v>7.6</v>
      </c>
    </row>
    <row r="451" spans="1:3" x14ac:dyDescent="0.25">
      <c r="A451" t="s">
        <v>49</v>
      </c>
      <c r="B451">
        <v>2023</v>
      </c>
      <c r="C451">
        <v>8.1999999999999993</v>
      </c>
    </row>
    <row r="452" spans="1:3" x14ac:dyDescent="0.25">
      <c r="A452" t="s">
        <v>50</v>
      </c>
      <c r="B452">
        <v>2023</v>
      </c>
      <c r="C452">
        <v>7.7</v>
      </c>
    </row>
    <row r="453" spans="1:3" x14ac:dyDescent="0.25">
      <c r="A453" t="s">
        <v>51</v>
      </c>
      <c r="B453">
        <v>2023</v>
      </c>
      <c r="C453">
        <v>8.9</v>
      </c>
    </row>
    <row r="454" spans="1:3" x14ac:dyDescent="0.25">
      <c r="A454" t="s">
        <v>52</v>
      </c>
      <c r="B454">
        <v>2023</v>
      </c>
      <c r="C454">
        <v>8.4</v>
      </c>
    </row>
    <row r="455" spans="1:3" x14ac:dyDescent="0.25">
      <c r="A455" t="s">
        <v>53</v>
      </c>
      <c r="B455">
        <v>2023</v>
      </c>
      <c r="C455">
        <v>7.6</v>
      </c>
    </row>
    <row r="456" spans="1:3" x14ac:dyDescent="0.25">
      <c r="A456" t="s">
        <v>54</v>
      </c>
      <c r="B456">
        <v>2023</v>
      </c>
      <c r="C456">
        <v>8.9</v>
      </c>
    </row>
    <row r="457" spans="1:3" x14ac:dyDescent="0.25">
      <c r="A457" t="s">
        <v>55</v>
      </c>
      <c r="B457">
        <v>2023</v>
      </c>
      <c r="C457">
        <v>7.2</v>
      </c>
    </row>
    <row r="458" spans="1:3" x14ac:dyDescent="0.25">
      <c r="A458" t="s">
        <v>56</v>
      </c>
      <c r="B458">
        <v>2023</v>
      </c>
      <c r="C458">
        <v>6.1</v>
      </c>
    </row>
    <row r="459" spans="1:3" x14ac:dyDescent="0.25">
      <c r="A459" t="s">
        <v>7</v>
      </c>
      <c r="B459">
        <v>2024</v>
      </c>
      <c r="C459">
        <v>2.6</v>
      </c>
    </row>
    <row r="460" spans="1:3" x14ac:dyDescent="0.25">
      <c r="A460" t="s">
        <v>8</v>
      </c>
      <c r="B460">
        <v>2024</v>
      </c>
      <c r="C460">
        <v>0.2</v>
      </c>
    </row>
    <row r="461" spans="1:3" x14ac:dyDescent="0.25">
      <c r="A461" t="s">
        <v>9</v>
      </c>
      <c r="B461">
        <v>2024</v>
      </c>
      <c r="C461">
        <v>1</v>
      </c>
    </row>
    <row r="462" spans="1:3" x14ac:dyDescent="0.25">
      <c r="A462" t="s">
        <v>10</v>
      </c>
      <c r="B462">
        <v>2024</v>
      </c>
      <c r="C462">
        <v>0.2</v>
      </c>
    </row>
    <row r="463" spans="1:3" x14ac:dyDescent="0.25">
      <c r="A463" t="s">
        <v>11</v>
      </c>
      <c r="B463">
        <v>2024</v>
      </c>
      <c r="C463">
        <v>1.6</v>
      </c>
    </row>
    <row r="464" spans="1:3" x14ac:dyDescent="0.25">
      <c r="A464" t="s">
        <v>12</v>
      </c>
      <c r="B464">
        <v>2024</v>
      </c>
      <c r="C464">
        <v>-0.1</v>
      </c>
    </row>
    <row r="465" spans="1:3" x14ac:dyDescent="0.25">
      <c r="A465" t="s">
        <v>13</v>
      </c>
      <c r="B465">
        <v>2024</v>
      </c>
      <c r="C465">
        <v>3.4</v>
      </c>
    </row>
    <row r="466" spans="1:3" x14ac:dyDescent="0.25">
      <c r="A466" t="s">
        <v>14</v>
      </c>
      <c r="B466">
        <v>2024</v>
      </c>
      <c r="C466">
        <v>1.8</v>
      </c>
    </row>
    <row r="467" spans="1:3" x14ac:dyDescent="0.25">
      <c r="A467" t="s">
        <v>15</v>
      </c>
      <c r="B467">
        <v>2024</v>
      </c>
      <c r="C467">
        <v>0.5</v>
      </c>
    </row>
    <row r="468" spans="1:3" x14ac:dyDescent="0.25">
      <c r="A468" t="s">
        <v>16</v>
      </c>
      <c r="B468">
        <v>2024</v>
      </c>
      <c r="C468">
        <v>0.2</v>
      </c>
    </row>
    <row r="469" spans="1:3" x14ac:dyDescent="0.25">
      <c r="A469" t="s">
        <v>17</v>
      </c>
      <c r="B469">
        <v>2024</v>
      </c>
      <c r="C469">
        <v>-0.1</v>
      </c>
    </row>
    <row r="470" spans="1:3" x14ac:dyDescent="0.25">
      <c r="A470" t="s">
        <v>18</v>
      </c>
      <c r="B470">
        <v>2024</v>
      </c>
      <c r="C470">
        <v>2.2999999999999998</v>
      </c>
    </row>
    <row r="471" spans="1:3" x14ac:dyDescent="0.25">
      <c r="A471" t="s">
        <v>19</v>
      </c>
      <c r="B471">
        <v>2024</v>
      </c>
      <c r="C471">
        <v>0.4</v>
      </c>
    </row>
    <row r="472" spans="1:3" x14ac:dyDescent="0.25">
      <c r="A472" t="s">
        <v>20</v>
      </c>
      <c r="B472">
        <v>2024</v>
      </c>
      <c r="C472">
        <v>0.9</v>
      </c>
    </row>
    <row r="473" spans="1:3" x14ac:dyDescent="0.25">
      <c r="A473" t="s">
        <v>21</v>
      </c>
      <c r="B473">
        <v>2024</v>
      </c>
      <c r="C473">
        <v>0.2</v>
      </c>
    </row>
    <row r="474" spans="1:3" x14ac:dyDescent="0.25">
      <c r="A474" t="s">
        <v>22</v>
      </c>
      <c r="B474">
        <v>2024</v>
      </c>
      <c r="C474">
        <v>2.8</v>
      </c>
    </row>
    <row r="475" spans="1:3" x14ac:dyDescent="0.25">
      <c r="A475" t="s">
        <v>23</v>
      </c>
      <c r="B475">
        <v>2024</v>
      </c>
      <c r="C475">
        <v>2.6</v>
      </c>
    </row>
    <row r="476" spans="1:3" x14ac:dyDescent="0.25">
      <c r="A476" t="s">
        <v>24</v>
      </c>
      <c r="B476">
        <v>2024</v>
      </c>
      <c r="C476">
        <v>1.9</v>
      </c>
    </row>
    <row r="477" spans="1:3" x14ac:dyDescent="0.25">
      <c r="A477" t="s">
        <v>25</v>
      </c>
      <c r="B477">
        <v>2024</v>
      </c>
      <c r="C477">
        <v>0.3</v>
      </c>
    </row>
    <row r="478" spans="1:3" x14ac:dyDescent="0.25">
      <c r="A478" t="s">
        <v>26</v>
      </c>
      <c r="B478">
        <v>2024</v>
      </c>
      <c r="C478">
        <v>0.5</v>
      </c>
    </row>
    <row r="479" spans="1:3" x14ac:dyDescent="0.25">
      <c r="A479" t="s">
        <v>27</v>
      </c>
      <c r="B479">
        <v>2024</v>
      </c>
      <c r="C479">
        <v>2</v>
      </c>
    </row>
    <row r="480" spans="1:3" x14ac:dyDescent="0.25">
      <c r="A480" t="s">
        <v>28</v>
      </c>
      <c r="B480">
        <v>2024</v>
      </c>
      <c r="C480">
        <v>0.7</v>
      </c>
    </row>
    <row r="481" spans="1:3" x14ac:dyDescent="0.25">
      <c r="A481" t="s">
        <v>29</v>
      </c>
      <c r="B481">
        <v>2024</v>
      </c>
      <c r="C481">
        <v>1.8</v>
      </c>
    </row>
    <row r="482" spans="1:3" x14ac:dyDescent="0.25">
      <c r="A482" t="s">
        <v>30</v>
      </c>
      <c r="B482">
        <v>2024</v>
      </c>
      <c r="C482">
        <v>1.4</v>
      </c>
    </row>
    <row r="483" spans="1:3" x14ac:dyDescent="0.25">
      <c r="A483" t="s">
        <v>31</v>
      </c>
      <c r="B483">
        <v>2024</v>
      </c>
      <c r="C483">
        <v>1.5</v>
      </c>
    </row>
    <row r="484" spans="1:3" x14ac:dyDescent="0.25">
      <c r="A484" t="s">
        <v>32</v>
      </c>
      <c r="B484">
        <v>2024</v>
      </c>
      <c r="C484">
        <v>1.6</v>
      </c>
    </row>
    <row r="485" spans="1:3" x14ac:dyDescent="0.25">
      <c r="A485" t="s">
        <v>33</v>
      </c>
      <c r="B485">
        <v>2024</v>
      </c>
      <c r="C485">
        <v>1.7</v>
      </c>
    </row>
    <row r="486" spans="1:3" x14ac:dyDescent="0.25">
      <c r="A486" t="s">
        <v>34</v>
      </c>
      <c r="B486">
        <v>2024</v>
      </c>
      <c r="C486">
        <v>3</v>
      </c>
    </row>
    <row r="487" spans="1:3" x14ac:dyDescent="0.25">
      <c r="A487" t="s">
        <v>35</v>
      </c>
      <c r="B487">
        <v>2024</v>
      </c>
      <c r="C487">
        <v>-0.1</v>
      </c>
    </row>
    <row r="488" spans="1:3" x14ac:dyDescent="0.25">
      <c r="A488" t="s">
        <v>36</v>
      </c>
      <c r="B488">
        <v>2024</v>
      </c>
      <c r="C488">
        <v>2.5</v>
      </c>
    </row>
    <row r="489" spans="1:3" x14ac:dyDescent="0.25">
      <c r="A489" t="s">
        <v>37</v>
      </c>
      <c r="B489">
        <v>2024</v>
      </c>
      <c r="C489">
        <v>0.6</v>
      </c>
    </row>
    <row r="490" spans="1:3" x14ac:dyDescent="0.25">
      <c r="A490" t="s">
        <v>38</v>
      </c>
      <c r="B490">
        <v>2024</v>
      </c>
      <c r="C490">
        <v>0.1</v>
      </c>
    </row>
    <row r="491" spans="1:3" x14ac:dyDescent="0.25">
      <c r="A491" t="s">
        <v>39</v>
      </c>
      <c r="B491">
        <v>2024</v>
      </c>
      <c r="C491">
        <v>1.6</v>
      </c>
    </row>
    <row r="492" spans="1:3" x14ac:dyDescent="0.25">
      <c r="A492" t="s">
        <v>40</v>
      </c>
      <c r="B492">
        <v>2024</v>
      </c>
      <c r="C492">
        <v>-0.3</v>
      </c>
    </row>
    <row r="493" spans="1:3" x14ac:dyDescent="0.25">
      <c r="A493" t="s">
        <v>41</v>
      </c>
      <c r="B493">
        <v>2024</v>
      </c>
      <c r="C493">
        <v>1.9</v>
      </c>
    </row>
    <row r="494" spans="1:3" x14ac:dyDescent="0.25">
      <c r="A494" t="s">
        <v>42</v>
      </c>
      <c r="B494">
        <v>2024</v>
      </c>
      <c r="C494">
        <v>2.4</v>
      </c>
    </row>
    <row r="495" spans="1:3" x14ac:dyDescent="0.25">
      <c r="A495" t="s">
        <v>43</v>
      </c>
      <c r="B495">
        <v>2024</v>
      </c>
      <c r="C495">
        <v>2.7</v>
      </c>
    </row>
    <row r="496" spans="1:3" x14ac:dyDescent="0.25">
      <c r="A496" t="s">
        <v>44</v>
      </c>
      <c r="B496">
        <v>2024</v>
      </c>
      <c r="C496">
        <v>0.8</v>
      </c>
    </row>
    <row r="497" spans="1:3" x14ac:dyDescent="0.25">
      <c r="A497" t="s">
        <v>45</v>
      </c>
      <c r="B497">
        <v>2024</v>
      </c>
      <c r="C497">
        <v>2.8</v>
      </c>
    </row>
    <row r="498" spans="1:3" x14ac:dyDescent="0.25">
      <c r="A498" t="s">
        <v>46</v>
      </c>
      <c r="B498">
        <v>2024</v>
      </c>
      <c r="C498">
        <v>3.2</v>
      </c>
    </row>
    <row r="499" spans="1:3" x14ac:dyDescent="0.25">
      <c r="A499" t="s">
        <v>47</v>
      </c>
      <c r="B499">
        <v>2024</v>
      </c>
      <c r="C499">
        <v>0.4</v>
      </c>
    </row>
    <row r="500" spans="1:3" x14ac:dyDescent="0.25">
      <c r="A500" t="s">
        <v>48</v>
      </c>
      <c r="B500">
        <v>2024</v>
      </c>
      <c r="C500">
        <v>2.2000000000000002</v>
      </c>
    </row>
    <row r="501" spans="1:3" x14ac:dyDescent="0.25">
      <c r="A501" t="s">
        <v>49</v>
      </c>
      <c r="B501">
        <v>2024</v>
      </c>
      <c r="C501">
        <v>1.9</v>
      </c>
    </row>
    <row r="502" spans="1:3" x14ac:dyDescent="0.25">
      <c r="A502" t="s">
        <v>50</v>
      </c>
      <c r="B502">
        <v>2024</v>
      </c>
      <c r="C502">
        <v>2.2999999999999998</v>
      </c>
    </row>
    <row r="503" spans="1:3" x14ac:dyDescent="0.25">
      <c r="A503" t="s">
        <v>51</v>
      </c>
      <c r="B503">
        <v>2024</v>
      </c>
      <c r="C503">
        <v>3.1</v>
      </c>
    </row>
    <row r="504" spans="1:3" x14ac:dyDescent="0.25">
      <c r="A504" t="s">
        <v>52</v>
      </c>
      <c r="B504">
        <v>2024</v>
      </c>
      <c r="C504">
        <v>1.2</v>
      </c>
    </row>
    <row r="505" spans="1:3" x14ac:dyDescent="0.25">
      <c r="A505" t="s">
        <v>53</v>
      </c>
      <c r="B505">
        <v>2024</v>
      </c>
      <c r="C505">
        <v>0.4</v>
      </c>
    </row>
    <row r="506" spans="1:3" x14ac:dyDescent="0.25">
      <c r="A506" t="s">
        <v>54</v>
      </c>
      <c r="B506">
        <v>2024</v>
      </c>
      <c r="C506">
        <v>-0.2</v>
      </c>
    </row>
    <row r="507" spans="1:3" x14ac:dyDescent="0.25">
      <c r="A507" t="s">
        <v>55</v>
      </c>
      <c r="B507">
        <v>2024</v>
      </c>
      <c r="C507">
        <v>1.2</v>
      </c>
    </row>
    <row r="508" spans="1:3" x14ac:dyDescent="0.25">
      <c r="A508" t="s">
        <v>56</v>
      </c>
      <c r="B508">
        <v>2024</v>
      </c>
      <c r="C508">
        <v>-0.3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8330-01B1-4D0C-8F25-33BFBC324AF2}">
  <dimension ref="A1:C508"/>
  <sheetViews>
    <sheetView workbookViewId="0">
      <selection activeCell="H12" sqref="H12"/>
    </sheetView>
  </sheetViews>
  <sheetFormatPr defaultRowHeight="15" x14ac:dyDescent="0.25"/>
  <cols>
    <col min="3" max="3" width="15.28515625" bestFit="1" customWidth="1"/>
    <col min="4" max="4" width="17.28515625" customWidth="1"/>
    <col min="5" max="5" width="13.42578125" customWidth="1"/>
  </cols>
  <sheetData>
    <row r="1" spans="1:3" x14ac:dyDescent="0.25">
      <c r="A1" t="str">
        <f>'WP by State &amp; Segment'!A1</f>
        <v>Insurer NJ Umbrella</v>
      </c>
    </row>
    <row r="2" spans="1:3" x14ac:dyDescent="0.25">
      <c r="A2" t="str">
        <f>'WP by State &amp; Segment'!A2</f>
        <v>Umbrella Excess of Loss reinsurance program</v>
      </c>
    </row>
    <row r="3" spans="1:3" x14ac:dyDescent="0.25">
      <c r="A3" t="str">
        <f>'WP by State &amp; Segment'!A3</f>
        <v>Effective: 04/01/2025</v>
      </c>
    </row>
    <row r="4" spans="1:3" x14ac:dyDescent="0.25">
      <c r="A4" t="str">
        <f>'WP by State &amp; Segment'!A4</f>
        <v>Data as of: 11/30/2024</v>
      </c>
    </row>
    <row r="6" spans="1:3" x14ac:dyDescent="0.25">
      <c r="A6" t="s">
        <v>91</v>
      </c>
    </row>
    <row r="8" spans="1:3" x14ac:dyDescent="0.25">
      <c r="A8" t="s">
        <v>6</v>
      </c>
      <c r="B8" t="s">
        <v>89</v>
      </c>
      <c r="C8" t="s">
        <v>90</v>
      </c>
    </row>
    <row r="9" spans="1:3" x14ac:dyDescent="0.25">
      <c r="A9" t="s">
        <v>7</v>
      </c>
      <c r="B9">
        <v>2015</v>
      </c>
      <c r="C9">
        <v>3.1</v>
      </c>
    </row>
    <row r="10" spans="1:3" x14ac:dyDescent="0.25">
      <c r="A10" t="s">
        <v>8</v>
      </c>
      <c r="B10">
        <v>2015</v>
      </c>
      <c r="C10">
        <v>5</v>
      </c>
    </row>
    <row r="11" spans="1:3" x14ac:dyDescent="0.25">
      <c r="A11" t="s">
        <v>9</v>
      </c>
      <c r="B11">
        <v>2015</v>
      </c>
      <c r="C11">
        <v>5.3</v>
      </c>
    </row>
    <row r="12" spans="1:3" x14ac:dyDescent="0.25">
      <c r="A12" t="s">
        <v>10</v>
      </c>
      <c r="B12">
        <v>2015</v>
      </c>
      <c r="C12">
        <v>1.9</v>
      </c>
    </row>
    <row r="13" spans="1:3" x14ac:dyDescent="0.25">
      <c r="A13" t="s">
        <v>11</v>
      </c>
      <c r="B13">
        <v>2015</v>
      </c>
      <c r="C13">
        <v>0.7</v>
      </c>
    </row>
    <row r="14" spans="1:3" x14ac:dyDescent="0.25">
      <c r="A14" t="s">
        <v>12</v>
      </c>
      <c r="B14">
        <v>2015</v>
      </c>
      <c r="C14">
        <v>3.4</v>
      </c>
    </row>
    <row r="15" spans="1:3" x14ac:dyDescent="0.25">
      <c r="A15" t="s">
        <v>13</v>
      </c>
      <c r="B15">
        <v>2015</v>
      </c>
      <c r="C15">
        <v>4.3</v>
      </c>
    </row>
    <row r="16" spans="1:3" x14ac:dyDescent="0.25">
      <c r="A16" t="s">
        <v>14</v>
      </c>
      <c r="B16">
        <v>2015</v>
      </c>
      <c r="C16">
        <v>2.2000000000000002</v>
      </c>
    </row>
    <row r="17" spans="1:3" x14ac:dyDescent="0.25">
      <c r="A17" t="s">
        <v>15</v>
      </c>
      <c r="B17">
        <v>2015</v>
      </c>
      <c r="C17">
        <v>2.9</v>
      </c>
    </row>
    <row r="18" spans="1:3" x14ac:dyDescent="0.25">
      <c r="A18" t="s">
        <v>16</v>
      </c>
      <c r="B18">
        <v>2015</v>
      </c>
      <c r="C18">
        <v>0</v>
      </c>
    </row>
    <row r="19" spans="1:3" x14ac:dyDescent="0.25">
      <c r="A19" t="s">
        <v>17</v>
      </c>
      <c r="B19">
        <v>2015</v>
      </c>
      <c r="C19">
        <v>5.5</v>
      </c>
    </row>
    <row r="20" spans="1:3" x14ac:dyDescent="0.25">
      <c r="A20" t="s">
        <v>18</v>
      </c>
      <c r="B20">
        <v>2015</v>
      </c>
      <c r="C20">
        <v>3.6</v>
      </c>
    </row>
    <row r="21" spans="1:3" x14ac:dyDescent="0.25">
      <c r="A21" t="s">
        <v>19</v>
      </c>
      <c r="B21">
        <v>2015</v>
      </c>
      <c r="C21">
        <v>0</v>
      </c>
    </row>
    <row r="22" spans="1:3" x14ac:dyDescent="0.25">
      <c r="A22" t="s">
        <v>20</v>
      </c>
      <c r="B22">
        <v>2015</v>
      </c>
      <c r="C22">
        <v>3.7</v>
      </c>
    </row>
    <row r="23" spans="1:3" x14ac:dyDescent="0.25">
      <c r="A23" t="s">
        <v>21</v>
      </c>
      <c r="B23">
        <v>2015</v>
      </c>
      <c r="C23">
        <v>-0.1</v>
      </c>
    </row>
    <row r="24" spans="1:3" x14ac:dyDescent="0.25">
      <c r="A24" t="s">
        <v>22</v>
      </c>
      <c r="B24">
        <v>2015</v>
      </c>
      <c r="C24">
        <v>4.7</v>
      </c>
    </row>
    <row r="25" spans="1:3" x14ac:dyDescent="0.25">
      <c r="A25" t="s">
        <v>23</v>
      </c>
      <c r="B25">
        <v>2015</v>
      </c>
      <c r="C25">
        <v>4.0999999999999996</v>
      </c>
    </row>
    <row r="26" spans="1:3" x14ac:dyDescent="0.25">
      <c r="A26" t="s">
        <v>24</v>
      </c>
      <c r="B26">
        <v>2015</v>
      </c>
      <c r="C26">
        <v>0.3</v>
      </c>
    </row>
    <row r="27" spans="1:3" x14ac:dyDescent="0.25">
      <c r="A27" t="s">
        <v>25</v>
      </c>
      <c r="B27">
        <v>2015</v>
      </c>
      <c r="C27">
        <v>4.9000000000000004</v>
      </c>
    </row>
    <row r="28" spans="1:3" x14ac:dyDescent="0.25">
      <c r="A28" t="s">
        <v>26</v>
      </c>
      <c r="B28">
        <v>2015</v>
      </c>
      <c r="C28">
        <v>2.5</v>
      </c>
    </row>
    <row r="29" spans="1:3" x14ac:dyDescent="0.25">
      <c r="A29" t="s">
        <v>27</v>
      </c>
      <c r="B29">
        <v>2015</v>
      </c>
      <c r="C29">
        <v>4.4000000000000004</v>
      </c>
    </row>
    <row r="30" spans="1:3" x14ac:dyDescent="0.25">
      <c r="A30" t="s">
        <v>28</v>
      </c>
      <c r="B30">
        <v>2015</v>
      </c>
      <c r="C30">
        <v>1.9</v>
      </c>
    </row>
    <row r="31" spans="1:3" x14ac:dyDescent="0.25">
      <c r="A31" t="s">
        <v>29</v>
      </c>
      <c r="B31">
        <v>2015</v>
      </c>
      <c r="C31">
        <v>3</v>
      </c>
    </row>
    <row r="32" spans="1:3" x14ac:dyDescent="0.25">
      <c r="A32" t="s">
        <v>30</v>
      </c>
      <c r="B32">
        <v>2015</v>
      </c>
      <c r="C32">
        <v>5.7</v>
      </c>
    </row>
    <row r="33" spans="1:3" x14ac:dyDescent="0.25">
      <c r="A33" t="s">
        <v>31</v>
      </c>
      <c r="B33">
        <v>2015</v>
      </c>
      <c r="C33">
        <v>5</v>
      </c>
    </row>
    <row r="34" spans="1:3" x14ac:dyDescent="0.25">
      <c r="A34" t="s">
        <v>32</v>
      </c>
      <c r="B34">
        <v>2015</v>
      </c>
      <c r="C34">
        <v>5.3</v>
      </c>
    </row>
    <row r="35" spans="1:3" x14ac:dyDescent="0.25">
      <c r="A35" t="s">
        <v>33</v>
      </c>
      <c r="B35">
        <v>2015</v>
      </c>
      <c r="C35">
        <v>3.4</v>
      </c>
    </row>
    <row r="36" spans="1:3" x14ac:dyDescent="0.25">
      <c r="A36" t="s">
        <v>34</v>
      </c>
      <c r="B36">
        <v>2015</v>
      </c>
      <c r="C36">
        <v>3.6</v>
      </c>
    </row>
    <row r="37" spans="1:3" x14ac:dyDescent="0.25">
      <c r="A37" t="s">
        <v>35</v>
      </c>
      <c r="B37">
        <v>2015</v>
      </c>
      <c r="C37">
        <v>0.5</v>
      </c>
    </row>
    <row r="38" spans="1:3" x14ac:dyDescent="0.25">
      <c r="A38" t="s">
        <v>36</v>
      </c>
      <c r="B38">
        <v>2015</v>
      </c>
      <c r="C38">
        <v>0.4</v>
      </c>
    </row>
    <row r="39" spans="1:3" x14ac:dyDescent="0.25">
      <c r="A39" t="s">
        <v>37</v>
      </c>
      <c r="B39">
        <v>2015</v>
      </c>
      <c r="C39">
        <v>5.2</v>
      </c>
    </row>
    <row r="40" spans="1:3" x14ac:dyDescent="0.25">
      <c r="A40" t="s">
        <v>38</v>
      </c>
      <c r="B40">
        <v>2015</v>
      </c>
      <c r="C40">
        <v>0.7</v>
      </c>
    </row>
    <row r="41" spans="1:3" x14ac:dyDescent="0.25">
      <c r="A41" t="s">
        <v>39</v>
      </c>
      <c r="B41">
        <v>2015</v>
      </c>
      <c r="C41">
        <v>0.6</v>
      </c>
    </row>
    <row r="42" spans="1:3" x14ac:dyDescent="0.25">
      <c r="A42" t="s">
        <v>40</v>
      </c>
      <c r="B42">
        <v>2015</v>
      </c>
      <c r="C42">
        <v>0.1</v>
      </c>
    </row>
    <row r="43" spans="1:3" x14ac:dyDescent="0.25">
      <c r="A43" t="s">
        <v>41</v>
      </c>
      <c r="B43">
        <v>2015</v>
      </c>
      <c r="C43">
        <v>1.3</v>
      </c>
    </row>
    <row r="44" spans="1:3" x14ac:dyDescent="0.25">
      <c r="A44" t="s">
        <v>42</v>
      </c>
      <c r="B44">
        <v>2015</v>
      </c>
      <c r="C44">
        <v>0.6</v>
      </c>
    </row>
    <row r="45" spans="1:3" x14ac:dyDescent="0.25">
      <c r="A45" t="s">
        <v>43</v>
      </c>
      <c r="B45">
        <v>2015</v>
      </c>
      <c r="C45">
        <v>0.2</v>
      </c>
    </row>
    <row r="46" spans="1:3" x14ac:dyDescent="0.25">
      <c r="A46" t="s">
        <v>44</v>
      </c>
      <c r="B46">
        <v>2015</v>
      </c>
      <c r="C46">
        <v>4.3</v>
      </c>
    </row>
    <row r="47" spans="1:3" x14ac:dyDescent="0.25">
      <c r="A47" t="s">
        <v>45</v>
      </c>
      <c r="B47">
        <v>2015</v>
      </c>
      <c r="C47">
        <v>3.3</v>
      </c>
    </row>
    <row r="48" spans="1:3" x14ac:dyDescent="0.25">
      <c r="A48" t="s">
        <v>46</v>
      </c>
      <c r="B48">
        <v>2015</v>
      </c>
      <c r="C48">
        <v>4</v>
      </c>
    </row>
    <row r="49" spans="1:3" x14ac:dyDescent="0.25">
      <c r="A49" t="s">
        <v>47</v>
      </c>
      <c r="B49">
        <v>2015</v>
      </c>
      <c r="C49">
        <v>0.4</v>
      </c>
    </row>
    <row r="50" spans="1:3" x14ac:dyDescent="0.25">
      <c r="A50" t="s">
        <v>48</v>
      </c>
      <c r="B50">
        <v>2015</v>
      </c>
      <c r="C50">
        <v>2.7</v>
      </c>
    </row>
    <row r="51" spans="1:3" x14ac:dyDescent="0.25">
      <c r="A51" t="s">
        <v>49</v>
      </c>
      <c r="B51">
        <v>2015</v>
      </c>
      <c r="C51">
        <v>1</v>
      </c>
    </row>
    <row r="52" spans="1:3" x14ac:dyDescent="0.25">
      <c r="A52" t="s">
        <v>50</v>
      </c>
      <c r="B52">
        <v>2015</v>
      </c>
      <c r="C52">
        <v>5.9</v>
      </c>
    </row>
    <row r="53" spans="1:3" x14ac:dyDescent="0.25">
      <c r="A53" t="s">
        <v>51</v>
      </c>
      <c r="B53">
        <v>2015</v>
      </c>
      <c r="C53">
        <v>0.1</v>
      </c>
    </row>
    <row r="54" spans="1:3" x14ac:dyDescent="0.25">
      <c r="A54" t="s">
        <v>52</v>
      </c>
      <c r="B54">
        <v>2015</v>
      </c>
      <c r="C54">
        <v>5.2</v>
      </c>
    </row>
    <row r="55" spans="1:3" x14ac:dyDescent="0.25">
      <c r="A55" t="s">
        <v>53</v>
      </c>
      <c r="B55">
        <v>2015</v>
      </c>
      <c r="C55">
        <v>2.7</v>
      </c>
    </row>
    <row r="56" spans="1:3" x14ac:dyDescent="0.25">
      <c r="A56" t="s">
        <v>54</v>
      </c>
      <c r="B56">
        <v>2015</v>
      </c>
      <c r="C56">
        <v>1.3</v>
      </c>
    </row>
    <row r="57" spans="1:3" x14ac:dyDescent="0.25">
      <c r="A57" t="s">
        <v>55</v>
      </c>
      <c r="B57">
        <v>2015</v>
      </c>
      <c r="C57">
        <v>5.2</v>
      </c>
    </row>
    <row r="58" spans="1:3" x14ac:dyDescent="0.25">
      <c r="A58" t="s">
        <v>56</v>
      </c>
      <c r="B58">
        <v>2015</v>
      </c>
      <c r="C58">
        <v>4.9000000000000004</v>
      </c>
    </row>
    <row r="59" spans="1:3" x14ac:dyDescent="0.25">
      <c r="A59" t="s">
        <v>7</v>
      </c>
      <c r="B59">
        <v>2016</v>
      </c>
      <c r="C59">
        <v>2.2999999999999998</v>
      </c>
    </row>
    <row r="60" spans="1:3" x14ac:dyDescent="0.25">
      <c r="A60" t="s">
        <v>8</v>
      </c>
      <c r="B60">
        <v>2016</v>
      </c>
      <c r="C60">
        <v>4.9000000000000004</v>
      </c>
    </row>
    <row r="61" spans="1:3" x14ac:dyDescent="0.25">
      <c r="A61" t="s">
        <v>9</v>
      </c>
      <c r="B61">
        <v>2016</v>
      </c>
      <c r="C61">
        <v>7.3</v>
      </c>
    </row>
    <row r="62" spans="1:3" x14ac:dyDescent="0.25">
      <c r="A62" t="s">
        <v>10</v>
      </c>
      <c r="B62">
        <v>2016</v>
      </c>
      <c r="C62">
        <v>1.6</v>
      </c>
    </row>
    <row r="63" spans="1:3" x14ac:dyDescent="0.25">
      <c r="A63" t="s">
        <v>11</v>
      </c>
      <c r="B63">
        <v>2016</v>
      </c>
      <c r="C63">
        <v>1.8</v>
      </c>
    </row>
    <row r="64" spans="1:3" x14ac:dyDescent="0.25">
      <c r="A64" t="s">
        <v>12</v>
      </c>
      <c r="B64">
        <v>2016</v>
      </c>
      <c r="C64">
        <v>1.6</v>
      </c>
    </row>
    <row r="65" spans="1:3" x14ac:dyDescent="0.25">
      <c r="A65" t="s">
        <v>13</v>
      </c>
      <c r="B65">
        <v>2016</v>
      </c>
      <c r="C65">
        <v>2.5</v>
      </c>
    </row>
    <row r="66" spans="1:3" x14ac:dyDescent="0.25">
      <c r="A66" t="s">
        <v>14</v>
      </c>
      <c r="B66">
        <v>2016</v>
      </c>
      <c r="C66">
        <v>3.5</v>
      </c>
    </row>
    <row r="67" spans="1:3" x14ac:dyDescent="0.25">
      <c r="A67" t="s">
        <v>15</v>
      </c>
      <c r="B67">
        <v>2016</v>
      </c>
      <c r="C67">
        <v>3.5</v>
      </c>
    </row>
    <row r="68" spans="1:3" x14ac:dyDescent="0.25">
      <c r="A68" t="s">
        <v>16</v>
      </c>
      <c r="B68">
        <v>2016</v>
      </c>
      <c r="C68">
        <v>3.6</v>
      </c>
    </row>
    <row r="69" spans="1:3" x14ac:dyDescent="0.25">
      <c r="A69" t="s">
        <v>17</v>
      </c>
      <c r="B69">
        <v>2016</v>
      </c>
      <c r="C69">
        <v>2.6</v>
      </c>
    </row>
    <row r="70" spans="1:3" x14ac:dyDescent="0.25">
      <c r="A70" t="s">
        <v>18</v>
      </c>
      <c r="B70">
        <v>2016</v>
      </c>
      <c r="C70">
        <v>5.5</v>
      </c>
    </row>
    <row r="71" spans="1:3" x14ac:dyDescent="0.25">
      <c r="A71" t="s">
        <v>19</v>
      </c>
      <c r="B71">
        <v>2016</v>
      </c>
      <c r="C71">
        <v>7.1</v>
      </c>
    </row>
    <row r="72" spans="1:3" x14ac:dyDescent="0.25">
      <c r="A72" t="s">
        <v>20</v>
      </c>
      <c r="B72">
        <v>2016</v>
      </c>
      <c r="C72">
        <v>4.0999999999999996</v>
      </c>
    </row>
    <row r="73" spans="1:3" x14ac:dyDescent="0.25">
      <c r="A73" t="s">
        <v>21</v>
      </c>
      <c r="B73">
        <v>2016</v>
      </c>
      <c r="C73">
        <v>7.3</v>
      </c>
    </row>
    <row r="74" spans="1:3" x14ac:dyDescent="0.25">
      <c r="A74" t="s">
        <v>22</v>
      </c>
      <c r="B74">
        <v>2016</v>
      </c>
      <c r="C74">
        <v>5.9</v>
      </c>
    </row>
    <row r="75" spans="1:3" x14ac:dyDescent="0.25">
      <c r="A75" t="s">
        <v>23</v>
      </c>
      <c r="B75">
        <v>2016</v>
      </c>
      <c r="C75">
        <v>5.9</v>
      </c>
    </row>
    <row r="76" spans="1:3" x14ac:dyDescent="0.25">
      <c r="A76" t="s">
        <v>24</v>
      </c>
      <c r="B76">
        <v>2016</v>
      </c>
      <c r="C76">
        <v>7.4</v>
      </c>
    </row>
    <row r="77" spans="1:3" x14ac:dyDescent="0.25">
      <c r="A77" t="s">
        <v>25</v>
      </c>
      <c r="B77">
        <v>2016</v>
      </c>
      <c r="C77">
        <v>6.7</v>
      </c>
    </row>
    <row r="78" spans="1:3" x14ac:dyDescent="0.25">
      <c r="A78" t="s">
        <v>26</v>
      </c>
      <c r="B78">
        <v>2016</v>
      </c>
      <c r="C78">
        <v>6.2</v>
      </c>
    </row>
    <row r="79" spans="1:3" x14ac:dyDescent="0.25">
      <c r="A79" t="s">
        <v>27</v>
      </c>
      <c r="B79">
        <v>2016</v>
      </c>
      <c r="C79">
        <v>2.2999999999999998</v>
      </c>
    </row>
    <row r="80" spans="1:3" x14ac:dyDescent="0.25">
      <c r="A80" t="s">
        <v>28</v>
      </c>
      <c r="B80">
        <v>2016</v>
      </c>
      <c r="C80">
        <v>4.4000000000000004</v>
      </c>
    </row>
    <row r="81" spans="1:3" x14ac:dyDescent="0.25">
      <c r="A81" t="s">
        <v>29</v>
      </c>
      <c r="B81">
        <v>2016</v>
      </c>
      <c r="C81">
        <v>3.7</v>
      </c>
    </row>
    <row r="82" spans="1:3" x14ac:dyDescent="0.25">
      <c r="A82" t="s">
        <v>30</v>
      </c>
      <c r="B82">
        <v>2016</v>
      </c>
      <c r="C82">
        <v>2.9</v>
      </c>
    </row>
    <row r="83" spans="1:3" x14ac:dyDescent="0.25">
      <c r="A83" t="s">
        <v>31</v>
      </c>
      <c r="B83">
        <v>2016</v>
      </c>
      <c r="C83">
        <v>3.2</v>
      </c>
    </row>
    <row r="84" spans="1:3" x14ac:dyDescent="0.25">
      <c r="A84" t="s">
        <v>32</v>
      </c>
      <c r="B84">
        <v>2016</v>
      </c>
      <c r="C84">
        <v>7.3</v>
      </c>
    </row>
    <row r="85" spans="1:3" x14ac:dyDescent="0.25">
      <c r="A85" t="s">
        <v>33</v>
      </c>
      <c r="B85">
        <v>2016</v>
      </c>
      <c r="C85">
        <v>6.8</v>
      </c>
    </row>
    <row r="86" spans="1:3" x14ac:dyDescent="0.25">
      <c r="A86" t="s">
        <v>34</v>
      </c>
      <c r="B86">
        <v>2016</v>
      </c>
      <c r="C86">
        <v>5.3</v>
      </c>
    </row>
    <row r="87" spans="1:3" x14ac:dyDescent="0.25">
      <c r="A87" t="s">
        <v>35</v>
      </c>
      <c r="B87">
        <v>2016</v>
      </c>
      <c r="C87">
        <v>6.4</v>
      </c>
    </row>
    <row r="88" spans="1:3" x14ac:dyDescent="0.25">
      <c r="A88" t="s">
        <v>36</v>
      </c>
      <c r="B88">
        <v>2016</v>
      </c>
      <c r="C88">
        <v>4.9000000000000004</v>
      </c>
    </row>
    <row r="89" spans="1:3" x14ac:dyDescent="0.25">
      <c r="A89" t="s">
        <v>37</v>
      </c>
      <c r="B89">
        <v>2016</v>
      </c>
      <c r="C89">
        <v>2.5</v>
      </c>
    </row>
    <row r="90" spans="1:3" x14ac:dyDescent="0.25">
      <c r="A90" t="s">
        <v>38</v>
      </c>
      <c r="B90">
        <v>2016</v>
      </c>
      <c r="C90">
        <v>1.7</v>
      </c>
    </row>
    <row r="91" spans="1:3" x14ac:dyDescent="0.25">
      <c r="A91" t="s">
        <v>39</v>
      </c>
      <c r="B91">
        <v>2016</v>
      </c>
      <c r="C91">
        <v>7</v>
      </c>
    </row>
    <row r="92" spans="1:3" x14ac:dyDescent="0.25">
      <c r="A92" t="s">
        <v>40</v>
      </c>
      <c r="B92">
        <v>2016</v>
      </c>
      <c r="C92">
        <v>7.3</v>
      </c>
    </row>
    <row r="93" spans="1:3" x14ac:dyDescent="0.25">
      <c r="A93" t="s">
        <v>41</v>
      </c>
      <c r="B93">
        <v>2016</v>
      </c>
      <c r="C93">
        <v>7</v>
      </c>
    </row>
    <row r="94" spans="1:3" x14ac:dyDescent="0.25">
      <c r="A94" t="s">
        <v>42</v>
      </c>
      <c r="B94">
        <v>2016</v>
      </c>
      <c r="C94">
        <v>5.0999999999999996</v>
      </c>
    </row>
    <row r="95" spans="1:3" x14ac:dyDescent="0.25">
      <c r="A95" t="s">
        <v>43</v>
      </c>
      <c r="B95">
        <v>2016</v>
      </c>
      <c r="C95">
        <v>1.9</v>
      </c>
    </row>
    <row r="96" spans="1:3" x14ac:dyDescent="0.25">
      <c r="A96" t="s">
        <v>44</v>
      </c>
      <c r="B96">
        <v>2016</v>
      </c>
      <c r="C96">
        <v>4.7</v>
      </c>
    </row>
    <row r="97" spans="1:3" x14ac:dyDescent="0.25">
      <c r="A97" t="s">
        <v>45</v>
      </c>
      <c r="B97">
        <v>2016</v>
      </c>
      <c r="C97">
        <v>6.7</v>
      </c>
    </row>
    <row r="98" spans="1:3" x14ac:dyDescent="0.25">
      <c r="A98" t="s">
        <v>46</v>
      </c>
      <c r="B98">
        <v>2016</v>
      </c>
      <c r="C98">
        <v>1.8</v>
      </c>
    </row>
    <row r="99" spans="1:3" x14ac:dyDescent="0.25">
      <c r="A99" t="s">
        <v>47</v>
      </c>
      <c r="B99">
        <v>2016</v>
      </c>
      <c r="C99">
        <v>3.8</v>
      </c>
    </row>
    <row r="100" spans="1:3" x14ac:dyDescent="0.25">
      <c r="A100" t="s">
        <v>48</v>
      </c>
      <c r="B100">
        <v>2016</v>
      </c>
      <c r="C100">
        <v>7.3</v>
      </c>
    </row>
    <row r="101" spans="1:3" x14ac:dyDescent="0.25">
      <c r="A101" t="s">
        <v>49</v>
      </c>
      <c r="B101">
        <v>2016</v>
      </c>
      <c r="C101">
        <v>7.1</v>
      </c>
    </row>
    <row r="102" spans="1:3" x14ac:dyDescent="0.25">
      <c r="A102" t="s">
        <v>50</v>
      </c>
      <c r="B102">
        <v>2016</v>
      </c>
      <c r="C102">
        <v>5.5</v>
      </c>
    </row>
    <row r="103" spans="1:3" x14ac:dyDescent="0.25">
      <c r="A103" t="s">
        <v>51</v>
      </c>
      <c r="B103">
        <v>2016</v>
      </c>
      <c r="C103">
        <v>6.5</v>
      </c>
    </row>
    <row r="104" spans="1:3" x14ac:dyDescent="0.25">
      <c r="A104" t="s">
        <v>52</v>
      </c>
      <c r="B104">
        <v>2016</v>
      </c>
      <c r="C104">
        <v>4.3</v>
      </c>
    </row>
    <row r="105" spans="1:3" x14ac:dyDescent="0.25">
      <c r="A105" t="s">
        <v>53</v>
      </c>
      <c r="B105">
        <v>2016</v>
      </c>
      <c r="C105">
        <v>3.5</v>
      </c>
    </row>
    <row r="106" spans="1:3" x14ac:dyDescent="0.25">
      <c r="A106" t="s">
        <v>54</v>
      </c>
      <c r="B106">
        <v>2016</v>
      </c>
      <c r="C106">
        <v>7.2</v>
      </c>
    </row>
    <row r="107" spans="1:3" x14ac:dyDescent="0.25">
      <c r="A107" t="s">
        <v>55</v>
      </c>
      <c r="B107">
        <v>2016</v>
      </c>
      <c r="C107">
        <v>4.2</v>
      </c>
    </row>
    <row r="108" spans="1:3" x14ac:dyDescent="0.25">
      <c r="A108" t="s">
        <v>56</v>
      </c>
      <c r="B108">
        <v>2016</v>
      </c>
      <c r="C108">
        <v>4.8</v>
      </c>
    </row>
    <row r="109" spans="1:3" x14ac:dyDescent="0.25">
      <c r="A109" t="s">
        <v>7</v>
      </c>
      <c r="B109">
        <v>2017</v>
      </c>
      <c r="C109">
        <v>-4</v>
      </c>
    </row>
    <row r="110" spans="1:3" x14ac:dyDescent="0.25">
      <c r="A110" t="s">
        <v>8</v>
      </c>
      <c r="B110">
        <v>2017</v>
      </c>
      <c r="C110">
        <v>0.5</v>
      </c>
    </row>
    <row r="111" spans="1:3" x14ac:dyDescent="0.25">
      <c r="A111" t="s">
        <v>9</v>
      </c>
      <c r="B111">
        <v>2017</v>
      </c>
      <c r="C111">
        <v>-4.7</v>
      </c>
    </row>
    <row r="112" spans="1:3" x14ac:dyDescent="0.25">
      <c r="A112" t="s">
        <v>10</v>
      </c>
      <c r="B112">
        <v>2017</v>
      </c>
      <c r="C112">
        <v>-1.7</v>
      </c>
    </row>
    <row r="113" spans="1:3" x14ac:dyDescent="0.25">
      <c r="A113" t="s">
        <v>11</v>
      </c>
      <c r="B113">
        <v>2017</v>
      </c>
      <c r="C113">
        <v>-3.2</v>
      </c>
    </row>
    <row r="114" spans="1:3" x14ac:dyDescent="0.25">
      <c r="A114" t="s">
        <v>12</v>
      </c>
      <c r="B114">
        <v>2017</v>
      </c>
      <c r="C114">
        <v>-4.5999999999999996</v>
      </c>
    </row>
    <row r="115" spans="1:3" x14ac:dyDescent="0.25">
      <c r="A115" t="s">
        <v>13</v>
      </c>
      <c r="B115">
        <v>2017</v>
      </c>
      <c r="C115">
        <v>1</v>
      </c>
    </row>
    <row r="116" spans="1:3" x14ac:dyDescent="0.25">
      <c r="A116" t="s">
        <v>14</v>
      </c>
      <c r="B116">
        <v>2017</v>
      </c>
      <c r="C116">
        <v>-2.2999999999999998</v>
      </c>
    </row>
    <row r="117" spans="1:3" x14ac:dyDescent="0.25">
      <c r="A117" t="s">
        <v>15</v>
      </c>
      <c r="B117">
        <v>2017</v>
      </c>
      <c r="C117">
        <v>-0.9</v>
      </c>
    </row>
    <row r="118" spans="1:3" x14ac:dyDescent="0.25">
      <c r="A118" t="s">
        <v>16</v>
      </c>
      <c r="B118">
        <v>2017</v>
      </c>
      <c r="C118">
        <v>-4.9000000000000004</v>
      </c>
    </row>
    <row r="119" spans="1:3" x14ac:dyDescent="0.25">
      <c r="A119" t="s">
        <v>17</v>
      </c>
      <c r="B119">
        <v>2017</v>
      </c>
      <c r="C119">
        <v>-1</v>
      </c>
    </row>
    <row r="120" spans="1:3" x14ac:dyDescent="0.25">
      <c r="A120" t="s">
        <v>18</v>
      </c>
      <c r="B120">
        <v>2017</v>
      </c>
      <c r="C120">
        <v>0.1</v>
      </c>
    </row>
    <row r="121" spans="1:3" x14ac:dyDescent="0.25">
      <c r="A121" t="s">
        <v>19</v>
      </c>
      <c r="B121">
        <v>2017</v>
      </c>
      <c r="C121">
        <v>-1.8</v>
      </c>
    </row>
    <row r="122" spans="1:3" x14ac:dyDescent="0.25">
      <c r="A122" t="s">
        <v>20</v>
      </c>
      <c r="B122">
        <v>2017</v>
      </c>
      <c r="C122">
        <v>-2.1</v>
      </c>
    </row>
    <row r="123" spans="1:3" x14ac:dyDescent="0.25">
      <c r="A123" t="s">
        <v>21</v>
      </c>
      <c r="B123">
        <v>2017</v>
      </c>
      <c r="C123">
        <v>-0.2</v>
      </c>
    </row>
    <row r="124" spans="1:3" x14ac:dyDescent="0.25">
      <c r="A124" t="s">
        <v>22</v>
      </c>
      <c r="B124">
        <v>2017</v>
      </c>
      <c r="C124">
        <v>-2</v>
      </c>
    </row>
    <row r="125" spans="1:3" x14ac:dyDescent="0.25">
      <c r="A125" t="s">
        <v>23</v>
      </c>
      <c r="B125">
        <v>2017</v>
      </c>
      <c r="C125">
        <v>-2.8</v>
      </c>
    </row>
    <row r="126" spans="1:3" x14ac:dyDescent="0.25">
      <c r="A126" t="s">
        <v>24</v>
      </c>
      <c r="B126">
        <v>2017</v>
      </c>
      <c r="C126">
        <v>-0.6</v>
      </c>
    </row>
    <row r="127" spans="1:3" x14ac:dyDescent="0.25">
      <c r="A127" t="s">
        <v>25</v>
      </c>
      <c r="B127">
        <v>2017</v>
      </c>
      <c r="C127">
        <v>-4.8</v>
      </c>
    </row>
    <row r="128" spans="1:3" x14ac:dyDescent="0.25">
      <c r="A128" t="s">
        <v>26</v>
      </c>
      <c r="B128">
        <v>2017</v>
      </c>
      <c r="C128">
        <v>0.9</v>
      </c>
    </row>
    <row r="129" spans="1:3" x14ac:dyDescent="0.25">
      <c r="A129" t="s">
        <v>27</v>
      </c>
      <c r="B129">
        <v>2017</v>
      </c>
      <c r="C129">
        <v>-1.2</v>
      </c>
    </row>
    <row r="130" spans="1:3" x14ac:dyDescent="0.25">
      <c r="A130" t="s">
        <v>28</v>
      </c>
      <c r="B130">
        <v>2017</v>
      </c>
      <c r="C130">
        <v>-1.9</v>
      </c>
    </row>
    <row r="131" spans="1:3" x14ac:dyDescent="0.25">
      <c r="A131" t="s">
        <v>29</v>
      </c>
      <c r="B131">
        <v>2017</v>
      </c>
      <c r="C131">
        <v>-1.4</v>
      </c>
    </row>
    <row r="132" spans="1:3" x14ac:dyDescent="0.25">
      <c r="A132" t="s">
        <v>30</v>
      </c>
      <c r="B132">
        <v>2017</v>
      </c>
      <c r="C132">
        <v>-4.8</v>
      </c>
    </row>
    <row r="133" spans="1:3" x14ac:dyDescent="0.25">
      <c r="A133" t="s">
        <v>31</v>
      </c>
      <c r="B133">
        <v>2017</v>
      </c>
      <c r="C133">
        <v>-4.9000000000000004</v>
      </c>
    </row>
    <row r="134" spans="1:3" x14ac:dyDescent="0.25">
      <c r="A134" t="s">
        <v>32</v>
      </c>
      <c r="B134">
        <v>2017</v>
      </c>
      <c r="C134">
        <v>-3.8</v>
      </c>
    </row>
    <row r="135" spans="1:3" x14ac:dyDescent="0.25">
      <c r="A135" t="s">
        <v>33</v>
      </c>
      <c r="B135">
        <v>2017</v>
      </c>
      <c r="C135">
        <v>-1.9</v>
      </c>
    </row>
    <row r="136" spans="1:3" x14ac:dyDescent="0.25">
      <c r="A136" t="s">
        <v>34</v>
      </c>
      <c r="B136">
        <v>2017</v>
      </c>
      <c r="C136">
        <v>0.7</v>
      </c>
    </row>
    <row r="137" spans="1:3" x14ac:dyDescent="0.25">
      <c r="A137" t="s">
        <v>35</v>
      </c>
      <c r="B137">
        <v>2017</v>
      </c>
      <c r="C137">
        <v>-2.1</v>
      </c>
    </row>
    <row r="138" spans="1:3" x14ac:dyDescent="0.25">
      <c r="A138" t="s">
        <v>36</v>
      </c>
      <c r="B138">
        <v>2017</v>
      </c>
      <c r="C138">
        <v>1</v>
      </c>
    </row>
    <row r="139" spans="1:3" x14ac:dyDescent="0.25">
      <c r="A139" t="s">
        <v>37</v>
      </c>
      <c r="B139">
        <v>2017</v>
      </c>
      <c r="C139">
        <v>0.8</v>
      </c>
    </row>
    <row r="140" spans="1:3" x14ac:dyDescent="0.25">
      <c r="A140" t="s">
        <v>38</v>
      </c>
      <c r="B140">
        <v>2017</v>
      </c>
      <c r="C140">
        <v>-3.1</v>
      </c>
    </row>
    <row r="141" spans="1:3" x14ac:dyDescent="0.25">
      <c r="A141" t="s">
        <v>39</v>
      </c>
      <c r="B141">
        <v>2017</v>
      </c>
      <c r="C141">
        <v>-2.2999999999999998</v>
      </c>
    </row>
    <row r="142" spans="1:3" x14ac:dyDescent="0.25">
      <c r="A142" t="s">
        <v>40</v>
      </c>
      <c r="B142">
        <v>2017</v>
      </c>
      <c r="C142">
        <v>-4.7</v>
      </c>
    </row>
    <row r="143" spans="1:3" x14ac:dyDescent="0.25">
      <c r="A143" t="s">
        <v>41</v>
      </c>
      <c r="B143">
        <v>2017</v>
      </c>
      <c r="C143">
        <v>-4.8</v>
      </c>
    </row>
    <row r="144" spans="1:3" x14ac:dyDescent="0.25">
      <c r="A144" t="s">
        <v>42</v>
      </c>
      <c r="B144">
        <v>2017</v>
      </c>
      <c r="C144">
        <v>-1.1000000000000001</v>
      </c>
    </row>
    <row r="145" spans="1:3" x14ac:dyDescent="0.25">
      <c r="A145" t="s">
        <v>43</v>
      </c>
      <c r="B145">
        <v>2017</v>
      </c>
      <c r="C145">
        <v>-1.7</v>
      </c>
    </row>
    <row r="146" spans="1:3" x14ac:dyDescent="0.25">
      <c r="A146" t="s">
        <v>44</v>
      </c>
      <c r="B146">
        <v>2017</v>
      </c>
      <c r="C146">
        <v>-2.4</v>
      </c>
    </row>
    <row r="147" spans="1:3" x14ac:dyDescent="0.25">
      <c r="A147" t="s">
        <v>45</v>
      </c>
      <c r="B147">
        <v>2017</v>
      </c>
      <c r="C147">
        <v>-2.4</v>
      </c>
    </row>
    <row r="148" spans="1:3" x14ac:dyDescent="0.25">
      <c r="A148" t="s">
        <v>46</v>
      </c>
      <c r="B148">
        <v>2017</v>
      </c>
      <c r="C148">
        <v>-4.0999999999999996</v>
      </c>
    </row>
    <row r="149" spans="1:3" x14ac:dyDescent="0.25">
      <c r="A149" t="s">
        <v>47</v>
      </c>
      <c r="B149">
        <v>2017</v>
      </c>
      <c r="C149">
        <v>-4.3</v>
      </c>
    </row>
    <row r="150" spans="1:3" x14ac:dyDescent="0.25">
      <c r="A150" t="s">
        <v>48</v>
      </c>
      <c r="B150">
        <v>2017</v>
      </c>
      <c r="C150">
        <v>-1.7</v>
      </c>
    </row>
    <row r="151" spans="1:3" x14ac:dyDescent="0.25">
      <c r="A151" t="s">
        <v>49</v>
      </c>
      <c r="B151">
        <v>2017</v>
      </c>
      <c r="C151">
        <v>-2.5</v>
      </c>
    </row>
    <row r="152" spans="1:3" x14ac:dyDescent="0.25">
      <c r="A152" t="s">
        <v>50</v>
      </c>
      <c r="B152">
        <v>2017</v>
      </c>
      <c r="C152">
        <v>-2.4</v>
      </c>
    </row>
    <row r="153" spans="1:3" x14ac:dyDescent="0.25">
      <c r="A153" t="s">
        <v>51</v>
      </c>
      <c r="B153">
        <v>2017</v>
      </c>
      <c r="C153">
        <v>-2.1</v>
      </c>
    </row>
    <row r="154" spans="1:3" x14ac:dyDescent="0.25">
      <c r="A154" t="s">
        <v>52</v>
      </c>
      <c r="B154">
        <v>2017</v>
      </c>
      <c r="C154">
        <v>-0.4</v>
      </c>
    </row>
    <row r="155" spans="1:3" x14ac:dyDescent="0.25">
      <c r="A155" t="s">
        <v>53</v>
      </c>
      <c r="B155">
        <v>2017</v>
      </c>
      <c r="C155">
        <v>-2.6</v>
      </c>
    </row>
    <row r="156" spans="1:3" x14ac:dyDescent="0.25">
      <c r="A156" t="s">
        <v>54</v>
      </c>
      <c r="B156">
        <v>2017</v>
      </c>
      <c r="C156">
        <v>-3.2</v>
      </c>
    </row>
    <row r="157" spans="1:3" x14ac:dyDescent="0.25">
      <c r="A157" t="s">
        <v>55</v>
      </c>
      <c r="B157">
        <v>2017</v>
      </c>
      <c r="C157">
        <v>-2.9</v>
      </c>
    </row>
    <row r="158" spans="1:3" x14ac:dyDescent="0.25">
      <c r="A158" t="s">
        <v>56</v>
      </c>
      <c r="B158">
        <v>2017</v>
      </c>
      <c r="C158">
        <v>-2.2000000000000002</v>
      </c>
    </row>
    <row r="159" spans="1:3" x14ac:dyDescent="0.25">
      <c r="A159" t="s">
        <v>7</v>
      </c>
      <c r="B159">
        <v>2018</v>
      </c>
      <c r="C159">
        <v>-0.3</v>
      </c>
    </row>
    <row r="160" spans="1:3" x14ac:dyDescent="0.25">
      <c r="A160" t="s">
        <v>8</v>
      </c>
      <c r="B160">
        <v>2018</v>
      </c>
      <c r="C160">
        <v>3</v>
      </c>
    </row>
    <row r="161" spans="1:3" x14ac:dyDescent="0.25">
      <c r="A161" t="s">
        <v>9</v>
      </c>
      <c r="B161">
        <v>2018</v>
      </c>
      <c r="C161">
        <v>3.3</v>
      </c>
    </row>
    <row r="162" spans="1:3" x14ac:dyDescent="0.25">
      <c r="A162" t="s">
        <v>10</v>
      </c>
      <c r="B162">
        <v>2018</v>
      </c>
      <c r="C162">
        <v>1.4</v>
      </c>
    </row>
    <row r="163" spans="1:3" x14ac:dyDescent="0.25">
      <c r="A163" t="s">
        <v>11</v>
      </c>
      <c r="B163">
        <v>2018</v>
      </c>
      <c r="C163">
        <v>2.2000000000000002</v>
      </c>
    </row>
    <row r="164" spans="1:3" x14ac:dyDescent="0.25">
      <c r="A164" t="s">
        <v>12</v>
      </c>
      <c r="B164">
        <v>2018</v>
      </c>
      <c r="C164">
        <v>3.7</v>
      </c>
    </row>
    <row r="165" spans="1:3" x14ac:dyDescent="0.25">
      <c r="A165" t="s">
        <v>13</v>
      </c>
      <c r="B165">
        <v>2018</v>
      </c>
      <c r="C165">
        <v>1.1000000000000001</v>
      </c>
    </row>
    <row r="166" spans="1:3" x14ac:dyDescent="0.25">
      <c r="A166" t="s">
        <v>14</v>
      </c>
      <c r="B166">
        <v>2018</v>
      </c>
      <c r="C166">
        <v>2.2999999999999998</v>
      </c>
    </row>
    <row r="167" spans="1:3" x14ac:dyDescent="0.25">
      <c r="A167" t="s">
        <v>15</v>
      </c>
      <c r="B167">
        <v>2018</v>
      </c>
      <c r="C167">
        <v>1</v>
      </c>
    </row>
    <row r="168" spans="1:3" x14ac:dyDescent="0.25">
      <c r="A168" t="s">
        <v>16</v>
      </c>
      <c r="B168">
        <v>2018</v>
      </c>
      <c r="C168">
        <v>3.9</v>
      </c>
    </row>
    <row r="169" spans="1:3" x14ac:dyDescent="0.25">
      <c r="A169" t="s">
        <v>17</v>
      </c>
      <c r="B169">
        <v>2018</v>
      </c>
      <c r="C169">
        <v>4.3</v>
      </c>
    </row>
    <row r="170" spans="1:3" x14ac:dyDescent="0.25">
      <c r="A170" t="s">
        <v>18</v>
      </c>
      <c r="B170">
        <v>2018</v>
      </c>
      <c r="C170">
        <v>2.2000000000000002</v>
      </c>
    </row>
    <row r="171" spans="1:3" x14ac:dyDescent="0.25">
      <c r="A171" t="s">
        <v>19</v>
      </c>
      <c r="B171">
        <v>2018</v>
      </c>
      <c r="C171">
        <v>0.9</v>
      </c>
    </row>
    <row r="172" spans="1:3" x14ac:dyDescent="0.25">
      <c r="A172" t="s">
        <v>20</v>
      </c>
      <c r="B172">
        <v>2018</v>
      </c>
      <c r="C172">
        <v>0.6</v>
      </c>
    </row>
    <row r="173" spans="1:3" x14ac:dyDescent="0.25">
      <c r="A173" t="s">
        <v>21</v>
      </c>
      <c r="B173">
        <v>2018</v>
      </c>
      <c r="C173">
        <v>-0.1</v>
      </c>
    </row>
    <row r="174" spans="1:3" x14ac:dyDescent="0.25">
      <c r="A174" t="s">
        <v>22</v>
      </c>
      <c r="B174">
        <v>2018</v>
      </c>
      <c r="C174">
        <v>1.4</v>
      </c>
    </row>
    <row r="175" spans="1:3" x14ac:dyDescent="0.25">
      <c r="A175" t="s">
        <v>23</v>
      </c>
      <c r="B175">
        <v>2018</v>
      </c>
      <c r="C175">
        <v>-0.2</v>
      </c>
    </row>
    <row r="176" spans="1:3" x14ac:dyDescent="0.25">
      <c r="A176" t="s">
        <v>24</v>
      </c>
      <c r="B176">
        <v>2018</v>
      </c>
      <c r="C176">
        <v>1.9</v>
      </c>
    </row>
    <row r="177" spans="1:3" x14ac:dyDescent="0.25">
      <c r="A177" t="s">
        <v>25</v>
      </c>
      <c r="B177">
        <v>2018</v>
      </c>
      <c r="C177">
        <v>5</v>
      </c>
    </row>
    <row r="178" spans="1:3" x14ac:dyDescent="0.25">
      <c r="A178" t="s">
        <v>26</v>
      </c>
      <c r="B178">
        <v>2018</v>
      </c>
      <c r="C178">
        <v>-0.5</v>
      </c>
    </row>
    <row r="179" spans="1:3" x14ac:dyDescent="0.25">
      <c r="A179" t="s">
        <v>27</v>
      </c>
      <c r="B179">
        <v>2018</v>
      </c>
      <c r="C179">
        <v>1.7</v>
      </c>
    </row>
    <row r="180" spans="1:3" x14ac:dyDescent="0.25">
      <c r="A180" t="s">
        <v>28</v>
      </c>
      <c r="B180">
        <v>2018</v>
      </c>
      <c r="C180">
        <v>0.3</v>
      </c>
    </row>
    <row r="181" spans="1:3" x14ac:dyDescent="0.25">
      <c r="A181" t="s">
        <v>29</v>
      </c>
      <c r="B181">
        <v>2018</v>
      </c>
      <c r="C181">
        <v>5.2</v>
      </c>
    </row>
    <row r="182" spans="1:3" x14ac:dyDescent="0.25">
      <c r="A182" t="s">
        <v>30</v>
      </c>
      <c r="B182">
        <v>2018</v>
      </c>
      <c r="C182">
        <v>4.5999999999999996</v>
      </c>
    </row>
    <row r="183" spans="1:3" x14ac:dyDescent="0.25">
      <c r="A183" t="s">
        <v>31</v>
      </c>
      <c r="B183">
        <v>2018</v>
      </c>
      <c r="C183">
        <v>0.7</v>
      </c>
    </row>
    <row r="184" spans="1:3" x14ac:dyDescent="0.25">
      <c r="A184" t="s">
        <v>32</v>
      </c>
      <c r="B184">
        <v>2018</v>
      </c>
      <c r="C184">
        <v>-0.6</v>
      </c>
    </row>
    <row r="185" spans="1:3" x14ac:dyDescent="0.25">
      <c r="A185" t="s">
        <v>33</v>
      </c>
      <c r="B185">
        <v>2018</v>
      </c>
      <c r="C185">
        <v>2</v>
      </c>
    </row>
    <row r="186" spans="1:3" x14ac:dyDescent="0.25">
      <c r="A186" t="s">
        <v>34</v>
      </c>
      <c r="B186">
        <v>2018</v>
      </c>
      <c r="C186">
        <v>2.9</v>
      </c>
    </row>
    <row r="187" spans="1:3" x14ac:dyDescent="0.25">
      <c r="A187" t="s">
        <v>35</v>
      </c>
      <c r="B187">
        <v>2018</v>
      </c>
      <c r="C187">
        <v>2.1</v>
      </c>
    </row>
    <row r="188" spans="1:3" x14ac:dyDescent="0.25">
      <c r="A188" t="s">
        <v>36</v>
      </c>
      <c r="B188">
        <v>2018</v>
      </c>
      <c r="C188">
        <v>2.2999999999999998</v>
      </c>
    </row>
    <row r="189" spans="1:3" x14ac:dyDescent="0.25">
      <c r="A189" t="s">
        <v>37</v>
      </c>
      <c r="B189">
        <v>2018</v>
      </c>
      <c r="C189">
        <v>0.5</v>
      </c>
    </row>
    <row r="190" spans="1:3" x14ac:dyDescent="0.25">
      <c r="A190" t="s">
        <v>38</v>
      </c>
      <c r="B190">
        <v>2018</v>
      </c>
      <c r="C190">
        <v>1</v>
      </c>
    </row>
    <row r="191" spans="1:3" x14ac:dyDescent="0.25">
      <c r="A191" t="s">
        <v>39</v>
      </c>
      <c r="B191">
        <v>2018</v>
      </c>
      <c r="C191">
        <v>2.2999999999999998</v>
      </c>
    </row>
    <row r="192" spans="1:3" x14ac:dyDescent="0.25">
      <c r="A192" t="s">
        <v>40</v>
      </c>
      <c r="B192">
        <v>2018</v>
      </c>
      <c r="C192">
        <v>5.2</v>
      </c>
    </row>
    <row r="193" spans="1:3" x14ac:dyDescent="0.25">
      <c r="A193" t="s">
        <v>41</v>
      </c>
      <c r="B193">
        <v>2018</v>
      </c>
      <c r="C193">
        <v>0.7</v>
      </c>
    </row>
    <row r="194" spans="1:3" x14ac:dyDescent="0.25">
      <c r="A194" t="s">
        <v>42</v>
      </c>
      <c r="B194">
        <v>2018</v>
      </c>
      <c r="C194">
        <v>4.4000000000000004</v>
      </c>
    </row>
    <row r="195" spans="1:3" x14ac:dyDescent="0.25">
      <c r="A195" t="s">
        <v>43</v>
      </c>
      <c r="B195">
        <v>2018</v>
      </c>
      <c r="C195">
        <v>0.7</v>
      </c>
    </row>
    <row r="196" spans="1:3" x14ac:dyDescent="0.25">
      <c r="A196" t="s">
        <v>44</v>
      </c>
      <c r="B196">
        <v>2018</v>
      </c>
      <c r="C196">
        <v>1.6</v>
      </c>
    </row>
    <row r="197" spans="1:3" x14ac:dyDescent="0.25">
      <c r="A197" t="s">
        <v>45</v>
      </c>
      <c r="B197">
        <v>2018</v>
      </c>
      <c r="C197">
        <v>5.0999999999999996</v>
      </c>
    </row>
    <row r="198" spans="1:3" x14ac:dyDescent="0.25">
      <c r="A198" t="s">
        <v>46</v>
      </c>
      <c r="B198">
        <v>2018</v>
      </c>
      <c r="C198">
        <v>5.0999999999999996</v>
      </c>
    </row>
    <row r="199" spans="1:3" x14ac:dyDescent="0.25">
      <c r="A199" t="s">
        <v>47</v>
      </c>
      <c r="B199">
        <v>2018</v>
      </c>
      <c r="C199">
        <v>4.5999999999999996</v>
      </c>
    </row>
    <row r="200" spans="1:3" x14ac:dyDescent="0.25">
      <c r="A200" t="s">
        <v>48</v>
      </c>
      <c r="B200">
        <v>2018</v>
      </c>
      <c r="C200">
        <v>5</v>
      </c>
    </row>
    <row r="201" spans="1:3" x14ac:dyDescent="0.25">
      <c r="A201" t="s">
        <v>49</v>
      </c>
      <c r="B201">
        <v>2018</v>
      </c>
      <c r="C201">
        <v>3.2</v>
      </c>
    </row>
    <row r="202" spans="1:3" x14ac:dyDescent="0.25">
      <c r="A202" t="s">
        <v>50</v>
      </c>
      <c r="B202">
        <v>2018</v>
      </c>
      <c r="C202">
        <v>5.3</v>
      </c>
    </row>
    <row r="203" spans="1:3" x14ac:dyDescent="0.25">
      <c r="A203" t="s">
        <v>51</v>
      </c>
      <c r="B203">
        <v>2018</v>
      </c>
      <c r="C203">
        <v>0.2</v>
      </c>
    </row>
    <row r="204" spans="1:3" x14ac:dyDescent="0.25">
      <c r="A204" t="s">
        <v>52</v>
      </c>
      <c r="B204">
        <v>2018</v>
      </c>
      <c r="C204">
        <v>2.2999999999999998</v>
      </c>
    </row>
    <row r="205" spans="1:3" x14ac:dyDescent="0.25">
      <c r="A205" t="s">
        <v>53</v>
      </c>
      <c r="B205">
        <v>2018</v>
      </c>
      <c r="C205">
        <v>1.4</v>
      </c>
    </row>
    <row r="206" spans="1:3" x14ac:dyDescent="0.25">
      <c r="A206" t="s">
        <v>54</v>
      </c>
      <c r="B206">
        <v>2018</v>
      </c>
      <c r="C206">
        <v>2.8</v>
      </c>
    </row>
    <row r="207" spans="1:3" x14ac:dyDescent="0.25">
      <c r="A207" t="s">
        <v>55</v>
      </c>
      <c r="B207">
        <v>2018</v>
      </c>
      <c r="C207">
        <v>3.6</v>
      </c>
    </row>
    <row r="208" spans="1:3" x14ac:dyDescent="0.25">
      <c r="A208" t="s">
        <v>56</v>
      </c>
      <c r="B208">
        <v>2018</v>
      </c>
      <c r="C208">
        <v>0.5</v>
      </c>
    </row>
    <row r="209" spans="1:3" x14ac:dyDescent="0.25">
      <c r="A209" t="s">
        <v>7</v>
      </c>
      <c r="B209">
        <v>2019</v>
      </c>
      <c r="C209">
        <v>11.3</v>
      </c>
    </row>
    <row r="210" spans="1:3" x14ac:dyDescent="0.25">
      <c r="A210" t="s">
        <v>8</v>
      </c>
      <c r="B210">
        <v>2019</v>
      </c>
      <c r="C210">
        <v>12.1</v>
      </c>
    </row>
    <row r="211" spans="1:3" x14ac:dyDescent="0.25">
      <c r="A211" t="s">
        <v>9</v>
      </c>
      <c r="B211">
        <v>2019</v>
      </c>
      <c r="C211">
        <v>15.8</v>
      </c>
    </row>
    <row r="212" spans="1:3" x14ac:dyDescent="0.25">
      <c r="A212" t="s">
        <v>10</v>
      </c>
      <c r="B212">
        <v>2019</v>
      </c>
      <c r="C212">
        <v>14</v>
      </c>
    </row>
    <row r="213" spans="1:3" x14ac:dyDescent="0.25">
      <c r="A213" t="s">
        <v>11</v>
      </c>
      <c r="B213">
        <v>2019</v>
      </c>
      <c r="C213">
        <v>16.100000000000001</v>
      </c>
    </row>
    <row r="214" spans="1:3" x14ac:dyDescent="0.25">
      <c r="A214" t="s">
        <v>12</v>
      </c>
      <c r="B214">
        <v>2019</v>
      </c>
      <c r="C214">
        <v>10.7</v>
      </c>
    </row>
    <row r="215" spans="1:3" x14ac:dyDescent="0.25">
      <c r="A215" t="s">
        <v>13</v>
      </c>
      <c r="B215">
        <v>2019</v>
      </c>
      <c r="C215">
        <v>11.3</v>
      </c>
    </row>
    <row r="216" spans="1:3" x14ac:dyDescent="0.25">
      <c r="A216" t="s">
        <v>14</v>
      </c>
      <c r="B216">
        <v>2019</v>
      </c>
      <c r="C216">
        <v>13</v>
      </c>
    </row>
    <row r="217" spans="1:3" x14ac:dyDescent="0.25">
      <c r="A217" t="s">
        <v>15</v>
      </c>
      <c r="B217">
        <v>2019</v>
      </c>
      <c r="C217">
        <v>11.4</v>
      </c>
    </row>
    <row r="218" spans="1:3" x14ac:dyDescent="0.25">
      <c r="A218" t="s">
        <v>16</v>
      </c>
      <c r="B218">
        <v>2019</v>
      </c>
      <c r="C218">
        <v>11.5</v>
      </c>
    </row>
    <row r="219" spans="1:3" x14ac:dyDescent="0.25">
      <c r="A219" t="s">
        <v>17</v>
      </c>
      <c r="B219">
        <v>2019</v>
      </c>
      <c r="C219">
        <v>15.2</v>
      </c>
    </row>
    <row r="220" spans="1:3" x14ac:dyDescent="0.25">
      <c r="A220" t="s">
        <v>18</v>
      </c>
      <c r="B220">
        <v>2019</v>
      </c>
      <c r="C220">
        <v>14.7</v>
      </c>
    </row>
    <row r="221" spans="1:3" x14ac:dyDescent="0.25">
      <c r="A221" t="s">
        <v>19</v>
      </c>
      <c r="B221">
        <v>2019</v>
      </c>
      <c r="C221">
        <v>12.4</v>
      </c>
    </row>
    <row r="222" spans="1:3" x14ac:dyDescent="0.25">
      <c r="A222" t="s">
        <v>20</v>
      </c>
      <c r="B222">
        <v>2019</v>
      </c>
      <c r="C222">
        <v>11.1</v>
      </c>
    </row>
    <row r="223" spans="1:3" x14ac:dyDescent="0.25">
      <c r="A223" t="s">
        <v>21</v>
      </c>
      <c r="B223">
        <v>2019</v>
      </c>
      <c r="C223">
        <v>10.9</v>
      </c>
    </row>
    <row r="224" spans="1:3" x14ac:dyDescent="0.25">
      <c r="A224" t="s">
        <v>22</v>
      </c>
      <c r="B224">
        <v>2019</v>
      </c>
      <c r="C224">
        <v>12.7</v>
      </c>
    </row>
    <row r="225" spans="1:3" x14ac:dyDescent="0.25">
      <c r="A225" t="s">
        <v>23</v>
      </c>
      <c r="B225">
        <v>2019</v>
      </c>
      <c r="C225">
        <v>12.8</v>
      </c>
    </row>
    <row r="226" spans="1:3" x14ac:dyDescent="0.25">
      <c r="A226" t="s">
        <v>24</v>
      </c>
      <c r="B226">
        <v>2019</v>
      </c>
      <c r="C226">
        <v>12.5</v>
      </c>
    </row>
    <row r="227" spans="1:3" x14ac:dyDescent="0.25">
      <c r="A227" t="s">
        <v>25</v>
      </c>
      <c r="B227">
        <v>2019</v>
      </c>
      <c r="C227">
        <v>11.5</v>
      </c>
    </row>
    <row r="228" spans="1:3" x14ac:dyDescent="0.25">
      <c r="A228" t="s">
        <v>26</v>
      </c>
      <c r="B228">
        <v>2019</v>
      </c>
      <c r="C228">
        <v>11.3</v>
      </c>
    </row>
    <row r="229" spans="1:3" x14ac:dyDescent="0.25">
      <c r="A229" t="s">
        <v>27</v>
      </c>
      <c r="B229">
        <v>2019</v>
      </c>
      <c r="C229">
        <v>16</v>
      </c>
    </row>
    <row r="230" spans="1:3" x14ac:dyDescent="0.25">
      <c r="A230" t="s">
        <v>28</v>
      </c>
      <c r="B230">
        <v>2019</v>
      </c>
      <c r="C230">
        <v>14</v>
      </c>
    </row>
    <row r="231" spans="1:3" x14ac:dyDescent="0.25">
      <c r="A231" t="s">
        <v>29</v>
      </c>
      <c r="B231">
        <v>2019</v>
      </c>
      <c r="C231">
        <v>10.7</v>
      </c>
    </row>
    <row r="232" spans="1:3" x14ac:dyDescent="0.25">
      <c r="A232" t="s">
        <v>30</v>
      </c>
      <c r="B232">
        <v>2019</v>
      </c>
      <c r="C232">
        <v>14.6</v>
      </c>
    </row>
    <row r="233" spans="1:3" x14ac:dyDescent="0.25">
      <c r="A233" t="s">
        <v>31</v>
      </c>
      <c r="B233">
        <v>2019</v>
      </c>
      <c r="C233">
        <v>14.7</v>
      </c>
    </row>
    <row r="234" spans="1:3" x14ac:dyDescent="0.25">
      <c r="A234" t="s">
        <v>32</v>
      </c>
      <c r="B234">
        <v>2019</v>
      </c>
      <c r="C234">
        <v>11.1</v>
      </c>
    </row>
    <row r="235" spans="1:3" x14ac:dyDescent="0.25">
      <c r="A235" t="s">
        <v>33</v>
      </c>
      <c r="B235">
        <v>2019</v>
      </c>
      <c r="C235">
        <v>12.4</v>
      </c>
    </row>
    <row r="236" spans="1:3" x14ac:dyDescent="0.25">
      <c r="A236" t="s">
        <v>34</v>
      </c>
      <c r="B236">
        <v>2019</v>
      </c>
      <c r="C236">
        <v>13.4</v>
      </c>
    </row>
    <row r="237" spans="1:3" x14ac:dyDescent="0.25">
      <c r="A237" t="s">
        <v>35</v>
      </c>
      <c r="B237">
        <v>2019</v>
      </c>
      <c r="C237">
        <v>12.7</v>
      </c>
    </row>
    <row r="238" spans="1:3" x14ac:dyDescent="0.25">
      <c r="A238" t="s">
        <v>36</v>
      </c>
      <c r="B238">
        <v>2019</v>
      </c>
      <c r="C238">
        <v>14.3</v>
      </c>
    </row>
    <row r="239" spans="1:3" x14ac:dyDescent="0.25">
      <c r="A239" t="s">
        <v>37</v>
      </c>
      <c r="B239">
        <v>2019</v>
      </c>
      <c r="C239">
        <v>16.100000000000001</v>
      </c>
    </row>
    <row r="240" spans="1:3" x14ac:dyDescent="0.25">
      <c r="A240" t="s">
        <v>38</v>
      </c>
      <c r="B240">
        <v>2019</v>
      </c>
      <c r="C240">
        <v>13.6</v>
      </c>
    </row>
    <row r="241" spans="1:3" x14ac:dyDescent="0.25">
      <c r="A241" t="s">
        <v>39</v>
      </c>
      <c r="B241">
        <v>2019</v>
      </c>
      <c r="C241">
        <v>12.9</v>
      </c>
    </row>
    <row r="242" spans="1:3" x14ac:dyDescent="0.25">
      <c r="A242" t="s">
        <v>40</v>
      </c>
      <c r="B242">
        <v>2019</v>
      </c>
      <c r="C242">
        <v>15.5</v>
      </c>
    </row>
    <row r="243" spans="1:3" x14ac:dyDescent="0.25">
      <c r="A243" t="s">
        <v>41</v>
      </c>
      <c r="B243">
        <v>2019</v>
      </c>
      <c r="C243">
        <v>15.2</v>
      </c>
    </row>
    <row r="244" spans="1:3" x14ac:dyDescent="0.25">
      <c r="A244" t="s">
        <v>42</v>
      </c>
      <c r="B244">
        <v>2019</v>
      </c>
      <c r="C244">
        <v>13.3</v>
      </c>
    </row>
    <row r="245" spans="1:3" x14ac:dyDescent="0.25">
      <c r="A245" t="s">
        <v>43</v>
      </c>
      <c r="B245">
        <v>2019</v>
      </c>
      <c r="C245">
        <v>14</v>
      </c>
    </row>
    <row r="246" spans="1:3" x14ac:dyDescent="0.25">
      <c r="A246" t="s">
        <v>44</v>
      </c>
      <c r="B246">
        <v>2019</v>
      </c>
      <c r="C246">
        <v>16.100000000000001</v>
      </c>
    </row>
    <row r="247" spans="1:3" x14ac:dyDescent="0.25">
      <c r="A247" t="s">
        <v>45</v>
      </c>
      <c r="B247">
        <v>2019</v>
      </c>
      <c r="C247">
        <v>11</v>
      </c>
    </row>
    <row r="248" spans="1:3" x14ac:dyDescent="0.25">
      <c r="A248" t="s">
        <v>46</v>
      </c>
      <c r="B248">
        <v>2019</v>
      </c>
      <c r="C248">
        <v>16.7</v>
      </c>
    </row>
    <row r="249" spans="1:3" x14ac:dyDescent="0.25">
      <c r="A249" t="s">
        <v>47</v>
      </c>
      <c r="B249">
        <v>2019</v>
      </c>
      <c r="C249">
        <v>10.7</v>
      </c>
    </row>
    <row r="250" spans="1:3" x14ac:dyDescent="0.25">
      <c r="A250" t="s">
        <v>48</v>
      </c>
      <c r="B250">
        <v>2019</v>
      </c>
      <c r="C250">
        <v>11.3</v>
      </c>
    </row>
    <row r="251" spans="1:3" x14ac:dyDescent="0.25">
      <c r="A251" t="s">
        <v>49</v>
      </c>
      <c r="B251">
        <v>2019</v>
      </c>
      <c r="C251">
        <v>12.1</v>
      </c>
    </row>
    <row r="252" spans="1:3" x14ac:dyDescent="0.25">
      <c r="A252" t="s">
        <v>50</v>
      </c>
      <c r="B252">
        <v>2019</v>
      </c>
      <c r="C252">
        <v>14.2</v>
      </c>
    </row>
    <row r="253" spans="1:3" x14ac:dyDescent="0.25">
      <c r="A253" t="s">
        <v>51</v>
      </c>
      <c r="B253">
        <v>2019</v>
      </c>
      <c r="C253">
        <v>15</v>
      </c>
    </row>
    <row r="254" spans="1:3" x14ac:dyDescent="0.25">
      <c r="A254" t="s">
        <v>52</v>
      </c>
      <c r="B254">
        <v>2019</v>
      </c>
      <c r="C254">
        <v>13.2</v>
      </c>
    </row>
    <row r="255" spans="1:3" x14ac:dyDescent="0.25">
      <c r="A255" t="s">
        <v>53</v>
      </c>
      <c r="B255">
        <v>2019</v>
      </c>
      <c r="C255">
        <v>12</v>
      </c>
    </row>
    <row r="256" spans="1:3" x14ac:dyDescent="0.25">
      <c r="A256" t="s">
        <v>54</v>
      </c>
      <c r="B256">
        <v>2019</v>
      </c>
      <c r="C256">
        <v>13.7</v>
      </c>
    </row>
    <row r="257" spans="1:3" x14ac:dyDescent="0.25">
      <c r="A257" t="s">
        <v>55</v>
      </c>
      <c r="B257">
        <v>2019</v>
      </c>
      <c r="C257">
        <v>15.6</v>
      </c>
    </row>
    <row r="258" spans="1:3" x14ac:dyDescent="0.25">
      <c r="A258" t="s">
        <v>56</v>
      </c>
      <c r="B258">
        <v>2019</v>
      </c>
      <c r="C258">
        <v>14.3</v>
      </c>
    </row>
    <row r="259" spans="1:3" x14ac:dyDescent="0.25">
      <c r="A259" t="s">
        <v>7</v>
      </c>
      <c r="B259">
        <v>2020</v>
      </c>
      <c r="C259">
        <v>9.8000000000000007</v>
      </c>
    </row>
    <row r="260" spans="1:3" x14ac:dyDescent="0.25">
      <c r="A260" t="s">
        <v>8</v>
      </c>
      <c r="B260">
        <v>2020</v>
      </c>
      <c r="C260">
        <v>8.6</v>
      </c>
    </row>
    <row r="261" spans="1:3" x14ac:dyDescent="0.25">
      <c r="A261" t="s">
        <v>9</v>
      </c>
      <c r="B261">
        <v>2020</v>
      </c>
      <c r="C261">
        <v>12.1</v>
      </c>
    </row>
    <row r="262" spans="1:3" x14ac:dyDescent="0.25">
      <c r="A262" t="s">
        <v>10</v>
      </c>
      <c r="B262">
        <v>2020</v>
      </c>
      <c r="C262">
        <v>10.1</v>
      </c>
    </row>
    <row r="263" spans="1:3" x14ac:dyDescent="0.25">
      <c r="A263" t="s">
        <v>11</v>
      </c>
      <c r="B263">
        <v>2020</v>
      </c>
      <c r="C263">
        <v>11</v>
      </c>
    </row>
    <row r="264" spans="1:3" x14ac:dyDescent="0.25">
      <c r="A264" t="s">
        <v>12</v>
      </c>
      <c r="B264">
        <v>2020</v>
      </c>
      <c r="C264">
        <v>7.7</v>
      </c>
    </row>
    <row r="265" spans="1:3" x14ac:dyDescent="0.25">
      <c r="A265" t="s">
        <v>13</v>
      </c>
      <c r="B265">
        <v>2020</v>
      </c>
      <c r="C265">
        <v>10.4</v>
      </c>
    </row>
    <row r="266" spans="1:3" x14ac:dyDescent="0.25">
      <c r="A266" t="s">
        <v>14</v>
      </c>
      <c r="B266">
        <v>2020</v>
      </c>
      <c r="C266">
        <v>6.3</v>
      </c>
    </row>
    <row r="267" spans="1:3" x14ac:dyDescent="0.25">
      <c r="A267" t="s">
        <v>15</v>
      </c>
      <c r="B267">
        <v>2020</v>
      </c>
      <c r="C267">
        <v>10.4</v>
      </c>
    </row>
    <row r="268" spans="1:3" x14ac:dyDescent="0.25">
      <c r="A268" t="s">
        <v>16</v>
      </c>
      <c r="B268">
        <v>2020</v>
      </c>
      <c r="C268">
        <v>8.9</v>
      </c>
    </row>
    <row r="269" spans="1:3" x14ac:dyDescent="0.25">
      <c r="A269" t="s">
        <v>17</v>
      </c>
      <c r="B269">
        <v>2020</v>
      </c>
      <c r="C269">
        <v>9.5</v>
      </c>
    </row>
    <row r="270" spans="1:3" x14ac:dyDescent="0.25">
      <c r="A270" t="s">
        <v>18</v>
      </c>
      <c r="B270">
        <v>2020</v>
      </c>
      <c r="C270">
        <v>11</v>
      </c>
    </row>
    <row r="271" spans="1:3" x14ac:dyDescent="0.25">
      <c r="A271" t="s">
        <v>19</v>
      </c>
      <c r="B271">
        <v>2020</v>
      </c>
      <c r="C271">
        <v>11.2</v>
      </c>
    </row>
    <row r="272" spans="1:3" x14ac:dyDescent="0.25">
      <c r="A272" t="s">
        <v>20</v>
      </c>
      <c r="B272">
        <v>2020</v>
      </c>
      <c r="C272">
        <v>11.8</v>
      </c>
    </row>
    <row r="273" spans="1:3" x14ac:dyDescent="0.25">
      <c r="A273" t="s">
        <v>21</v>
      </c>
      <c r="B273">
        <v>2020</v>
      </c>
      <c r="C273">
        <v>9.5</v>
      </c>
    </row>
    <row r="274" spans="1:3" x14ac:dyDescent="0.25">
      <c r="A274" t="s">
        <v>22</v>
      </c>
      <c r="B274">
        <v>2020</v>
      </c>
      <c r="C274">
        <v>11.8</v>
      </c>
    </row>
    <row r="275" spans="1:3" x14ac:dyDescent="0.25">
      <c r="A275" t="s">
        <v>23</v>
      </c>
      <c r="B275">
        <v>2020</v>
      </c>
      <c r="C275">
        <v>6.4</v>
      </c>
    </row>
    <row r="276" spans="1:3" x14ac:dyDescent="0.25">
      <c r="A276" t="s">
        <v>24</v>
      </c>
      <c r="B276">
        <v>2020</v>
      </c>
      <c r="C276">
        <v>9.6</v>
      </c>
    </row>
    <row r="277" spans="1:3" x14ac:dyDescent="0.25">
      <c r="A277" t="s">
        <v>25</v>
      </c>
      <c r="B277">
        <v>2020</v>
      </c>
      <c r="C277">
        <v>9.6</v>
      </c>
    </row>
    <row r="278" spans="1:3" x14ac:dyDescent="0.25">
      <c r="A278" t="s">
        <v>26</v>
      </c>
      <c r="B278">
        <v>2020</v>
      </c>
      <c r="C278">
        <v>11.9</v>
      </c>
    </row>
    <row r="279" spans="1:3" x14ac:dyDescent="0.25">
      <c r="A279" t="s">
        <v>27</v>
      </c>
      <c r="B279">
        <v>2020</v>
      </c>
      <c r="C279">
        <v>11.1</v>
      </c>
    </row>
    <row r="280" spans="1:3" x14ac:dyDescent="0.25">
      <c r="A280" t="s">
        <v>28</v>
      </c>
      <c r="B280">
        <v>2020</v>
      </c>
      <c r="C280">
        <v>11.1</v>
      </c>
    </row>
    <row r="281" spans="1:3" x14ac:dyDescent="0.25">
      <c r="A281" t="s">
        <v>29</v>
      </c>
      <c r="B281">
        <v>2020</v>
      </c>
      <c r="C281">
        <v>9.1</v>
      </c>
    </row>
    <row r="282" spans="1:3" x14ac:dyDescent="0.25">
      <c r="A282" t="s">
        <v>30</v>
      </c>
      <c r="B282">
        <v>2020</v>
      </c>
      <c r="C282">
        <v>6.3</v>
      </c>
    </row>
    <row r="283" spans="1:3" x14ac:dyDescent="0.25">
      <c r="A283" t="s">
        <v>31</v>
      </c>
      <c r="B283">
        <v>2020</v>
      </c>
      <c r="C283">
        <v>9</v>
      </c>
    </row>
    <row r="284" spans="1:3" x14ac:dyDescent="0.25">
      <c r="A284" t="s">
        <v>32</v>
      </c>
      <c r="B284">
        <v>2020</v>
      </c>
      <c r="C284">
        <v>11.2</v>
      </c>
    </row>
    <row r="285" spans="1:3" x14ac:dyDescent="0.25">
      <c r="A285" t="s">
        <v>33</v>
      </c>
      <c r="B285">
        <v>2020</v>
      </c>
      <c r="C285">
        <v>11.1</v>
      </c>
    </row>
    <row r="286" spans="1:3" x14ac:dyDescent="0.25">
      <c r="A286" t="s">
        <v>34</v>
      </c>
      <c r="B286">
        <v>2020</v>
      </c>
      <c r="C286">
        <v>7.7</v>
      </c>
    </row>
    <row r="287" spans="1:3" x14ac:dyDescent="0.25">
      <c r="A287" t="s">
        <v>35</v>
      </c>
      <c r="B287">
        <v>2020</v>
      </c>
      <c r="C287">
        <v>11</v>
      </c>
    </row>
    <row r="288" spans="1:3" x14ac:dyDescent="0.25">
      <c r="A288" t="s">
        <v>36</v>
      </c>
      <c r="B288">
        <v>2020</v>
      </c>
      <c r="C288">
        <v>11.1</v>
      </c>
    </row>
    <row r="289" spans="1:3" x14ac:dyDescent="0.25">
      <c r="A289" t="s">
        <v>37</v>
      </c>
      <c r="B289">
        <v>2020</v>
      </c>
      <c r="C289">
        <v>6.9</v>
      </c>
    </row>
    <row r="290" spans="1:3" x14ac:dyDescent="0.25">
      <c r="A290" t="s">
        <v>38</v>
      </c>
      <c r="B290">
        <v>2020</v>
      </c>
      <c r="C290">
        <v>9.6999999999999993</v>
      </c>
    </row>
    <row r="291" spans="1:3" x14ac:dyDescent="0.25">
      <c r="A291" t="s">
        <v>39</v>
      </c>
      <c r="B291">
        <v>2020</v>
      </c>
      <c r="C291">
        <v>8.9</v>
      </c>
    </row>
    <row r="292" spans="1:3" x14ac:dyDescent="0.25">
      <c r="A292" t="s">
        <v>40</v>
      </c>
      <c r="B292">
        <v>2020</v>
      </c>
      <c r="C292">
        <v>12.1</v>
      </c>
    </row>
    <row r="293" spans="1:3" x14ac:dyDescent="0.25">
      <c r="A293" t="s">
        <v>41</v>
      </c>
      <c r="B293">
        <v>2020</v>
      </c>
      <c r="C293">
        <v>6.4</v>
      </c>
    </row>
    <row r="294" spans="1:3" x14ac:dyDescent="0.25">
      <c r="A294" t="s">
        <v>42</v>
      </c>
      <c r="B294">
        <v>2020</v>
      </c>
      <c r="C294">
        <v>7</v>
      </c>
    </row>
    <row r="295" spans="1:3" x14ac:dyDescent="0.25">
      <c r="A295" t="s">
        <v>43</v>
      </c>
      <c r="B295">
        <v>2020</v>
      </c>
      <c r="C295">
        <v>9.9</v>
      </c>
    </row>
    <row r="296" spans="1:3" x14ac:dyDescent="0.25">
      <c r="A296" t="s">
        <v>44</v>
      </c>
      <c r="B296">
        <v>2020</v>
      </c>
      <c r="C296">
        <v>7.9</v>
      </c>
    </row>
    <row r="297" spans="1:3" x14ac:dyDescent="0.25">
      <c r="A297" t="s">
        <v>45</v>
      </c>
      <c r="B297">
        <v>2020</v>
      </c>
      <c r="C297">
        <v>6.7</v>
      </c>
    </row>
    <row r="298" spans="1:3" x14ac:dyDescent="0.25">
      <c r="A298" t="s">
        <v>46</v>
      </c>
      <c r="B298">
        <v>2020</v>
      </c>
      <c r="C298">
        <v>9.9</v>
      </c>
    </row>
    <row r="299" spans="1:3" x14ac:dyDescent="0.25">
      <c r="A299" t="s">
        <v>47</v>
      </c>
      <c r="B299">
        <v>2020</v>
      </c>
      <c r="C299">
        <v>9.1</v>
      </c>
    </row>
    <row r="300" spans="1:3" x14ac:dyDescent="0.25">
      <c r="A300" t="s">
        <v>48</v>
      </c>
      <c r="B300">
        <v>2020</v>
      </c>
      <c r="C300">
        <v>9.8000000000000007</v>
      </c>
    </row>
    <row r="301" spans="1:3" x14ac:dyDescent="0.25">
      <c r="A301" t="s">
        <v>49</v>
      </c>
      <c r="B301">
        <v>2020</v>
      </c>
      <c r="C301">
        <v>8.3000000000000007</v>
      </c>
    </row>
    <row r="302" spans="1:3" x14ac:dyDescent="0.25">
      <c r="A302" t="s">
        <v>50</v>
      </c>
      <c r="B302">
        <v>2020</v>
      </c>
      <c r="C302">
        <v>10.199999999999999</v>
      </c>
    </row>
    <row r="303" spans="1:3" x14ac:dyDescent="0.25">
      <c r="A303" t="s">
        <v>51</v>
      </c>
      <c r="B303">
        <v>2020</v>
      </c>
      <c r="C303">
        <v>9</v>
      </c>
    </row>
    <row r="304" spans="1:3" x14ac:dyDescent="0.25">
      <c r="A304" t="s">
        <v>52</v>
      </c>
      <c r="B304">
        <v>2020</v>
      </c>
      <c r="C304">
        <v>10</v>
      </c>
    </row>
    <row r="305" spans="1:3" x14ac:dyDescent="0.25">
      <c r="A305" t="s">
        <v>53</v>
      </c>
      <c r="B305">
        <v>2020</v>
      </c>
      <c r="C305">
        <v>9.4</v>
      </c>
    </row>
    <row r="306" spans="1:3" x14ac:dyDescent="0.25">
      <c r="A306" t="s">
        <v>54</v>
      </c>
      <c r="B306">
        <v>2020</v>
      </c>
      <c r="C306">
        <v>7.1</v>
      </c>
    </row>
    <row r="307" spans="1:3" x14ac:dyDescent="0.25">
      <c r="A307" t="s">
        <v>55</v>
      </c>
      <c r="B307">
        <v>2020</v>
      </c>
      <c r="C307">
        <v>9.3000000000000007</v>
      </c>
    </row>
    <row r="308" spans="1:3" x14ac:dyDescent="0.25">
      <c r="A308" t="s">
        <v>56</v>
      </c>
      <c r="B308">
        <v>2020</v>
      </c>
      <c r="C308">
        <v>7.3</v>
      </c>
    </row>
    <row r="309" spans="1:3" x14ac:dyDescent="0.25">
      <c r="A309" t="s">
        <v>7</v>
      </c>
      <c r="B309">
        <v>2021</v>
      </c>
      <c r="C309">
        <v>10.3</v>
      </c>
    </row>
    <row r="310" spans="1:3" x14ac:dyDescent="0.25">
      <c r="A310" t="s">
        <v>8</v>
      </c>
      <c r="B310">
        <v>2021</v>
      </c>
      <c r="C310">
        <v>11.2</v>
      </c>
    </row>
    <row r="311" spans="1:3" x14ac:dyDescent="0.25">
      <c r="A311" t="s">
        <v>9</v>
      </c>
      <c r="B311">
        <v>2021</v>
      </c>
      <c r="C311">
        <v>11.3</v>
      </c>
    </row>
    <row r="312" spans="1:3" x14ac:dyDescent="0.25">
      <c r="A312" t="s">
        <v>10</v>
      </c>
      <c r="B312">
        <v>2021</v>
      </c>
      <c r="C312">
        <v>10.6</v>
      </c>
    </row>
    <row r="313" spans="1:3" x14ac:dyDescent="0.25">
      <c r="A313" t="s">
        <v>11</v>
      </c>
      <c r="B313">
        <v>2021</v>
      </c>
      <c r="C313">
        <v>11.2</v>
      </c>
    </row>
    <row r="314" spans="1:3" x14ac:dyDescent="0.25">
      <c r="A314" t="s">
        <v>12</v>
      </c>
      <c r="B314">
        <v>2021</v>
      </c>
      <c r="C314">
        <v>11.4</v>
      </c>
    </row>
    <row r="315" spans="1:3" x14ac:dyDescent="0.25">
      <c r="A315" t="s">
        <v>13</v>
      </c>
      <c r="B315">
        <v>2021</v>
      </c>
      <c r="C315">
        <v>13.8</v>
      </c>
    </row>
    <row r="316" spans="1:3" x14ac:dyDescent="0.25">
      <c r="A316" t="s">
        <v>14</v>
      </c>
      <c r="B316">
        <v>2021</v>
      </c>
      <c r="C316">
        <v>12.4</v>
      </c>
    </row>
    <row r="317" spans="1:3" x14ac:dyDescent="0.25">
      <c r="A317" t="s">
        <v>15</v>
      </c>
      <c r="B317">
        <v>2021</v>
      </c>
      <c r="C317">
        <v>8.9</v>
      </c>
    </row>
    <row r="318" spans="1:3" x14ac:dyDescent="0.25">
      <c r="A318" t="s">
        <v>16</v>
      </c>
      <c r="B318">
        <v>2021</v>
      </c>
      <c r="C318">
        <v>8.9</v>
      </c>
    </row>
    <row r="319" spans="1:3" x14ac:dyDescent="0.25">
      <c r="A319" t="s">
        <v>17</v>
      </c>
      <c r="B319">
        <v>2021</v>
      </c>
      <c r="C319">
        <v>8.3000000000000007</v>
      </c>
    </row>
    <row r="320" spans="1:3" x14ac:dyDescent="0.25">
      <c r="A320" t="s">
        <v>18</v>
      </c>
      <c r="B320">
        <v>2021</v>
      </c>
      <c r="C320">
        <v>11.9</v>
      </c>
    </row>
    <row r="321" spans="1:3" x14ac:dyDescent="0.25">
      <c r="A321" t="s">
        <v>19</v>
      </c>
      <c r="B321">
        <v>2021</v>
      </c>
      <c r="C321">
        <v>11</v>
      </c>
    </row>
    <row r="322" spans="1:3" x14ac:dyDescent="0.25">
      <c r="A322" t="s">
        <v>20</v>
      </c>
      <c r="B322">
        <v>2021</v>
      </c>
      <c r="C322">
        <v>10.9</v>
      </c>
    </row>
    <row r="323" spans="1:3" x14ac:dyDescent="0.25">
      <c r="A323" t="s">
        <v>21</v>
      </c>
      <c r="B323">
        <v>2021</v>
      </c>
      <c r="C323">
        <v>8.1999999999999993</v>
      </c>
    </row>
    <row r="324" spans="1:3" x14ac:dyDescent="0.25">
      <c r="A324" t="s">
        <v>22</v>
      </c>
      <c r="B324">
        <v>2021</v>
      </c>
      <c r="C324">
        <v>13.2</v>
      </c>
    </row>
    <row r="325" spans="1:3" x14ac:dyDescent="0.25">
      <c r="A325" t="s">
        <v>23</v>
      </c>
      <c r="B325">
        <v>2021</v>
      </c>
      <c r="C325">
        <v>11.2</v>
      </c>
    </row>
    <row r="326" spans="1:3" x14ac:dyDescent="0.25">
      <c r="A326" t="s">
        <v>24</v>
      </c>
      <c r="B326">
        <v>2021</v>
      </c>
      <c r="C326">
        <v>8.1999999999999993</v>
      </c>
    </row>
    <row r="327" spans="1:3" x14ac:dyDescent="0.25">
      <c r="A327" t="s">
        <v>25</v>
      </c>
      <c r="B327">
        <v>2021</v>
      </c>
      <c r="C327">
        <v>8.8000000000000007</v>
      </c>
    </row>
    <row r="328" spans="1:3" x14ac:dyDescent="0.25">
      <c r="A328" t="s">
        <v>26</v>
      </c>
      <c r="B328">
        <v>2021</v>
      </c>
      <c r="C328">
        <v>13.3</v>
      </c>
    </row>
    <row r="329" spans="1:3" x14ac:dyDescent="0.25">
      <c r="A329" t="s">
        <v>27</v>
      </c>
      <c r="B329">
        <v>2021</v>
      </c>
      <c r="C329">
        <v>8.6</v>
      </c>
    </row>
    <row r="330" spans="1:3" x14ac:dyDescent="0.25">
      <c r="A330" t="s">
        <v>28</v>
      </c>
      <c r="B330">
        <v>2021</v>
      </c>
      <c r="C330">
        <v>8.4</v>
      </c>
    </row>
    <row r="331" spans="1:3" x14ac:dyDescent="0.25">
      <c r="A331" t="s">
        <v>29</v>
      </c>
      <c r="B331">
        <v>2021</v>
      </c>
      <c r="C331">
        <v>10.9</v>
      </c>
    </row>
    <row r="332" spans="1:3" x14ac:dyDescent="0.25">
      <c r="A332" t="s">
        <v>30</v>
      </c>
      <c r="B332">
        <v>2021</v>
      </c>
      <c r="C332">
        <v>10.8</v>
      </c>
    </row>
    <row r="333" spans="1:3" x14ac:dyDescent="0.25">
      <c r="A333" t="s">
        <v>31</v>
      </c>
      <c r="B333">
        <v>2021</v>
      </c>
      <c r="C333">
        <v>12.8</v>
      </c>
    </row>
    <row r="334" spans="1:3" x14ac:dyDescent="0.25">
      <c r="A334" t="s">
        <v>32</v>
      </c>
      <c r="B334">
        <v>2021</v>
      </c>
      <c r="C334">
        <v>11.4</v>
      </c>
    </row>
    <row r="335" spans="1:3" x14ac:dyDescent="0.25">
      <c r="A335" t="s">
        <v>33</v>
      </c>
      <c r="B335">
        <v>2021</v>
      </c>
      <c r="C335">
        <v>11.8</v>
      </c>
    </row>
    <row r="336" spans="1:3" x14ac:dyDescent="0.25">
      <c r="A336" t="s">
        <v>34</v>
      </c>
      <c r="B336">
        <v>2021</v>
      </c>
      <c r="C336">
        <v>10.199999999999999</v>
      </c>
    </row>
    <row r="337" spans="1:3" x14ac:dyDescent="0.25">
      <c r="A337" t="s">
        <v>35</v>
      </c>
      <c r="B337">
        <v>2021</v>
      </c>
      <c r="C337">
        <v>11.1</v>
      </c>
    </row>
    <row r="338" spans="1:3" x14ac:dyDescent="0.25">
      <c r="A338" t="s">
        <v>36</v>
      </c>
      <c r="B338">
        <v>2021</v>
      </c>
      <c r="C338">
        <v>13.7</v>
      </c>
    </row>
    <row r="339" spans="1:3" x14ac:dyDescent="0.25">
      <c r="A339" t="s">
        <v>37</v>
      </c>
      <c r="B339">
        <v>2021</v>
      </c>
      <c r="C339">
        <v>9.5</v>
      </c>
    </row>
    <row r="340" spans="1:3" x14ac:dyDescent="0.25">
      <c r="A340" t="s">
        <v>38</v>
      </c>
      <c r="B340">
        <v>2021</v>
      </c>
      <c r="C340">
        <v>9.5</v>
      </c>
    </row>
    <row r="341" spans="1:3" x14ac:dyDescent="0.25">
      <c r="A341" t="s">
        <v>39</v>
      </c>
      <c r="B341">
        <v>2021</v>
      </c>
      <c r="C341">
        <v>9.1999999999999993</v>
      </c>
    </row>
    <row r="342" spans="1:3" x14ac:dyDescent="0.25">
      <c r="A342" t="s">
        <v>40</v>
      </c>
      <c r="B342">
        <v>2021</v>
      </c>
      <c r="C342">
        <v>11.4</v>
      </c>
    </row>
    <row r="343" spans="1:3" x14ac:dyDescent="0.25">
      <c r="A343" t="s">
        <v>41</v>
      </c>
      <c r="B343">
        <v>2021</v>
      </c>
      <c r="C343">
        <v>11.1</v>
      </c>
    </row>
    <row r="344" spans="1:3" x14ac:dyDescent="0.25">
      <c r="A344" t="s">
        <v>42</v>
      </c>
      <c r="B344">
        <v>2021</v>
      </c>
      <c r="C344">
        <v>10.7</v>
      </c>
    </row>
    <row r="345" spans="1:3" x14ac:dyDescent="0.25">
      <c r="A345" t="s">
        <v>43</v>
      </c>
      <c r="B345">
        <v>2021</v>
      </c>
      <c r="C345">
        <v>12.5</v>
      </c>
    </row>
    <row r="346" spans="1:3" x14ac:dyDescent="0.25">
      <c r="A346" t="s">
        <v>44</v>
      </c>
      <c r="B346">
        <v>2021</v>
      </c>
      <c r="C346">
        <v>11.5</v>
      </c>
    </row>
    <row r="347" spans="1:3" x14ac:dyDescent="0.25">
      <c r="A347" t="s">
        <v>45</v>
      </c>
      <c r="B347">
        <v>2021</v>
      </c>
      <c r="C347">
        <v>8.8000000000000007</v>
      </c>
    </row>
    <row r="348" spans="1:3" x14ac:dyDescent="0.25">
      <c r="A348" t="s">
        <v>46</v>
      </c>
      <c r="B348">
        <v>2021</v>
      </c>
      <c r="C348">
        <v>8.8000000000000007</v>
      </c>
    </row>
    <row r="349" spans="1:3" x14ac:dyDescent="0.25">
      <c r="A349" t="s">
        <v>47</v>
      </c>
      <c r="B349">
        <v>2021</v>
      </c>
      <c r="C349">
        <v>11.1</v>
      </c>
    </row>
    <row r="350" spans="1:3" x14ac:dyDescent="0.25">
      <c r="A350" t="s">
        <v>48</v>
      </c>
      <c r="B350">
        <v>2021</v>
      </c>
      <c r="C350">
        <v>12.1</v>
      </c>
    </row>
    <row r="351" spans="1:3" x14ac:dyDescent="0.25">
      <c r="A351" t="s">
        <v>49</v>
      </c>
      <c r="B351">
        <v>2021</v>
      </c>
      <c r="C351">
        <v>9</v>
      </c>
    </row>
    <row r="352" spans="1:3" x14ac:dyDescent="0.25">
      <c r="A352" t="s">
        <v>50</v>
      </c>
      <c r="B352">
        <v>2021</v>
      </c>
      <c r="C352">
        <v>10.199999999999999</v>
      </c>
    </row>
    <row r="353" spans="1:3" x14ac:dyDescent="0.25">
      <c r="A353" t="s">
        <v>51</v>
      </c>
      <c r="B353">
        <v>2021</v>
      </c>
      <c r="C353">
        <v>12.3</v>
      </c>
    </row>
    <row r="354" spans="1:3" x14ac:dyDescent="0.25">
      <c r="A354" t="s">
        <v>52</v>
      </c>
      <c r="B354">
        <v>2021</v>
      </c>
      <c r="C354">
        <v>9.1999999999999993</v>
      </c>
    </row>
    <row r="355" spans="1:3" x14ac:dyDescent="0.25">
      <c r="A355" t="s">
        <v>53</v>
      </c>
      <c r="B355">
        <v>2021</v>
      </c>
      <c r="C355">
        <v>13.1</v>
      </c>
    </row>
    <row r="356" spans="1:3" x14ac:dyDescent="0.25">
      <c r="A356" t="s">
        <v>54</v>
      </c>
      <c r="B356">
        <v>2021</v>
      </c>
      <c r="C356">
        <v>8.8000000000000007</v>
      </c>
    </row>
    <row r="357" spans="1:3" x14ac:dyDescent="0.25">
      <c r="A357" t="s">
        <v>55</v>
      </c>
      <c r="B357">
        <v>2021</v>
      </c>
      <c r="C357">
        <v>13.3</v>
      </c>
    </row>
    <row r="358" spans="1:3" x14ac:dyDescent="0.25">
      <c r="A358" t="s">
        <v>56</v>
      </c>
      <c r="B358">
        <v>2021</v>
      </c>
      <c r="C358">
        <v>13.2</v>
      </c>
    </row>
    <row r="359" spans="1:3" x14ac:dyDescent="0.25">
      <c r="A359" t="s">
        <v>7</v>
      </c>
      <c r="B359">
        <v>2022</v>
      </c>
      <c r="C359">
        <v>17</v>
      </c>
    </row>
    <row r="360" spans="1:3" x14ac:dyDescent="0.25">
      <c r="A360" t="s">
        <v>8</v>
      </c>
      <c r="B360">
        <v>2022</v>
      </c>
      <c r="C360">
        <v>19</v>
      </c>
    </row>
    <row r="361" spans="1:3" x14ac:dyDescent="0.25">
      <c r="A361" t="s">
        <v>9</v>
      </c>
      <c r="B361">
        <v>2022</v>
      </c>
      <c r="C361">
        <v>18.899999999999999</v>
      </c>
    </row>
    <row r="362" spans="1:3" x14ac:dyDescent="0.25">
      <c r="A362" t="s">
        <v>10</v>
      </c>
      <c r="B362">
        <v>2022</v>
      </c>
      <c r="C362">
        <v>15.2</v>
      </c>
    </row>
    <row r="363" spans="1:3" x14ac:dyDescent="0.25">
      <c r="A363" t="s">
        <v>11</v>
      </c>
      <c r="B363">
        <v>2022</v>
      </c>
      <c r="C363">
        <v>20.2</v>
      </c>
    </row>
    <row r="364" spans="1:3" x14ac:dyDescent="0.25">
      <c r="A364" t="s">
        <v>12</v>
      </c>
      <c r="B364">
        <v>2022</v>
      </c>
      <c r="C364">
        <v>16.3</v>
      </c>
    </row>
    <row r="365" spans="1:3" x14ac:dyDescent="0.25">
      <c r="A365" t="s">
        <v>13</v>
      </c>
      <c r="B365">
        <v>2022</v>
      </c>
      <c r="C365">
        <v>17.5</v>
      </c>
    </row>
    <row r="366" spans="1:3" x14ac:dyDescent="0.25">
      <c r="A366" t="s">
        <v>14</v>
      </c>
      <c r="B366">
        <v>2022</v>
      </c>
      <c r="C366">
        <v>17.7</v>
      </c>
    </row>
    <row r="367" spans="1:3" x14ac:dyDescent="0.25">
      <c r="A367" t="s">
        <v>15</v>
      </c>
      <c r="B367">
        <v>2022</v>
      </c>
      <c r="C367">
        <v>18.3</v>
      </c>
    </row>
    <row r="368" spans="1:3" x14ac:dyDescent="0.25">
      <c r="A368" t="s">
        <v>16</v>
      </c>
      <c r="B368">
        <v>2022</v>
      </c>
      <c r="C368">
        <v>15.8</v>
      </c>
    </row>
    <row r="369" spans="1:3" x14ac:dyDescent="0.25">
      <c r="A369" t="s">
        <v>17</v>
      </c>
      <c r="B369">
        <v>2022</v>
      </c>
      <c r="C369">
        <v>17.600000000000001</v>
      </c>
    </row>
    <row r="370" spans="1:3" x14ac:dyDescent="0.25">
      <c r="A370" t="s">
        <v>18</v>
      </c>
      <c r="B370">
        <v>2022</v>
      </c>
      <c r="C370">
        <v>20.3</v>
      </c>
    </row>
    <row r="371" spans="1:3" x14ac:dyDescent="0.25">
      <c r="A371" t="s">
        <v>19</v>
      </c>
      <c r="B371">
        <v>2022</v>
      </c>
      <c r="C371">
        <v>15.4</v>
      </c>
    </row>
    <row r="372" spans="1:3" x14ac:dyDescent="0.25">
      <c r="A372" t="s">
        <v>20</v>
      </c>
      <c r="B372">
        <v>2022</v>
      </c>
      <c r="C372">
        <v>20.100000000000001</v>
      </c>
    </row>
    <row r="373" spans="1:3" x14ac:dyDescent="0.25">
      <c r="A373" t="s">
        <v>21</v>
      </c>
      <c r="B373">
        <v>2022</v>
      </c>
      <c r="C373">
        <v>15.1</v>
      </c>
    </row>
    <row r="374" spans="1:3" x14ac:dyDescent="0.25">
      <c r="A374" t="s">
        <v>22</v>
      </c>
      <c r="B374">
        <v>2022</v>
      </c>
      <c r="C374">
        <v>17.5</v>
      </c>
    </row>
    <row r="375" spans="1:3" x14ac:dyDescent="0.25">
      <c r="A375" t="s">
        <v>23</v>
      </c>
      <c r="B375">
        <v>2022</v>
      </c>
      <c r="C375">
        <v>14.7</v>
      </c>
    </row>
    <row r="376" spans="1:3" x14ac:dyDescent="0.25">
      <c r="A376" t="s">
        <v>24</v>
      </c>
      <c r="B376">
        <v>2022</v>
      </c>
      <c r="C376">
        <v>19.5</v>
      </c>
    </row>
    <row r="377" spans="1:3" x14ac:dyDescent="0.25">
      <c r="A377" t="s">
        <v>25</v>
      </c>
      <c r="B377">
        <v>2022</v>
      </c>
      <c r="C377">
        <v>19.2</v>
      </c>
    </row>
    <row r="378" spans="1:3" x14ac:dyDescent="0.25">
      <c r="A378" t="s">
        <v>26</v>
      </c>
      <c r="B378">
        <v>2022</v>
      </c>
      <c r="C378">
        <v>16.2</v>
      </c>
    </row>
    <row r="379" spans="1:3" x14ac:dyDescent="0.25">
      <c r="A379" t="s">
        <v>27</v>
      </c>
      <c r="B379">
        <v>2022</v>
      </c>
      <c r="C379">
        <v>14.7</v>
      </c>
    </row>
    <row r="380" spans="1:3" x14ac:dyDescent="0.25">
      <c r="A380" t="s">
        <v>28</v>
      </c>
      <c r="B380">
        <v>2022</v>
      </c>
      <c r="C380">
        <v>18</v>
      </c>
    </row>
    <row r="381" spans="1:3" x14ac:dyDescent="0.25">
      <c r="A381" t="s">
        <v>29</v>
      </c>
      <c r="B381">
        <v>2022</v>
      </c>
      <c r="C381">
        <v>18.399999999999999</v>
      </c>
    </row>
    <row r="382" spans="1:3" x14ac:dyDescent="0.25">
      <c r="A382" t="s">
        <v>30</v>
      </c>
      <c r="B382">
        <v>2022</v>
      </c>
      <c r="C382">
        <v>18.100000000000001</v>
      </c>
    </row>
    <row r="383" spans="1:3" x14ac:dyDescent="0.25">
      <c r="A383" t="s">
        <v>31</v>
      </c>
      <c r="B383">
        <v>2022</v>
      </c>
      <c r="C383">
        <v>19.899999999999999</v>
      </c>
    </row>
    <row r="384" spans="1:3" x14ac:dyDescent="0.25">
      <c r="A384" t="s">
        <v>32</v>
      </c>
      <c r="B384">
        <v>2022</v>
      </c>
      <c r="C384">
        <v>15.7</v>
      </c>
    </row>
    <row r="385" spans="1:3" x14ac:dyDescent="0.25">
      <c r="A385" t="s">
        <v>33</v>
      </c>
      <c r="B385">
        <v>2022</v>
      </c>
      <c r="C385">
        <v>16.600000000000001</v>
      </c>
    </row>
    <row r="386" spans="1:3" x14ac:dyDescent="0.25">
      <c r="A386" t="s">
        <v>34</v>
      </c>
      <c r="B386">
        <v>2022</v>
      </c>
      <c r="C386">
        <v>17.899999999999999</v>
      </c>
    </row>
    <row r="387" spans="1:3" x14ac:dyDescent="0.25">
      <c r="A387" t="s">
        <v>35</v>
      </c>
      <c r="B387">
        <v>2022</v>
      </c>
      <c r="C387">
        <v>15.7</v>
      </c>
    </row>
    <row r="388" spans="1:3" x14ac:dyDescent="0.25">
      <c r="A388" t="s">
        <v>36</v>
      </c>
      <c r="B388">
        <v>2022</v>
      </c>
      <c r="C388">
        <v>18.3</v>
      </c>
    </row>
    <row r="389" spans="1:3" x14ac:dyDescent="0.25">
      <c r="A389" t="s">
        <v>37</v>
      </c>
      <c r="B389">
        <v>2022</v>
      </c>
      <c r="C389">
        <v>15.9</v>
      </c>
    </row>
    <row r="390" spans="1:3" x14ac:dyDescent="0.25">
      <c r="A390" t="s">
        <v>38</v>
      </c>
      <c r="B390">
        <v>2022</v>
      </c>
      <c r="C390">
        <v>19.2</v>
      </c>
    </row>
    <row r="391" spans="1:3" x14ac:dyDescent="0.25">
      <c r="A391" t="s">
        <v>39</v>
      </c>
      <c r="B391">
        <v>2022</v>
      </c>
      <c r="C391">
        <v>18.100000000000001</v>
      </c>
    </row>
    <row r="392" spans="1:3" x14ac:dyDescent="0.25">
      <c r="A392" t="s">
        <v>40</v>
      </c>
      <c r="B392">
        <v>2022</v>
      </c>
      <c r="C392">
        <v>14.6</v>
      </c>
    </row>
    <row r="393" spans="1:3" x14ac:dyDescent="0.25">
      <c r="A393" t="s">
        <v>41</v>
      </c>
      <c r="B393">
        <v>2022</v>
      </c>
      <c r="C393">
        <v>14.9</v>
      </c>
    </row>
    <row r="394" spans="1:3" x14ac:dyDescent="0.25">
      <c r="A394" t="s">
        <v>42</v>
      </c>
      <c r="B394">
        <v>2022</v>
      </c>
      <c r="C394">
        <v>15.7</v>
      </c>
    </row>
    <row r="395" spans="1:3" x14ac:dyDescent="0.25">
      <c r="A395" t="s">
        <v>43</v>
      </c>
      <c r="B395">
        <v>2022</v>
      </c>
      <c r="C395">
        <v>19.8</v>
      </c>
    </row>
    <row r="396" spans="1:3" x14ac:dyDescent="0.25">
      <c r="A396" t="s">
        <v>44</v>
      </c>
      <c r="B396">
        <v>2022</v>
      </c>
      <c r="C396">
        <v>15.9</v>
      </c>
    </row>
    <row r="397" spans="1:3" x14ac:dyDescent="0.25">
      <c r="A397" t="s">
        <v>45</v>
      </c>
      <c r="B397">
        <v>2022</v>
      </c>
      <c r="C397">
        <v>17.899999999999999</v>
      </c>
    </row>
    <row r="398" spans="1:3" x14ac:dyDescent="0.25">
      <c r="A398" t="s">
        <v>46</v>
      </c>
      <c r="B398">
        <v>2022</v>
      </c>
      <c r="C398">
        <v>18.100000000000001</v>
      </c>
    </row>
    <row r="399" spans="1:3" x14ac:dyDescent="0.25">
      <c r="A399" t="s">
        <v>47</v>
      </c>
      <c r="B399">
        <v>2022</v>
      </c>
      <c r="C399">
        <v>15.4</v>
      </c>
    </row>
    <row r="400" spans="1:3" x14ac:dyDescent="0.25">
      <c r="A400" t="s">
        <v>48</v>
      </c>
      <c r="B400">
        <v>2022</v>
      </c>
      <c r="C400">
        <v>17.7</v>
      </c>
    </row>
    <row r="401" spans="1:3" x14ac:dyDescent="0.25">
      <c r="A401" t="s">
        <v>49</v>
      </c>
      <c r="B401">
        <v>2022</v>
      </c>
      <c r="C401">
        <v>18.100000000000001</v>
      </c>
    </row>
    <row r="402" spans="1:3" x14ac:dyDescent="0.25">
      <c r="A402" t="s">
        <v>50</v>
      </c>
      <c r="B402">
        <v>2022</v>
      </c>
      <c r="C402">
        <v>18.2</v>
      </c>
    </row>
    <row r="403" spans="1:3" x14ac:dyDescent="0.25">
      <c r="A403" t="s">
        <v>51</v>
      </c>
      <c r="B403">
        <v>2022</v>
      </c>
      <c r="C403">
        <v>17.600000000000001</v>
      </c>
    </row>
    <row r="404" spans="1:3" x14ac:dyDescent="0.25">
      <c r="A404" t="s">
        <v>52</v>
      </c>
      <c r="B404">
        <v>2022</v>
      </c>
      <c r="C404">
        <v>17.2</v>
      </c>
    </row>
    <row r="405" spans="1:3" x14ac:dyDescent="0.25">
      <c r="A405" t="s">
        <v>53</v>
      </c>
      <c r="B405">
        <v>2022</v>
      </c>
      <c r="C405">
        <v>15</v>
      </c>
    </row>
    <row r="406" spans="1:3" x14ac:dyDescent="0.25">
      <c r="A406" t="s">
        <v>54</v>
      </c>
      <c r="B406">
        <v>2022</v>
      </c>
      <c r="C406">
        <v>17</v>
      </c>
    </row>
    <row r="407" spans="1:3" x14ac:dyDescent="0.25">
      <c r="A407" t="s">
        <v>55</v>
      </c>
      <c r="B407">
        <v>2022</v>
      </c>
      <c r="C407">
        <v>19.3</v>
      </c>
    </row>
    <row r="408" spans="1:3" x14ac:dyDescent="0.25">
      <c r="A408" t="s">
        <v>56</v>
      </c>
      <c r="B408">
        <v>2022</v>
      </c>
      <c r="C408">
        <v>19.600000000000001</v>
      </c>
    </row>
    <row r="409" spans="1:3" x14ac:dyDescent="0.25">
      <c r="A409" t="s">
        <v>7</v>
      </c>
      <c r="B409">
        <v>2023</v>
      </c>
      <c r="C409">
        <v>3.5</v>
      </c>
    </row>
    <row r="410" spans="1:3" x14ac:dyDescent="0.25">
      <c r="A410" t="s">
        <v>8</v>
      </c>
      <c r="B410">
        <v>2023</v>
      </c>
      <c r="C410">
        <v>3.9</v>
      </c>
    </row>
    <row r="411" spans="1:3" x14ac:dyDescent="0.25">
      <c r="A411" t="s">
        <v>9</v>
      </c>
      <c r="B411">
        <v>2023</v>
      </c>
      <c r="C411">
        <v>4.3</v>
      </c>
    </row>
    <row r="412" spans="1:3" x14ac:dyDescent="0.25">
      <c r="A412" t="s">
        <v>10</v>
      </c>
      <c r="B412">
        <v>2023</v>
      </c>
      <c r="C412">
        <v>4.9000000000000004</v>
      </c>
    </row>
    <row r="413" spans="1:3" x14ac:dyDescent="0.25">
      <c r="A413" t="s">
        <v>11</v>
      </c>
      <c r="B413">
        <v>2023</v>
      </c>
      <c r="C413">
        <v>1.6</v>
      </c>
    </row>
    <row r="414" spans="1:3" x14ac:dyDescent="0.25">
      <c r="A414" t="s">
        <v>12</v>
      </c>
      <c r="B414">
        <v>2023</v>
      </c>
      <c r="C414">
        <v>4.0999999999999996</v>
      </c>
    </row>
    <row r="415" spans="1:3" x14ac:dyDescent="0.25">
      <c r="A415" t="s">
        <v>13</v>
      </c>
      <c r="B415">
        <v>2023</v>
      </c>
      <c r="C415">
        <v>3.3</v>
      </c>
    </row>
    <row r="416" spans="1:3" x14ac:dyDescent="0.25">
      <c r="A416" t="s">
        <v>14</v>
      </c>
      <c r="B416">
        <v>2023</v>
      </c>
      <c r="C416">
        <v>-0.7</v>
      </c>
    </row>
    <row r="417" spans="1:3" x14ac:dyDescent="0.25">
      <c r="A417" t="s">
        <v>15</v>
      </c>
      <c r="B417">
        <v>2023</v>
      </c>
      <c r="C417">
        <v>4.4000000000000004</v>
      </c>
    </row>
    <row r="418" spans="1:3" x14ac:dyDescent="0.25">
      <c r="A418" t="s">
        <v>16</v>
      </c>
      <c r="B418">
        <v>2023</v>
      </c>
      <c r="C418">
        <v>2.1</v>
      </c>
    </row>
    <row r="419" spans="1:3" x14ac:dyDescent="0.25">
      <c r="A419" t="s">
        <v>17</v>
      </c>
      <c r="B419">
        <v>2023</v>
      </c>
      <c r="C419">
        <v>4.0999999999999996</v>
      </c>
    </row>
    <row r="420" spans="1:3" x14ac:dyDescent="0.25">
      <c r="A420" t="s">
        <v>18</v>
      </c>
      <c r="B420">
        <v>2023</v>
      </c>
      <c r="C420">
        <v>3.9</v>
      </c>
    </row>
    <row r="421" spans="1:3" x14ac:dyDescent="0.25">
      <c r="A421" t="s">
        <v>19</v>
      </c>
      <c r="B421">
        <v>2023</v>
      </c>
      <c r="C421">
        <v>-0.2</v>
      </c>
    </row>
    <row r="422" spans="1:3" x14ac:dyDescent="0.25">
      <c r="A422" t="s">
        <v>20</v>
      </c>
      <c r="B422">
        <v>2023</v>
      </c>
      <c r="C422">
        <v>2.5</v>
      </c>
    </row>
    <row r="423" spans="1:3" x14ac:dyDescent="0.25">
      <c r="A423" t="s">
        <v>21</v>
      </c>
      <c r="B423">
        <v>2023</v>
      </c>
      <c r="C423">
        <v>3.4</v>
      </c>
    </row>
    <row r="424" spans="1:3" x14ac:dyDescent="0.25">
      <c r="A424" t="s">
        <v>22</v>
      </c>
      <c r="B424">
        <v>2023</v>
      </c>
      <c r="C424">
        <v>2.6</v>
      </c>
    </row>
    <row r="425" spans="1:3" x14ac:dyDescent="0.25">
      <c r="A425" t="s">
        <v>23</v>
      </c>
      <c r="B425">
        <v>2023</v>
      </c>
      <c r="C425">
        <v>0.7</v>
      </c>
    </row>
    <row r="426" spans="1:3" x14ac:dyDescent="0.25">
      <c r="A426" t="s">
        <v>24</v>
      </c>
      <c r="B426">
        <v>2023</v>
      </c>
      <c r="C426">
        <v>2.2000000000000002</v>
      </c>
    </row>
    <row r="427" spans="1:3" x14ac:dyDescent="0.25">
      <c r="A427" t="s">
        <v>25</v>
      </c>
      <c r="B427">
        <v>2023</v>
      </c>
      <c r="C427">
        <v>4.8</v>
      </c>
    </row>
    <row r="428" spans="1:3" x14ac:dyDescent="0.25">
      <c r="A428" t="s">
        <v>26</v>
      </c>
      <c r="B428">
        <v>2023</v>
      </c>
      <c r="C428">
        <v>2.8</v>
      </c>
    </row>
    <row r="429" spans="1:3" x14ac:dyDescent="0.25">
      <c r="A429" t="s">
        <v>27</v>
      </c>
      <c r="B429">
        <v>2023</v>
      </c>
      <c r="C429">
        <v>1.2</v>
      </c>
    </row>
    <row r="430" spans="1:3" x14ac:dyDescent="0.25">
      <c r="A430" t="s">
        <v>28</v>
      </c>
      <c r="B430">
        <v>2023</v>
      </c>
      <c r="C430">
        <v>0.5</v>
      </c>
    </row>
    <row r="431" spans="1:3" x14ac:dyDescent="0.25">
      <c r="A431" t="s">
        <v>29</v>
      </c>
      <c r="B431">
        <v>2023</v>
      </c>
      <c r="C431">
        <v>-0.6</v>
      </c>
    </row>
    <row r="432" spans="1:3" x14ac:dyDescent="0.25">
      <c r="A432" t="s">
        <v>30</v>
      </c>
      <c r="B432">
        <v>2023</v>
      </c>
      <c r="C432">
        <v>0.6</v>
      </c>
    </row>
    <row r="433" spans="1:3" x14ac:dyDescent="0.25">
      <c r="A433" t="s">
        <v>31</v>
      </c>
      <c r="B433">
        <v>2023</v>
      </c>
      <c r="C433">
        <v>2.5</v>
      </c>
    </row>
    <row r="434" spans="1:3" x14ac:dyDescent="0.25">
      <c r="A434" t="s">
        <v>32</v>
      </c>
      <c r="B434">
        <v>2023</v>
      </c>
      <c r="C434">
        <v>0.2</v>
      </c>
    </row>
    <row r="435" spans="1:3" x14ac:dyDescent="0.25">
      <c r="A435" t="s">
        <v>33</v>
      </c>
      <c r="B435">
        <v>2023</v>
      </c>
      <c r="C435">
        <v>3.5</v>
      </c>
    </row>
    <row r="436" spans="1:3" x14ac:dyDescent="0.25">
      <c r="A436" t="s">
        <v>34</v>
      </c>
      <c r="B436">
        <v>2023</v>
      </c>
      <c r="C436">
        <v>1.5</v>
      </c>
    </row>
    <row r="437" spans="1:3" x14ac:dyDescent="0.25">
      <c r="A437" t="s">
        <v>35</v>
      </c>
      <c r="B437">
        <v>2023</v>
      </c>
      <c r="C437">
        <v>3.3</v>
      </c>
    </row>
    <row r="438" spans="1:3" x14ac:dyDescent="0.25">
      <c r="A438" t="s">
        <v>36</v>
      </c>
      <c r="B438">
        <v>2023</v>
      </c>
      <c r="C438">
        <v>3.8</v>
      </c>
    </row>
    <row r="439" spans="1:3" x14ac:dyDescent="0.25">
      <c r="A439" t="s">
        <v>37</v>
      </c>
      <c r="B439">
        <v>2023</v>
      </c>
      <c r="C439">
        <v>4.0999999999999996</v>
      </c>
    </row>
    <row r="440" spans="1:3" x14ac:dyDescent="0.25">
      <c r="A440" t="s">
        <v>38</v>
      </c>
      <c r="B440">
        <v>2023</v>
      </c>
      <c r="C440">
        <v>3.7</v>
      </c>
    </row>
    <row r="441" spans="1:3" x14ac:dyDescent="0.25">
      <c r="A441" t="s">
        <v>39</v>
      </c>
      <c r="B441">
        <v>2023</v>
      </c>
      <c r="C441">
        <v>2.9</v>
      </c>
    </row>
    <row r="442" spans="1:3" x14ac:dyDescent="0.25">
      <c r="A442" t="s">
        <v>40</v>
      </c>
      <c r="B442">
        <v>2023</v>
      </c>
      <c r="C442">
        <v>-0.6</v>
      </c>
    </row>
    <row r="443" spans="1:3" x14ac:dyDescent="0.25">
      <c r="A443" t="s">
        <v>41</v>
      </c>
      <c r="B443">
        <v>2023</v>
      </c>
      <c r="C443">
        <v>-0.9</v>
      </c>
    </row>
    <row r="444" spans="1:3" x14ac:dyDescent="0.25">
      <c r="A444" t="s">
        <v>42</v>
      </c>
      <c r="B444">
        <v>2023</v>
      </c>
      <c r="C444">
        <v>0.2</v>
      </c>
    </row>
    <row r="445" spans="1:3" x14ac:dyDescent="0.25">
      <c r="A445" t="s">
        <v>43</v>
      </c>
      <c r="B445">
        <v>2023</v>
      </c>
      <c r="C445">
        <v>1.8</v>
      </c>
    </row>
    <row r="446" spans="1:3" x14ac:dyDescent="0.25">
      <c r="A446" t="s">
        <v>44</v>
      </c>
      <c r="B446">
        <v>2023</v>
      </c>
      <c r="C446">
        <v>2.7</v>
      </c>
    </row>
    <row r="447" spans="1:3" x14ac:dyDescent="0.25">
      <c r="A447" t="s">
        <v>45</v>
      </c>
      <c r="B447">
        <v>2023</v>
      </c>
      <c r="C447">
        <v>1.9</v>
      </c>
    </row>
    <row r="448" spans="1:3" x14ac:dyDescent="0.25">
      <c r="A448" t="s">
        <v>46</v>
      </c>
      <c r="B448">
        <v>2023</v>
      </c>
      <c r="C448">
        <v>3.4</v>
      </c>
    </row>
    <row r="449" spans="1:3" x14ac:dyDescent="0.25">
      <c r="A449" t="s">
        <v>47</v>
      </c>
      <c r="B449">
        <v>2023</v>
      </c>
      <c r="C449">
        <v>4.5999999999999996</v>
      </c>
    </row>
    <row r="450" spans="1:3" x14ac:dyDescent="0.25">
      <c r="A450" t="s">
        <v>48</v>
      </c>
      <c r="B450">
        <v>2023</v>
      </c>
      <c r="C450">
        <v>-0.5</v>
      </c>
    </row>
    <row r="451" spans="1:3" x14ac:dyDescent="0.25">
      <c r="A451" t="s">
        <v>49</v>
      </c>
      <c r="B451">
        <v>2023</v>
      </c>
      <c r="C451">
        <v>-0.9</v>
      </c>
    </row>
    <row r="452" spans="1:3" x14ac:dyDescent="0.25">
      <c r="A452" t="s">
        <v>50</v>
      </c>
      <c r="B452">
        <v>2023</v>
      </c>
      <c r="C452">
        <v>0.4</v>
      </c>
    </row>
    <row r="453" spans="1:3" x14ac:dyDescent="0.25">
      <c r="A453" t="s">
        <v>51</v>
      </c>
      <c r="B453">
        <v>2023</v>
      </c>
      <c r="C453">
        <v>3.6</v>
      </c>
    </row>
    <row r="454" spans="1:3" x14ac:dyDescent="0.25">
      <c r="A454" t="s">
        <v>52</v>
      </c>
      <c r="B454">
        <v>2023</v>
      </c>
      <c r="C454">
        <v>3.7</v>
      </c>
    </row>
    <row r="455" spans="1:3" x14ac:dyDescent="0.25">
      <c r="A455" t="s">
        <v>53</v>
      </c>
      <c r="B455">
        <v>2023</v>
      </c>
      <c r="C455">
        <v>4.7</v>
      </c>
    </row>
    <row r="456" spans="1:3" x14ac:dyDescent="0.25">
      <c r="A456" t="s">
        <v>54</v>
      </c>
      <c r="B456">
        <v>2023</v>
      </c>
      <c r="C456">
        <v>1.8</v>
      </c>
    </row>
    <row r="457" spans="1:3" x14ac:dyDescent="0.25">
      <c r="A457" t="s">
        <v>55</v>
      </c>
      <c r="B457">
        <v>2023</v>
      </c>
      <c r="C457">
        <v>0.1</v>
      </c>
    </row>
    <row r="458" spans="1:3" x14ac:dyDescent="0.25">
      <c r="A458" t="s">
        <v>56</v>
      </c>
      <c r="B458">
        <v>2023</v>
      </c>
      <c r="C458">
        <v>3.7</v>
      </c>
    </row>
    <row r="459" spans="1:3" x14ac:dyDescent="0.25">
      <c r="A459" t="s">
        <v>7</v>
      </c>
      <c r="B459">
        <v>2024</v>
      </c>
      <c r="C459">
        <v>10.4</v>
      </c>
    </row>
    <row r="460" spans="1:3" x14ac:dyDescent="0.25">
      <c r="A460" t="s">
        <v>8</v>
      </c>
      <c r="B460">
        <v>2024</v>
      </c>
      <c r="C460">
        <v>10</v>
      </c>
    </row>
    <row r="461" spans="1:3" x14ac:dyDescent="0.25">
      <c r="A461" t="s">
        <v>9</v>
      </c>
      <c r="B461">
        <v>2024</v>
      </c>
      <c r="C461">
        <v>7.3</v>
      </c>
    </row>
    <row r="462" spans="1:3" x14ac:dyDescent="0.25">
      <c r="A462" t="s">
        <v>10</v>
      </c>
      <c r="B462">
        <v>2024</v>
      </c>
      <c r="C462">
        <v>6.6</v>
      </c>
    </row>
    <row r="463" spans="1:3" x14ac:dyDescent="0.25">
      <c r="A463" t="s">
        <v>11</v>
      </c>
      <c r="B463">
        <v>2024</v>
      </c>
      <c r="C463">
        <v>9.6</v>
      </c>
    </row>
    <row r="464" spans="1:3" x14ac:dyDescent="0.25">
      <c r="A464" t="s">
        <v>12</v>
      </c>
      <c r="B464">
        <v>2024</v>
      </c>
      <c r="C464">
        <v>5.9</v>
      </c>
    </row>
    <row r="465" spans="1:3" x14ac:dyDescent="0.25">
      <c r="A465" t="s">
        <v>13</v>
      </c>
      <c r="B465">
        <v>2024</v>
      </c>
      <c r="C465">
        <v>7.9</v>
      </c>
    </row>
    <row r="466" spans="1:3" x14ac:dyDescent="0.25">
      <c r="A466" t="s">
        <v>14</v>
      </c>
      <c r="B466">
        <v>2024</v>
      </c>
      <c r="C466">
        <v>7.7</v>
      </c>
    </row>
    <row r="467" spans="1:3" x14ac:dyDescent="0.25">
      <c r="A467" t="s">
        <v>15</v>
      </c>
      <c r="B467">
        <v>2024</v>
      </c>
      <c r="C467">
        <v>10.1</v>
      </c>
    </row>
    <row r="468" spans="1:3" x14ac:dyDescent="0.25">
      <c r="A468" t="s">
        <v>16</v>
      </c>
      <c r="B468">
        <v>2024</v>
      </c>
      <c r="C468">
        <v>6.1</v>
      </c>
    </row>
    <row r="469" spans="1:3" x14ac:dyDescent="0.25">
      <c r="A469" t="s">
        <v>17</v>
      </c>
      <c r="B469">
        <v>2024</v>
      </c>
      <c r="C469">
        <v>9.9</v>
      </c>
    </row>
    <row r="470" spans="1:3" x14ac:dyDescent="0.25">
      <c r="A470" t="s">
        <v>18</v>
      </c>
      <c r="B470">
        <v>2024</v>
      </c>
      <c r="C470">
        <v>10.4</v>
      </c>
    </row>
    <row r="471" spans="1:3" x14ac:dyDescent="0.25">
      <c r="A471" t="s">
        <v>19</v>
      </c>
      <c r="B471">
        <v>2024</v>
      </c>
      <c r="C471">
        <v>10.8</v>
      </c>
    </row>
    <row r="472" spans="1:3" x14ac:dyDescent="0.25">
      <c r="A472" t="s">
        <v>20</v>
      </c>
      <c r="B472">
        <v>2024</v>
      </c>
      <c r="C472">
        <v>5.8</v>
      </c>
    </row>
    <row r="473" spans="1:3" x14ac:dyDescent="0.25">
      <c r="A473" t="s">
        <v>21</v>
      </c>
      <c r="B473">
        <v>2024</v>
      </c>
      <c r="C473">
        <v>10.199999999999999</v>
      </c>
    </row>
    <row r="474" spans="1:3" x14ac:dyDescent="0.25">
      <c r="A474" t="s">
        <v>22</v>
      </c>
      <c r="B474">
        <v>2024</v>
      </c>
      <c r="C474">
        <v>7</v>
      </c>
    </row>
    <row r="475" spans="1:3" x14ac:dyDescent="0.25">
      <c r="A475" t="s">
        <v>23</v>
      </c>
      <c r="B475">
        <v>2024</v>
      </c>
      <c r="C475">
        <v>7.5</v>
      </c>
    </row>
    <row r="476" spans="1:3" x14ac:dyDescent="0.25">
      <c r="A476" t="s">
        <v>24</v>
      </c>
      <c r="B476">
        <v>2024</v>
      </c>
      <c r="C476">
        <v>6.1</v>
      </c>
    </row>
    <row r="477" spans="1:3" x14ac:dyDescent="0.25">
      <c r="A477" t="s">
        <v>25</v>
      </c>
      <c r="B477">
        <v>2024</v>
      </c>
      <c r="C477">
        <v>5.7</v>
      </c>
    </row>
    <row r="478" spans="1:3" x14ac:dyDescent="0.25">
      <c r="A478" t="s">
        <v>26</v>
      </c>
      <c r="B478">
        <v>2024</v>
      </c>
      <c r="C478">
        <v>7.6</v>
      </c>
    </row>
    <row r="479" spans="1:3" x14ac:dyDescent="0.25">
      <c r="A479" t="s">
        <v>27</v>
      </c>
      <c r="B479">
        <v>2024</v>
      </c>
      <c r="C479">
        <v>8.5</v>
      </c>
    </row>
    <row r="480" spans="1:3" x14ac:dyDescent="0.25">
      <c r="A480" t="s">
        <v>28</v>
      </c>
      <c r="B480">
        <v>2024</v>
      </c>
      <c r="C480">
        <v>7.8</v>
      </c>
    </row>
    <row r="481" spans="1:3" x14ac:dyDescent="0.25">
      <c r="A481" t="s">
        <v>29</v>
      </c>
      <c r="B481">
        <v>2024</v>
      </c>
      <c r="C481">
        <v>7.2</v>
      </c>
    </row>
    <row r="482" spans="1:3" x14ac:dyDescent="0.25">
      <c r="A482" t="s">
        <v>30</v>
      </c>
      <c r="B482">
        <v>2024</v>
      </c>
      <c r="C482">
        <v>5.4</v>
      </c>
    </row>
    <row r="483" spans="1:3" x14ac:dyDescent="0.25">
      <c r="A483" t="s">
        <v>31</v>
      </c>
      <c r="B483">
        <v>2024</v>
      </c>
      <c r="C483">
        <v>8.1999999999999993</v>
      </c>
    </row>
    <row r="484" spans="1:3" x14ac:dyDescent="0.25">
      <c r="A484" t="s">
        <v>32</v>
      </c>
      <c r="B484">
        <v>2024</v>
      </c>
      <c r="C484">
        <v>7.7</v>
      </c>
    </row>
    <row r="485" spans="1:3" x14ac:dyDescent="0.25">
      <c r="A485" t="s">
        <v>33</v>
      </c>
      <c r="B485">
        <v>2024</v>
      </c>
      <c r="C485">
        <v>9</v>
      </c>
    </row>
    <row r="486" spans="1:3" x14ac:dyDescent="0.25">
      <c r="A486" t="s">
        <v>34</v>
      </c>
      <c r="B486">
        <v>2024</v>
      </c>
      <c r="C486">
        <v>6.2</v>
      </c>
    </row>
    <row r="487" spans="1:3" x14ac:dyDescent="0.25">
      <c r="A487" t="s">
        <v>35</v>
      </c>
      <c r="B487">
        <v>2024</v>
      </c>
      <c r="C487">
        <v>5.3</v>
      </c>
    </row>
    <row r="488" spans="1:3" x14ac:dyDescent="0.25">
      <c r="A488" t="s">
        <v>36</v>
      </c>
      <c r="B488">
        <v>2024</v>
      </c>
      <c r="C488">
        <v>10.5</v>
      </c>
    </row>
    <row r="489" spans="1:3" x14ac:dyDescent="0.25">
      <c r="A489" t="s">
        <v>37</v>
      </c>
      <c r="B489">
        <v>2024</v>
      </c>
      <c r="C489">
        <v>8.1999999999999993</v>
      </c>
    </row>
    <row r="490" spans="1:3" x14ac:dyDescent="0.25">
      <c r="A490" t="s">
        <v>38</v>
      </c>
      <c r="B490">
        <v>2024</v>
      </c>
      <c r="C490">
        <v>7.1</v>
      </c>
    </row>
    <row r="491" spans="1:3" x14ac:dyDescent="0.25">
      <c r="A491" t="s">
        <v>39</v>
      </c>
      <c r="B491">
        <v>2024</v>
      </c>
      <c r="C491">
        <v>6.6</v>
      </c>
    </row>
    <row r="492" spans="1:3" x14ac:dyDescent="0.25">
      <c r="A492" t="s">
        <v>40</v>
      </c>
      <c r="B492">
        <v>2024</v>
      </c>
      <c r="C492">
        <v>8.6999999999999993</v>
      </c>
    </row>
    <row r="493" spans="1:3" x14ac:dyDescent="0.25">
      <c r="A493" t="s">
        <v>41</v>
      </c>
      <c r="B493">
        <v>2024</v>
      </c>
      <c r="C493">
        <v>6.8</v>
      </c>
    </row>
    <row r="494" spans="1:3" x14ac:dyDescent="0.25">
      <c r="A494" t="s">
        <v>42</v>
      </c>
      <c r="B494">
        <v>2024</v>
      </c>
      <c r="C494">
        <v>5.9</v>
      </c>
    </row>
    <row r="495" spans="1:3" x14ac:dyDescent="0.25">
      <c r="A495" t="s">
        <v>43</v>
      </c>
      <c r="B495">
        <v>2024</v>
      </c>
      <c r="C495">
        <v>5.6</v>
      </c>
    </row>
    <row r="496" spans="1:3" x14ac:dyDescent="0.25">
      <c r="A496" t="s">
        <v>44</v>
      </c>
      <c r="B496">
        <v>2024</v>
      </c>
      <c r="C496">
        <v>7.3</v>
      </c>
    </row>
    <row r="497" spans="1:3" x14ac:dyDescent="0.25">
      <c r="A497" t="s">
        <v>45</v>
      </c>
      <c r="B497">
        <v>2024</v>
      </c>
      <c r="C497">
        <v>11</v>
      </c>
    </row>
    <row r="498" spans="1:3" x14ac:dyDescent="0.25">
      <c r="A498" t="s">
        <v>46</v>
      </c>
      <c r="B498">
        <v>2024</v>
      </c>
      <c r="C498">
        <v>7.9</v>
      </c>
    </row>
    <row r="499" spans="1:3" x14ac:dyDescent="0.25">
      <c r="A499" t="s">
        <v>47</v>
      </c>
      <c r="B499">
        <v>2024</v>
      </c>
      <c r="C499">
        <v>7.4</v>
      </c>
    </row>
    <row r="500" spans="1:3" x14ac:dyDescent="0.25">
      <c r="A500" t="s">
        <v>48</v>
      </c>
      <c r="B500">
        <v>2024</v>
      </c>
      <c r="C500">
        <v>7.8</v>
      </c>
    </row>
    <row r="501" spans="1:3" x14ac:dyDescent="0.25">
      <c r="A501" t="s">
        <v>49</v>
      </c>
      <c r="B501">
        <v>2024</v>
      </c>
      <c r="C501">
        <v>11</v>
      </c>
    </row>
    <row r="502" spans="1:3" x14ac:dyDescent="0.25">
      <c r="A502" t="s">
        <v>50</v>
      </c>
      <c r="B502">
        <v>2024</v>
      </c>
      <c r="C502">
        <v>8.9</v>
      </c>
    </row>
    <row r="503" spans="1:3" x14ac:dyDescent="0.25">
      <c r="A503" t="s">
        <v>51</v>
      </c>
      <c r="B503">
        <v>2024</v>
      </c>
      <c r="C503">
        <v>5.6</v>
      </c>
    </row>
    <row r="504" spans="1:3" x14ac:dyDescent="0.25">
      <c r="A504" t="s">
        <v>52</v>
      </c>
      <c r="B504">
        <v>2024</v>
      </c>
      <c r="C504">
        <v>10.4</v>
      </c>
    </row>
    <row r="505" spans="1:3" x14ac:dyDescent="0.25">
      <c r="A505" t="s">
        <v>53</v>
      </c>
      <c r="B505">
        <v>2024</v>
      </c>
      <c r="C505">
        <v>6.7</v>
      </c>
    </row>
    <row r="506" spans="1:3" x14ac:dyDescent="0.25">
      <c r="A506" t="s">
        <v>54</v>
      </c>
      <c r="B506">
        <v>2024</v>
      </c>
      <c r="C506">
        <v>8.3000000000000007</v>
      </c>
    </row>
    <row r="507" spans="1:3" x14ac:dyDescent="0.25">
      <c r="A507" t="s">
        <v>55</v>
      </c>
      <c r="B507">
        <v>2024</v>
      </c>
      <c r="C507">
        <v>9.6999999999999993</v>
      </c>
    </row>
    <row r="508" spans="1:3" x14ac:dyDescent="0.25">
      <c r="A508" t="s">
        <v>56</v>
      </c>
      <c r="B508">
        <v>2024</v>
      </c>
      <c r="C508">
        <v>10.5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1D8C-12CA-4B90-950E-921BFEAE6971}">
  <dimension ref="A1:D40"/>
  <sheetViews>
    <sheetView workbookViewId="0">
      <selection activeCell="B12" sqref="B12"/>
    </sheetView>
  </sheetViews>
  <sheetFormatPr defaultRowHeight="15" x14ac:dyDescent="0.25"/>
  <cols>
    <col min="2" max="2" width="14.28515625" bestFit="1" customWidth="1"/>
    <col min="3" max="3" width="11.7109375" bestFit="1" customWidth="1"/>
  </cols>
  <sheetData>
    <row r="1" spans="1:4" x14ac:dyDescent="0.25">
      <c r="A1" t="str">
        <f>'WP by State &amp; Segment'!A1</f>
        <v>Insurer NJ Umbrella</v>
      </c>
    </row>
    <row r="2" spans="1:4" x14ac:dyDescent="0.25">
      <c r="A2" t="str">
        <f>'WP by State &amp; Segment'!A2</f>
        <v>Umbrella Excess of Loss reinsurance program</v>
      </c>
    </row>
    <row r="3" spans="1:4" x14ac:dyDescent="0.25">
      <c r="A3" t="str">
        <f>'WP by State &amp; Segment'!A3</f>
        <v>Effective: 04/01/2025</v>
      </c>
    </row>
    <row r="4" spans="1:4" x14ac:dyDescent="0.25">
      <c r="A4" t="str">
        <f>'WP by State &amp; Segment'!A4</f>
        <v>Data as of: 11/30/2024</v>
      </c>
    </row>
    <row r="6" spans="1:4" x14ac:dyDescent="0.25">
      <c r="A6" t="s">
        <v>76</v>
      </c>
    </row>
    <row r="7" spans="1:4" x14ac:dyDescent="0.25">
      <c r="A7" t="s">
        <v>78</v>
      </c>
      <c r="B7" t="s">
        <v>79</v>
      </c>
      <c r="C7" t="s">
        <v>80</v>
      </c>
    </row>
    <row r="8" spans="1:4" x14ac:dyDescent="0.25">
      <c r="A8">
        <f>1000000</f>
        <v>1000000</v>
      </c>
      <c r="B8" s="4">
        <v>13235749.850000001</v>
      </c>
      <c r="C8" s="4">
        <v>3753</v>
      </c>
      <c r="D8" s="3">
        <f>B8/SUM($B$8:$B$13)</f>
        <v>0.20608555155113734</v>
      </c>
    </row>
    <row r="9" spans="1:4" x14ac:dyDescent="0.25">
      <c r="A9">
        <f t="shared" ref="A9:A12" si="0">A8+1000000</f>
        <v>2000000</v>
      </c>
      <c r="B9" s="4">
        <v>7231030.2599999998</v>
      </c>
      <c r="C9" s="4">
        <v>1116</v>
      </c>
      <c r="D9" s="3">
        <f t="shared" ref="D9:D13" si="1">B9/SUM($B$8:$B$13)</f>
        <v>0.11258983255981253</v>
      </c>
    </row>
    <row r="10" spans="1:4" x14ac:dyDescent="0.25">
      <c r="A10">
        <f t="shared" si="0"/>
        <v>3000000</v>
      </c>
      <c r="B10" s="4">
        <v>5469959.8449999997</v>
      </c>
      <c r="C10" s="4">
        <v>567</v>
      </c>
      <c r="D10" s="3">
        <f t="shared" si="1"/>
        <v>8.5169310722459632E-2</v>
      </c>
    </row>
    <row r="11" spans="1:4" x14ac:dyDescent="0.25">
      <c r="A11">
        <f t="shared" si="0"/>
        <v>4000000</v>
      </c>
      <c r="B11" s="4">
        <v>5325024.2249999996</v>
      </c>
      <c r="C11" s="4">
        <v>392</v>
      </c>
      <c r="D11" s="3">
        <f t="shared" si="1"/>
        <v>8.2912609173577914E-2</v>
      </c>
    </row>
    <row r="12" spans="1:4" x14ac:dyDescent="0.25">
      <c r="A12">
        <f t="shared" si="0"/>
        <v>5000000</v>
      </c>
      <c r="B12" s="4">
        <v>19665257.079999998</v>
      </c>
      <c r="C12" s="4">
        <v>1287</v>
      </c>
      <c r="D12" s="3">
        <f t="shared" si="1"/>
        <v>0.30619537220452286</v>
      </c>
    </row>
    <row r="13" spans="1:4" x14ac:dyDescent="0.25">
      <c r="A13">
        <v>10000000</v>
      </c>
      <c r="B13" s="4">
        <v>13297519.23</v>
      </c>
      <c r="C13" s="4">
        <v>394</v>
      </c>
      <c r="D13" s="3">
        <f t="shared" si="1"/>
        <v>0.20704732378848978</v>
      </c>
    </row>
    <row r="15" spans="1:4" x14ac:dyDescent="0.25">
      <c r="A15" t="s">
        <v>77</v>
      </c>
    </row>
    <row r="16" spans="1:4" x14ac:dyDescent="0.25">
      <c r="A16" t="s">
        <v>78</v>
      </c>
      <c r="B16" t="s">
        <v>79</v>
      </c>
      <c r="C16" t="s">
        <v>80</v>
      </c>
    </row>
    <row r="17" spans="1:4" x14ac:dyDescent="0.25">
      <c r="A17">
        <f>1000000</f>
        <v>1000000</v>
      </c>
      <c r="B17" s="4">
        <v>9046920.5099999998</v>
      </c>
      <c r="C17" s="4">
        <v>1576</v>
      </c>
      <c r="D17" s="3">
        <f>B17/SUM($B$17:$B$22)</f>
        <v>0.12266584900321846</v>
      </c>
    </row>
    <row r="18" spans="1:4" x14ac:dyDescent="0.25">
      <c r="A18">
        <f t="shared" ref="A18:A21" si="2">A17+1000000</f>
        <v>2000000</v>
      </c>
      <c r="B18" s="4">
        <v>8609362.4600000009</v>
      </c>
      <c r="C18" s="4">
        <v>747</v>
      </c>
      <c r="D18" s="3">
        <f t="shared" ref="D18:D22" si="3">B18/SUM($B$17:$B$22)</f>
        <v>0.11673306451239479</v>
      </c>
    </row>
    <row r="19" spans="1:4" x14ac:dyDescent="0.25">
      <c r="A19">
        <f t="shared" si="2"/>
        <v>3000000</v>
      </c>
      <c r="B19" s="4">
        <v>6889565.21</v>
      </c>
      <c r="C19" s="4">
        <v>399</v>
      </c>
      <c r="D19" s="3">
        <f t="shared" si="3"/>
        <v>9.3414589507395493E-2</v>
      </c>
    </row>
    <row r="20" spans="1:4" x14ac:dyDescent="0.25">
      <c r="A20">
        <f t="shared" si="2"/>
        <v>4000000</v>
      </c>
      <c r="B20" s="4">
        <v>5207147.4400000004</v>
      </c>
      <c r="C20" s="4">
        <v>222</v>
      </c>
      <c r="D20" s="3">
        <f t="shared" si="3"/>
        <v>7.0602937309607872E-2</v>
      </c>
    </row>
    <row r="21" spans="1:4" x14ac:dyDescent="0.25">
      <c r="A21">
        <f t="shared" si="2"/>
        <v>5000000</v>
      </c>
      <c r="B21" s="4">
        <v>31024414.43</v>
      </c>
      <c r="C21" s="4">
        <v>1077</v>
      </c>
      <c r="D21" s="3">
        <f t="shared" si="3"/>
        <v>0.42065541878886831</v>
      </c>
    </row>
    <row r="22" spans="1:4" x14ac:dyDescent="0.25">
      <c r="A22">
        <v>10000000</v>
      </c>
      <c r="B22" s="4">
        <v>12975150.939999999</v>
      </c>
      <c r="C22" s="4">
        <v>224</v>
      </c>
      <c r="D22" s="3">
        <f t="shared" si="3"/>
        <v>0.17592814087851513</v>
      </c>
    </row>
    <row r="24" spans="1:4" x14ac:dyDescent="0.25">
      <c r="A24" t="s">
        <v>81</v>
      </c>
    </row>
    <row r="25" spans="1:4" x14ac:dyDescent="0.25">
      <c r="A25" t="s">
        <v>78</v>
      </c>
      <c r="B25" t="s">
        <v>79</v>
      </c>
      <c r="C25" t="s">
        <v>80</v>
      </c>
    </row>
    <row r="26" spans="1:4" x14ac:dyDescent="0.25">
      <c r="A26">
        <v>1000000</v>
      </c>
      <c r="B26" s="4">
        <v>17424579.190000001</v>
      </c>
      <c r="C26" s="4">
        <v>2177</v>
      </c>
      <c r="D26" s="3">
        <f>B26/SUM($B$26:$B$31)</f>
        <v>0.31856833292475806</v>
      </c>
    </row>
    <row r="27" spans="1:4" x14ac:dyDescent="0.25">
      <c r="A27">
        <f t="shared" ref="A27:A30" si="4">A26+1000000</f>
        <v>2000000</v>
      </c>
      <c r="B27" s="4">
        <v>5852698.0599999996</v>
      </c>
      <c r="C27" s="4">
        <v>369</v>
      </c>
      <c r="D27" s="3">
        <f t="shared" ref="D27:D31" si="5">B27/SUM($B$26:$B$31)</f>
        <v>0.10700311575709079</v>
      </c>
    </row>
    <row r="28" spans="1:4" x14ac:dyDescent="0.25">
      <c r="A28">
        <f t="shared" si="4"/>
        <v>3000000</v>
      </c>
      <c r="B28" s="4">
        <v>4050354.48</v>
      </c>
      <c r="C28" s="4">
        <v>168</v>
      </c>
      <c r="D28" s="3">
        <f t="shared" si="5"/>
        <v>7.4051410962534994E-2</v>
      </c>
    </row>
    <row r="29" spans="1:4" x14ac:dyDescent="0.25">
      <c r="A29">
        <f t="shared" si="4"/>
        <v>4000000</v>
      </c>
      <c r="B29" s="4">
        <v>5442901.0099999998</v>
      </c>
      <c r="C29" s="4">
        <v>170</v>
      </c>
      <c r="D29" s="3">
        <f t="shared" si="5"/>
        <v>9.9510919725699365E-2</v>
      </c>
    </row>
    <row r="30" spans="1:4" x14ac:dyDescent="0.25">
      <c r="A30">
        <f t="shared" si="4"/>
        <v>5000000</v>
      </c>
      <c r="B30" s="4">
        <v>8306099.7300000004</v>
      </c>
      <c r="C30" s="4">
        <v>210</v>
      </c>
      <c r="D30" s="3">
        <f t="shared" si="5"/>
        <v>0.15185791950783306</v>
      </c>
    </row>
    <row r="31" spans="1:4" x14ac:dyDescent="0.25">
      <c r="A31">
        <v>10000000</v>
      </c>
      <c r="B31" s="4">
        <v>13619887.52</v>
      </c>
      <c r="C31" s="4">
        <v>170</v>
      </c>
      <c r="D31" s="3">
        <f t="shared" si="5"/>
        <v>0.24900830112208389</v>
      </c>
    </row>
    <row r="35" spans="2:4" x14ac:dyDescent="0.25">
      <c r="B35" s="4"/>
      <c r="C35" s="4"/>
      <c r="D35" s="3"/>
    </row>
    <row r="36" spans="2:4" x14ac:dyDescent="0.25">
      <c r="B36" s="4"/>
      <c r="C36" s="4"/>
      <c r="D36" s="3"/>
    </row>
    <row r="37" spans="2:4" x14ac:dyDescent="0.25">
      <c r="B37" s="4"/>
      <c r="C37" s="4"/>
      <c r="D37" s="3"/>
    </row>
    <row r="38" spans="2:4" x14ac:dyDescent="0.25">
      <c r="B38" s="4"/>
      <c r="C38" s="4"/>
      <c r="D38" s="3"/>
    </row>
    <row r="39" spans="2:4" x14ac:dyDescent="0.25">
      <c r="B39" s="4"/>
      <c r="C39" s="4"/>
      <c r="D39" s="3"/>
    </row>
    <row r="40" spans="2:4" x14ac:dyDescent="0.25">
      <c r="B40" s="4"/>
      <c r="C40" s="4"/>
      <c r="D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WP by State &amp; Segment</vt:lpstr>
      <vt:lpstr>Large Claims (subline 1)</vt:lpstr>
      <vt:lpstr>Large Claims (subline 2)</vt:lpstr>
      <vt:lpstr>Rate Change (subline 1)</vt:lpstr>
      <vt:lpstr>Rate Change (subline 2)</vt:lpstr>
      <vt:lpstr>Limit Profile (in-force)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Chai Fung</dc:creator>
  <cp:lastModifiedBy>TSZ Chai Fung</cp:lastModifiedBy>
  <dcterms:created xsi:type="dcterms:W3CDTF">2015-06-05T18:17:20Z</dcterms:created>
  <dcterms:modified xsi:type="dcterms:W3CDTF">2026-02-10T21:29:05Z</dcterms:modified>
</cp:coreProperties>
</file>